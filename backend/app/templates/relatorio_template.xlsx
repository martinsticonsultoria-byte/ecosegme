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 " sheetId="1" r:id="rId4"/>
    <sheet state="visible" name="Doc Base" sheetId="2" r:id="rId5"/>
    <sheet state="visible" name="Anexo A" sheetId="3" r:id="rId6"/>
    <sheet state="visible" name="Resumo" sheetId="4" r:id="rId7"/>
    <sheet state="visible" name="1" sheetId="5" r:id="rId8"/>
    <sheet state="visible" name="Página1" sheetId="6" r:id="rId9"/>
    <sheet state="hidden" name="Anexo B" sheetId="7" r:id="rId10"/>
  </sheets>
  <externalReferences>
    <externalReference r:id="rId11"/>
  </externalReferences>
  <definedNames>
    <definedName localSheetId="0" name="_PL03">[1]CIPA!#REF!</definedName>
    <definedName name="_PL04">#REF!</definedName>
    <definedName name="siglas">#REF!</definedName>
    <definedName name="_PL01">#REF!</definedName>
    <definedName name="_PL02">#REF!</definedName>
    <definedName name="TLV">#REF!</definedName>
    <definedName name="__PL03">#REF!</definedName>
  </definedNames>
  <calcPr/>
  <extLst>
    <ext uri="GoogleSheetsCustomDataVersion2">
      <go:sheetsCustomData xmlns:go="http://customooxmlschemas.google.com/" r:id="rId12" roundtripDataChecksum="/G0EaKMXPHJTrGDWlPT4UwhnbQj/o1YZmkbwJSwOEHM="/>
    </ext>
  </extLst>
</workbook>
</file>

<file path=xl/sharedStrings.xml><?xml version="1.0" encoding="utf-8"?>
<sst xmlns="http://schemas.openxmlformats.org/spreadsheetml/2006/main" count="165" uniqueCount="157">
  <si>
    <t>Nº Relatório</t>
  </si>
  <si>
    <t>0000-0/2025.0 ao 0000-3/2025.0</t>
  </si>
  <si>
    <t>0000-1/2025.0</t>
  </si>
  <si>
    <t>0000-11/2025.0</t>
  </si>
  <si>
    <t>0000-21/2025.0</t>
  </si>
  <si>
    <t>0000-31/2025.0</t>
  </si>
  <si>
    <t>0000-41/2025.0</t>
  </si>
  <si>
    <t>(Nº DA AMOSTRA)</t>
  </si>
  <si>
    <t>0000-2/2025.0</t>
  </si>
  <si>
    <t>0000-12/2025.0</t>
  </si>
  <si>
    <t>0000-22/2025.0</t>
  </si>
  <si>
    <t>0000-32/2025.0</t>
  </si>
  <si>
    <t>0000-42/2025.0</t>
  </si>
  <si>
    <t>0000-3/2025.0</t>
  </si>
  <si>
    <t>0000-13/2025.0</t>
  </si>
  <si>
    <t>0000-23/2025.0</t>
  </si>
  <si>
    <t>0000-33/2025.0</t>
  </si>
  <si>
    <t>0000-43/2025.0</t>
  </si>
  <si>
    <t>0000-4/2025.0</t>
  </si>
  <si>
    <t>0000-14/2025.0</t>
  </si>
  <si>
    <t>0000-24/2025.0</t>
  </si>
  <si>
    <t>0000-34/2025.0</t>
  </si>
  <si>
    <t>0000-44/2025.0</t>
  </si>
  <si>
    <t>0000-5/2025.0</t>
  </si>
  <si>
    <t>0000-15/2025.0</t>
  </si>
  <si>
    <t>0000-25/2025.0</t>
  </si>
  <si>
    <t>0000-35/2025.0</t>
  </si>
  <si>
    <t>0000-45/2025.0</t>
  </si>
  <si>
    <t>0000-6/2025.0</t>
  </si>
  <si>
    <t>0000-16/2025.0</t>
  </si>
  <si>
    <t>0000-26/2025.0</t>
  </si>
  <si>
    <t>0000-36/2025.0</t>
  </si>
  <si>
    <t>0000-46/2025.0</t>
  </si>
  <si>
    <t>0000-7/2025.0</t>
  </si>
  <si>
    <t>0000-17/2025.0</t>
  </si>
  <si>
    <t>0000-27/2025.0</t>
  </si>
  <si>
    <t>0000-37/2025.0</t>
  </si>
  <si>
    <t>0000-47/2025.0</t>
  </si>
  <si>
    <t>0000-8/2025.0</t>
  </si>
  <si>
    <t>0000-18/2025.0</t>
  </si>
  <si>
    <t>0000-28/2025.0</t>
  </si>
  <si>
    <t>0000-38/2025.0</t>
  </si>
  <si>
    <t>0000-48/2025.0</t>
  </si>
  <si>
    <t>0000-9/2025.0</t>
  </si>
  <si>
    <t>0000-19/2025.0</t>
  </si>
  <si>
    <t>0000-29/2025.0</t>
  </si>
  <si>
    <t>0000-39/2025.0</t>
  </si>
  <si>
    <t>0000-49/2025.0</t>
  </si>
  <si>
    <t>0000-10/2025.0</t>
  </si>
  <si>
    <t>0000-20/2025.0</t>
  </si>
  <si>
    <t>0000-30/2025.0</t>
  </si>
  <si>
    <t>0000-40/2025.0</t>
  </si>
  <si>
    <t>0000-50/2025.0</t>
  </si>
  <si>
    <t>Empresa:</t>
  </si>
  <si>
    <t>Componel Industria e Comércio Ltda</t>
  </si>
  <si>
    <t>Endereço:</t>
  </si>
  <si>
    <t>CNPJ:</t>
  </si>
  <si>
    <t>Perído de Avaliação:</t>
  </si>
  <si>
    <t>25/11/2025 à 28/11/2025</t>
  </si>
  <si>
    <t>Data:</t>
  </si>
  <si>
    <t>Mês de 2025</t>
  </si>
  <si>
    <t>Nível de Ruído [dB(A)]</t>
  </si>
  <si>
    <t>Máxima Exposição Permitida</t>
  </si>
  <si>
    <t>8 horas</t>
  </si>
  <si>
    <t>4 horas</t>
  </si>
  <si>
    <t>2 horas</t>
  </si>
  <si>
    <t>1 hora</t>
  </si>
  <si>
    <t>30 minutos</t>
  </si>
  <si>
    <t>15 minutos</t>
  </si>
  <si>
    <t>7 minutos</t>
  </si>
  <si>
    <t>ANEXO A - RELATÓRIO ANALÍTICO</t>
  </si>
  <si>
    <t>Período de Medição:</t>
  </si>
  <si>
    <t>Resumo das Doses de Ruído</t>
  </si>
  <si>
    <t>Nº de Laudo</t>
  </si>
  <si>
    <t>Cargo/Função</t>
  </si>
  <si>
    <t>Local</t>
  </si>
  <si>
    <t>Setor</t>
  </si>
  <si>
    <t>Resultado (dB)</t>
  </si>
  <si>
    <t>Limite de Tolerância (dB)</t>
  </si>
  <si>
    <t>Status de Medição</t>
  </si>
  <si>
    <t>Legenda:</t>
  </si>
  <si>
    <t>N.C. - Não Conforme</t>
  </si>
  <si>
    <t>Relatório de Ensaio Analítico N.</t>
  </si>
  <si>
    <t>Data de Assinatura</t>
  </si>
  <si>
    <t>Manaus, 00 de mês de 2025.</t>
  </si>
  <si>
    <t>&lt;--------</t>
  </si>
  <si>
    <t>(Data de entrega do relatório)</t>
  </si>
  <si>
    <t>Alexandre Moura</t>
  </si>
  <si>
    <t>Razão Social:</t>
  </si>
  <si>
    <t>Responsável pela coleta:</t>
  </si>
  <si>
    <t>Técnico de Campo</t>
  </si>
  <si>
    <t>(Técnico de Campo)</t>
  </si>
  <si>
    <t>Engº. Arimar Neves Neto</t>
  </si>
  <si>
    <t>Diogo dos Santos</t>
  </si>
  <si>
    <t>Serviço:</t>
  </si>
  <si>
    <t>Monitoramentos de Ruído Ocupacional.</t>
  </si>
  <si>
    <t>Willian de Moraes</t>
  </si>
  <si>
    <t>Informações do Colaborador (a)</t>
  </si>
  <si>
    <t>Colaborador (a):</t>
  </si>
  <si>
    <t>Cargo/Função:</t>
  </si>
  <si>
    <t>Matrícula:</t>
  </si>
  <si>
    <t>Local da Coleta:</t>
  </si>
  <si>
    <t>Setor:</t>
  </si>
  <si>
    <t>Turno:</t>
  </si>
  <si>
    <t>Código eSocial:</t>
  </si>
  <si>
    <t>01.01.021.</t>
  </si>
  <si>
    <t>Dados de Campo:</t>
  </si>
  <si>
    <t>Data da Coleta:</t>
  </si>
  <si>
    <t>Descrição das Condições de Exposição:</t>
  </si>
  <si>
    <t>Atividade Desenvolvida:</t>
  </si>
  <si>
    <t>Máquinas/equipamentos geradores de ruído:</t>
  </si>
  <si>
    <t>Ausência de equipamentos ruidosos.</t>
  </si>
  <si>
    <t>Uso de Equipamento de Proteção Individual (EPI):</t>
  </si>
  <si>
    <t>Protetor Auricular - Plug de Inserção</t>
  </si>
  <si>
    <t>Equipamentos Utilizados:</t>
  </si>
  <si>
    <t>Dosímetro acústico de ruído da marca CRIFFER, modelo SONUS 2, calibrado com um calibrador acústico da marca Instrutherm, modelo QC-10.</t>
  </si>
  <si>
    <t>Configuração do Dosímetro:</t>
  </si>
  <si>
    <t>Ponderação de Tempo: Slow Ponderação de Frequência: A Nível de Limiar: 80 dB Nível de Critério: 85 dB. Incremento de duplicação de dose (q) = 05. Este equipamento não capta ruído inferiores a 40 dB.</t>
  </si>
  <si>
    <t>Registro de Calibração de Campo:</t>
  </si>
  <si>
    <t>Pré verificação [dB]:</t>
  </si>
  <si>
    <t>Pós verificação [dB]:</t>
  </si>
  <si>
    <t>Legendas:</t>
  </si>
  <si>
    <t>NE = Nível de Exposição            NR= Norma Regulamentadora         dB = Decibel</t>
  </si>
  <si>
    <t>Resultado Obtido</t>
  </si>
  <si>
    <t>Parâmetro:</t>
  </si>
  <si>
    <t>Resultado:</t>
  </si>
  <si>
    <t>Limite de Tolerância -
 NR 15 dB(A)</t>
  </si>
  <si>
    <t>Nível de Ação</t>
  </si>
  <si>
    <t>Resultado</t>
  </si>
  <si>
    <t>Dose Diária (%):</t>
  </si>
  <si>
    <t>85 dB(A)</t>
  </si>
  <si>
    <t>80 dB(A)</t>
  </si>
  <si>
    <t>Nível de Exposição (dB(A)):</t>
  </si>
  <si>
    <t>Acima</t>
  </si>
  <si>
    <t>O nível equivalente de ruído excede o limite de tolerância do Anexo 1 da NR 15 para uma jornada de 8 horas diárias, exigindo medidas preventivas imediatas. Quando o ruído atinge ou supera o nível de ação, é fundamental minimizar os riscos auditivos e garantir a conformidade com as normas de segurança.</t>
  </si>
  <si>
    <t>Nível de Exposição Normalizado (dB(A)):</t>
  </si>
  <si>
    <t>Abaixo</t>
  </si>
  <si>
    <t>O nível equivalente de ruído está dentro do limite de tolerância estabelecido no Anexo 1 da NR 15 para uma jornada de 8 horas diárias, não caracterizando exposição excessiva. No entanto, é recomendável manter medidas preventivas para reduzir riscos auditivos e garantir a conformidade com as normas de segurança.</t>
  </si>
  <si>
    <t>Tempo da Medição (min):</t>
  </si>
  <si>
    <t>Conclusão:</t>
  </si>
  <si>
    <t>Arimar Neves Neto.</t>
  </si>
  <si>
    <t>Engenheiro de Segurança do Trabalho</t>
  </si>
  <si>
    <t>CREA Nº 13726-D/AM</t>
  </si>
  <si>
    <t xml:space="preserve">Empresa </t>
  </si>
  <si>
    <t xml:space="preserve">Tipo de análise </t>
  </si>
  <si>
    <t xml:space="preserve">Técnico </t>
  </si>
  <si>
    <t xml:space="preserve">Status </t>
  </si>
  <si>
    <t xml:space="preserve">Upload de laudo </t>
  </si>
  <si>
    <t xml:space="preserve">Placibras </t>
  </si>
  <si>
    <t xml:space="preserve">Rúido </t>
  </si>
  <si>
    <t xml:space="preserve">Josemar </t>
  </si>
  <si>
    <t xml:space="preserve">Aguardando aprovação </t>
  </si>
  <si>
    <t>botão: anexar documento</t>
  </si>
  <si>
    <t xml:space="preserve">Meta </t>
  </si>
  <si>
    <t xml:space="preserve">Temperatura </t>
  </si>
  <si>
    <t xml:space="preserve">Abreu </t>
  </si>
  <si>
    <t>ANEXO B - DOCUMENTOS E CERTIFICADOS DE CALIBRAÇÃO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</si>
</sst>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General_)"/>
    <numFmt numFmtId="165" formatCode="0.0"/>
    <numFmt numFmtId="166" formatCode="[$R$ -416]#,##0.00"/>
  </numFmts>
  <fonts count="21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Arial"/>
    </font>
    <font>
      <sz val="14.0"/>
      <color theme="1"/>
      <name val="Arial"/>
    </font>
    <font>
      <sz val="12.0"/>
      <color rgb="FF000000"/>
      <name val="Arial"/>
    </font>
    <font>
      <sz val="12.0"/>
      <color rgb="FF1E4E79"/>
      <name val="Arial"/>
    </font>
    <font>
      <sz val="12.0"/>
      <color rgb="FFFFFF00"/>
      <name val="Arial"/>
    </font>
    <font>
      <sz val="11.0"/>
      <color rgb="FF000000"/>
      <name val="Arial"/>
    </font>
    <font>
      <b/>
      <sz val="11.0"/>
      <color theme="1"/>
      <name val="Arial"/>
    </font>
    <font/>
    <font>
      <b/>
      <sz val="12.0"/>
      <color theme="1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2.0"/>
      <color rgb="FF000000"/>
      <name val="Arial"/>
    </font>
    <font>
      <sz val="18.0"/>
      <color rgb="FF1E4E79"/>
      <name val="Quattrocento Sans"/>
    </font>
    <font>
      <sz val="10.0"/>
      <color theme="1"/>
      <name val="Arial"/>
    </font>
    <font>
      <color theme="1"/>
      <name val="Calibri"/>
      <scheme val="minor"/>
    </font>
    <font>
      <b/>
      <sz val="12.0"/>
      <color theme="0"/>
      <name val="Arial"/>
    </font>
    <font>
      <sz val="12.0"/>
      <color rgb="FFFF0000"/>
      <name val="Arial"/>
    </font>
    <font>
      <sz val="12.0"/>
      <color theme="0"/>
      <name val="Arial"/>
    </font>
    <font>
      <b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</fills>
  <borders count="28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vertical="center"/>
    </xf>
    <xf borderId="1" fillId="2" fontId="2" numFmtId="164" xfId="0" applyAlignment="1" applyBorder="1" applyFont="1" applyNumberFormat="1">
      <alignment vertical="center"/>
    </xf>
    <xf borderId="1" fillId="2" fontId="3" numFmtId="164" xfId="0" applyAlignment="1" applyBorder="1" applyFont="1" applyNumberFormat="1">
      <alignment vertical="center"/>
    </xf>
    <xf borderId="1" fillId="2" fontId="4" numFmtId="164" xfId="0" applyAlignment="1" applyBorder="1" applyFont="1" applyNumberFormat="1">
      <alignment vertical="center"/>
    </xf>
    <xf borderId="1" fillId="2" fontId="5" numFmtId="164" xfId="0" applyAlignment="1" applyBorder="1" applyFont="1" applyNumberFormat="1">
      <alignment vertical="center"/>
    </xf>
    <xf borderId="1" fillId="2" fontId="6" numFmtId="164" xfId="0" applyAlignment="1" applyBorder="1" applyFont="1" applyNumberFormat="1">
      <alignment vertical="center"/>
    </xf>
    <xf borderId="1" fillId="2" fontId="1" numFmtId="164" xfId="0" applyAlignment="1" applyBorder="1" applyFont="1" applyNumberFormat="1">
      <alignment shrinkToFit="0" vertical="center" wrapText="1"/>
    </xf>
    <xf borderId="1" fillId="2" fontId="7" numFmtId="164" xfId="0" applyAlignment="1" applyBorder="1" applyFont="1" applyNumberFormat="1">
      <alignment horizontal="left" vertical="center"/>
    </xf>
    <xf borderId="1" fillId="2" fontId="2" numFmtId="164" xfId="0" applyAlignment="1" applyBorder="1" applyFont="1" applyNumberFormat="1">
      <alignment shrinkToFit="0" vertical="center" wrapText="1"/>
    </xf>
    <xf borderId="1" fillId="2" fontId="7" numFmtId="164" xfId="0" applyAlignment="1" applyBorder="1" applyFont="1" applyNumberFormat="1">
      <alignment vertical="center"/>
    </xf>
    <xf borderId="1" fillId="2" fontId="7" numFmtId="14" xfId="0" applyAlignment="1" applyBorder="1" applyFont="1" applyNumberFormat="1">
      <alignment vertical="center"/>
    </xf>
    <xf borderId="1" fillId="2" fontId="8" numFmtId="164" xfId="0" applyAlignment="1" applyBorder="1" applyFont="1" applyNumberFormat="1">
      <alignment vertical="center"/>
    </xf>
    <xf borderId="1" fillId="2" fontId="8" numFmtId="164" xfId="0" applyAlignment="1" applyBorder="1" applyFont="1" applyNumberFormat="1">
      <alignment shrinkToFit="0" vertical="center" wrapText="1"/>
    </xf>
    <xf borderId="1" fillId="2" fontId="2" numFmtId="164" xfId="0" applyAlignment="1" applyBorder="1" applyFont="1" applyNumberFormat="1">
      <alignment horizontal="righ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center" shrinkToFit="0" vertical="center" wrapText="1"/>
    </xf>
    <xf borderId="1" fillId="2" fontId="2" numFmtId="2" xfId="0" applyAlignment="1" applyBorder="1" applyFont="1" applyNumberFormat="1">
      <alignment shrinkToFit="0" vertical="center" wrapText="1"/>
    </xf>
    <xf borderId="1" fillId="2" fontId="1" numFmtId="164" xfId="0" applyAlignment="1" applyBorder="1" applyFont="1" applyNumberFormat="1">
      <alignment horizontal="left" vertical="center"/>
    </xf>
    <xf borderId="2" fillId="2" fontId="8" numFmtId="164" xfId="0" applyAlignment="1" applyBorder="1" applyFont="1" applyNumberFormat="1">
      <alignment horizontal="center" vertical="center"/>
    </xf>
    <xf borderId="3" fillId="0" fontId="9" numFmtId="0" xfId="0" applyBorder="1" applyFont="1"/>
    <xf borderId="2" fillId="2" fontId="4" numFmtId="164" xfId="0" applyAlignment="1" applyBorder="1" applyFont="1" applyNumberFormat="1">
      <alignment horizontal="left" vertical="center"/>
    </xf>
    <xf borderId="4" fillId="0" fontId="9" numFmtId="0" xfId="0" applyBorder="1" applyFont="1"/>
    <xf borderId="1" fillId="2" fontId="4" numFmtId="164" xfId="0" applyAlignment="1" applyBorder="1" applyFont="1" applyNumberFormat="1">
      <alignment horizontal="left" vertical="center"/>
    </xf>
    <xf borderId="1" fillId="2" fontId="10" numFmtId="164" xfId="0" applyAlignment="1" applyBorder="1" applyFont="1" applyNumberFormat="1">
      <alignment vertical="center"/>
    </xf>
    <xf borderId="1" fillId="2" fontId="11" numFmtId="164" xfId="0" applyAlignment="1" applyBorder="1" applyFont="1" applyNumberFormat="1">
      <alignment vertical="center"/>
    </xf>
    <xf borderId="1" fillId="2" fontId="12" numFmtId="164" xfId="0" applyAlignment="1" applyBorder="1" applyFont="1" applyNumberFormat="1">
      <alignment vertical="center"/>
    </xf>
    <xf borderId="1" fillId="2" fontId="13" numFmtId="14" xfId="0" applyAlignment="1" applyBorder="1" applyFont="1" applyNumberFormat="1">
      <alignment vertical="center"/>
    </xf>
    <xf borderId="1" fillId="2" fontId="12" numFmtId="164" xfId="0" applyAlignment="1" applyBorder="1" applyFont="1" applyNumberFormat="1">
      <alignment horizontal="left" vertical="center"/>
    </xf>
    <xf borderId="1" fillId="2" fontId="14" numFmtId="164" xfId="0" applyAlignment="1" applyBorder="1" applyFont="1" applyNumberFormat="1">
      <alignment vertical="center"/>
    </xf>
    <xf borderId="1" fillId="2" fontId="2" numFmtId="164" xfId="0" applyAlignment="1" applyBorder="1" applyFont="1" applyNumberFormat="1">
      <alignment horizontal="center" vertical="center"/>
    </xf>
    <xf borderId="1" fillId="2" fontId="15" numFmtId="164" xfId="0" applyAlignment="1" applyBorder="1" applyFont="1" applyNumberFormat="1">
      <alignment vertical="center"/>
    </xf>
    <xf borderId="2" fillId="2" fontId="2" numFmtId="49" xfId="0" applyAlignment="1" applyBorder="1" applyFont="1" applyNumberFormat="1">
      <alignment horizontal="center" shrinkToFit="0" vertical="center" wrapText="1"/>
    </xf>
    <xf borderId="0" fillId="0" fontId="16" numFmtId="0" xfId="0" applyFont="1"/>
    <xf borderId="5" fillId="2" fontId="8" numFmtId="0" xfId="0" applyAlignment="1" applyBorder="1" applyFont="1">
      <alignment horizontal="center" shrinkToFit="0" wrapText="1"/>
    </xf>
    <xf borderId="6" fillId="0" fontId="9" numFmtId="0" xfId="0" applyBorder="1" applyFont="1"/>
    <xf borderId="5" fillId="2" fontId="8" numFmtId="0" xfId="0" applyAlignment="1" applyBorder="1" applyFont="1">
      <alignment horizontal="center" shrinkToFit="0" vertical="center" wrapText="1"/>
    </xf>
    <xf borderId="7" fillId="0" fontId="9" numFmtId="0" xfId="0" applyBorder="1" applyFont="1"/>
    <xf borderId="5" fillId="0" fontId="2" numFmtId="0" xfId="0" applyAlignment="1" applyBorder="1" applyFont="1">
      <alignment horizontal="center"/>
    </xf>
    <xf borderId="0" fillId="0" fontId="10" numFmtId="0" xfId="0" applyAlignment="1" applyFont="1">
      <alignment horizontal="center" vertical="center"/>
    </xf>
    <xf borderId="8" fillId="0" fontId="8" numFmtId="0" xfId="0" applyAlignment="1" applyBorder="1" applyFont="1">
      <alignment vertical="center"/>
    </xf>
    <xf borderId="5" fillId="0" fontId="2" numFmtId="164" xfId="0" applyAlignment="1" applyBorder="1" applyFont="1" applyNumberFormat="1">
      <alignment horizontal="left" vertical="center"/>
    </xf>
    <xf borderId="9" fillId="0" fontId="8" numFmtId="0" xfId="0" applyAlignment="1" applyBorder="1" applyFont="1">
      <alignment horizontal="center" shrinkToFit="0" vertical="center" wrapText="1"/>
    </xf>
    <xf borderId="10" fillId="0" fontId="2" numFmtId="14" xfId="0" applyAlignment="1" applyBorder="1" applyFont="1" applyNumberFormat="1">
      <alignment horizontal="center" vertical="center"/>
    </xf>
    <xf borderId="11" fillId="0" fontId="9" numFmtId="0" xfId="0" applyBorder="1" applyFont="1"/>
    <xf borderId="0" fillId="0" fontId="2" numFmtId="0" xfId="0" applyFont="1"/>
    <xf borderId="12" fillId="0" fontId="9" numFmtId="0" xfId="0" applyBorder="1" applyFont="1"/>
    <xf borderId="13" fillId="0" fontId="9" numFmtId="0" xfId="0" applyBorder="1" applyFont="1"/>
    <xf borderId="14" fillId="0" fontId="9" numFmtId="0" xfId="0" applyBorder="1" applyFont="1"/>
    <xf borderId="5" fillId="3" fontId="10" numFmtId="0" xfId="0" applyAlignment="1" applyBorder="1" applyFill="1" applyFont="1">
      <alignment horizontal="center" vertical="center"/>
    </xf>
    <xf borderId="8" fillId="2" fontId="8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8" fillId="0" fontId="2" numFmtId="164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shrinkToFit="0" vertical="center" wrapText="1"/>
    </xf>
    <xf borderId="8" fillId="0" fontId="2" numFmtId="2" xfId="0" applyAlignment="1" applyBorder="1" applyFont="1" applyNumberFormat="1">
      <alignment horizontal="center" vertical="center"/>
    </xf>
    <xf borderId="8" fillId="0" fontId="2" numFmtId="165" xfId="0" applyAlignment="1" applyBorder="1" applyFont="1" applyNumberFormat="1">
      <alignment horizontal="center" vertical="center"/>
    </xf>
    <xf borderId="0" fillId="0" fontId="2" numFmtId="166" xfId="0" applyAlignment="1" applyFont="1" applyNumberFormat="1">
      <alignment readingOrder="0"/>
    </xf>
    <xf borderId="0" fillId="0" fontId="2" numFmtId="166" xfId="0" applyFont="1" applyNumberFormat="1"/>
    <xf borderId="8" fillId="0" fontId="2" numFmtId="0" xfId="0" applyAlignment="1" applyBorder="1" applyFont="1">
      <alignment horizontal="center" vertical="center"/>
    </xf>
    <xf borderId="0" fillId="0" fontId="10" numFmtId="0" xfId="0" applyFont="1"/>
    <xf borderId="0" fillId="0" fontId="1" numFmtId="0" xfId="0" applyFont="1"/>
    <xf borderId="5" fillId="2" fontId="10" numFmtId="0" xfId="0" applyAlignment="1" applyBorder="1" applyFont="1">
      <alignment horizontal="right" vertical="center"/>
    </xf>
    <xf borderId="15" fillId="0" fontId="9" numFmtId="0" xfId="0" applyBorder="1" applyFont="1"/>
    <xf borderId="16" fillId="2" fontId="10" numFmtId="164" xfId="0" applyAlignment="1" applyBorder="1" applyFont="1" applyNumberFormat="1">
      <alignment horizontal="left" vertical="center"/>
    </xf>
    <xf borderId="16" fillId="2" fontId="10" numFmtId="0" xfId="0" applyAlignment="1" applyBorder="1" applyFont="1">
      <alignment horizontal="center" vertical="center"/>
    </xf>
    <xf borderId="17" fillId="2" fontId="10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vertical="center"/>
    </xf>
    <xf borderId="18" fillId="0" fontId="10" numFmtId="0" xfId="0" applyAlignment="1" applyBorder="1" applyFont="1">
      <alignment horizontal="left" vertical="center"/>
    </xf>
    <xf borderId="0" fillId="0" fontId="1" numFmtId="164" xfId="0" applyAlignment="1" applyFont="1" applyNumberFormat="1">
      <alignment horizontal="left" shrinkToFit="0" vertical="center" wrapText="1"/>
    </xf>
    <xf borderId="19" fillId="0" fontId="9" numFmtId="0" xfId="0" applyBorder="1" applyFont="1"/>
    <xf borderId="0" fillId="0" fontId="17" numFmtId="0" xfId="0" applyAlignment="1" applyFont="1">
      <alignment vertical="center"/>
    </xf>
    <xf borderId="0" fillId="0" fontId="18" numFmtId="0" xfId="0" applyAlignment="1" applyFont="1">
      <alignment horizontal="left" vertical="center"/>
    </xf>
    <xf borderId="18" fillId="0" fontId="13" numFmtId="0" xfId="0" applyAlignment="1" applyBorder="1" applyFont="1">
      <alignment horizontal="left" vertical="center"/>
    </xf>
    <xf borderId="13" fillId="0" fontId="13" numFmtId="0" xfId="0" applyAlignment="1" applyBorder="1" applyFont="1">
      <alignment horizontal="left" vertical="center"/>
    </xf>
    <xf borderId="20" fillId="0" fontId="1" numFmtId="0" xfId="0" applyAlignment="1" applyBorder="1" applyFont="1">
      <alignment horizontal="left" shrinkToFit="0" vertical="center" wrapText="1"/>
    </xf>
    <xf borderId="20" fillId="0" fontId="9" numFmtId="0" xfId="0" applyBorder="1" applyFont="1"/>
    <xf borderId="5" fillId="2" fontId="13" numFmtId="0" xfId="0" applyAlignment="1" applyBorder="1" applyFont="1">
      <alignment horizontal="center" vertical="center"/>
    </xf>
    <xf borderId="18" fillId="0" fontId="13" numFmtId="0" xfId="0" applyAlignment="1" applyBorder="1" applyFont="1">
      <alignment vertical="center"/>
    </xf>
    <xf borderId="0" fillId="0" fontId="4" numFmtId="0" xfId="0" applyAlignment="1" applyFont="1">
      <alignment horizontal="left" vertical="center"/>
    </xf>
    <xf borderId="0" fillId="0" fontId="13" numFmtId="0" xfId="0" applyAlignment="1" applyFont="1">
      <alignment horizontal="right" vertical="center"/>
    </xf>
    <xf borderId="0" fillId="0" fontId="1" numFmtId="0" xfId="0" applyAlignment="1" applyFont="1">
      <alignment horizontal="left" vertical="center"/>
    </xf>
    <xf borderId="18" fillId="0" fontId="10" numFmtId="0" xfId="0" applyAlignment="1" applyBorder="1" applyFont="1">
      <alignment vertical="center"/>
    </xf>
    <xf borderId="20" fillId="0" fontId="4" numFmtId="0" xfId="0" applyAlignment="1" applyBorder="1" applyFont="1">
      <alignment horizontal="left" vertical="center"/>
    </xf>
    <xf borderId="20" fillId="0" fontId="10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left" vertical="center"/>
    </xf>
    <xf borderId="5" fillId="2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vertical="center"/>
    </xf>
    <xf borderId="21" fillId="4" fontId="1" numFmtId="14" xfId="0" applyAlignment="1" applyBorder="1" applyFill="1" applyFont="1" applyNumberFormat="1">
      <alignment horizontal="left" vertical="center"/>
    </xf>
    <xf borderId="7" fillId="0" fontId="10" numFmtId="0" xfId="0" applyAlignment="1" applyBorder="1" applyFont="1">
      <alignment horizontal="right" shrinkToFit="0" vertical="center" wrapText="1"/>
    </xf>
    <xf borderId="22" fillId="0" fontId="1" numFmtId="0" xfId="0" applyAlignment="1" applyBorder="1" applyFont="1">
      <alignment horizontal="left" vertical="center"/>
    </xf>
    <xf borderId="5" fillId="0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shrinkToFit="0" vertical="center" wrapText="1"/>
    </xf>
    <xf borderId="5" fillId="4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23" fillId="4" fontId="1" numFmtId="0" xfId="0" applyAlignment="1" applyBorder="1" applyFont="1">
      <alignment horizontal="center" vertical="center"/>
    </xf>
    <xf borderId="24" fillId="0" fontId="9" numFmtId="0" xfId="0" applyBorder="1" applyFont="1"/>
    <xf borderId="25" fillId="0" fontId="9" numFmtId="0" xfId="0" applyBorder="1" applyFont="1"/>
    <xf borderId="5" fillId="0" fontId="1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right" vertical="center"/>
    </xf>
    <xf borderId="7" fillId="0" fontId="1" numFmtId="2" xfId="0" applyAlignment="1" applyBorder="1" applyFont="1" applyNumberFormat="1">
      <alignment horizontal="left" shrinkToFit="0" vertical="center" wrapText="1"/>
    </xf>
    <xf borderId="7" fillId="0" fontId="1" numFmtId="0" xfId="0" applyAlignment="1" applyBorder="1" applyFont="1">
      <alignment horizontal="right" shrinkToFit="0" vertical="center" wrapText="1"/>
    </xf>
    <xf borderId="26" fillId="4" fontId="1" numFmtId="2" xfId="0" applyAlignment="1" applyBorder="1" applyFont="1" applyNumberFormat="1">
      <alignment horizontal="left" shrinkToFit="0" vertical="center" wrapText="1"/>
    </xf>
    <xf borderId="5" fillId="4" fontId="10" numFmtId="0" xfId="0" applyAlignment="1" applyBorder="1" applyFont="1">
      <alignment horizontal="center" vertical="center"/>
    </xf>
    <xf borderId="5" fillId="3" fontId="10" numFmtId="0" xfId="0" applyAlignment="1" applyBorder="1" applyFont="1">
      <alignment horizontal="center" shrinkToFit="0" vertical="center" wrapText="1"/>
    </xf>
    <xf borderId="8" fillId="3" fontId="10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vertical="center"/>
    </xf>
    <xf borderId="5" fillId="4" fontId="1" numFmtId="2" xfId="0" applyAlignment="1" applyBorder="1" applyFont="1" applyNumberFormat="1">
      <alignment horizontal="center" vertical="center"/>
    </xf>
    <xf borderId="10" fillId="4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8" fillId="0" fontId="9" numFmtId="0" xfId="0" applyBorder="1" applyFont="1"/>
    <xf borderId="27" fillId="0" fontId="9" numFmtId="0" xfId="0" applyBorder="1" applyFont="1"/>
    <xf borderId="0" fillId="0" fontId="1" numFmtId="0" xfId="0" applyAlignment="1" applyFont="1">
      <alignment horizontal="center" vertical="center"/>
    </xf>
    <xf borderId="5" fillId="4" fontId="1" numFmtId="1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5" fontId="20" numFmtId="0" xfId="0" applyAlignment="1" applyFill="1" applyFont="1">
      <alignment horizontal="center" readingOrder="0"/>
    </xf>
    <xf borderId="0" fillId="0" fontId="16" numFmtId="0" xfId="0" applyAlignment="1" applyFont="1">
      <alignment readingOrder="0"/>
    </xf>
  </cellXfs>
  <cellStyles count="1">
    <cellStyle xfId="0" name="Normal" builtinId="0"/>
  </cellStyles>
  <dxfs count="3">
    <dxf>
      <font>
        <b/>
        <color rgb="FFC00000"/>
      </font>
      <fill>
        <patternFill patternType="none"/>
      </fill>
      <border/>
    </dxf>
    <dxf>
      <font>
        <b/>
        <color rgb="FFFF0000"/>
      </font>
      <fill>
        <patternFill patternType="none"/>
      </fill>
      <border/>
    </dxf>
    <dxf>
      <font>
        <b/>
        <color rgb="FF009E4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externalLink" Target="externalLinks/externalLink1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5.png"/><Relationship Id="rId5" Type="http://schemas.openxmlformats.org/officeDocument/2006/relationships/image" Target="../media/image3.png"/><Relationship Id="rId6" Type="http://schemas.openxmlformats.org/officeDocument/2006/relationships/image" Target="../media/image2.png"/><Relationship Id="rId7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401050" cy="1914525"/>
    <xdr:sp>
      <xdr:nvSpPr>
        <xdr:cNvPr id="3" name="Shape 3"/>
        <xdr:cNvSpPr/>
      </xdr:nvSpPr>
      <xdr:spPr>
        <a:xfrm>
          <a:off x="1150238" y="2827500"/>
          <a:ext cx="8391525" cy="1905000"/>
        </a:xfrm>
        <a:prstGeom prst="rect">
          <a:avLst/>
        </a:prstGeom>
        <a:solidFill>
          <a:srgbClr val="323F4F"/>
        </a:soli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37</xdr:row>
      <xdr:rowOff>180975</xdr:rowOff>
    </xdr:from>
    <xdr:ext cx="8391525" cy="2343150"/>
    <xdr:grpSp>
      <xdr:nvGrpSpPr>
        <xdr:cNvPr id="2" name="Shape 2"/>
        <xdr:cNvGrpSpPr/>
      </xdr:nvGrpSpPr>
      <xdr:grpSpPr>
        <a:xfrm>
          <a:off x="1150238" y="2608425"/>
          <a:ext cx="8391526" cy="2343150"/>
          <a:chOff x="1150238" y="2608425"/>
          <a:chExt cx="8391526" cy="2343150"/>
        </a:xfrm>
      </xdr:grpSpPr>
      <xdr:grpSp>
        <xdr:nvGrpSpPr>
          <xdr:cNvPr id="4" name="Shape 4"/>
          <xdr:cNvGrpSpPr/>
        </xdr:nvGrpSpPr>
        <xdr:grpSpPr>
          <a:xfrm>
            <a:off x="1150238" y="2608425"/>
            <a:ext cx="8391526" cy="2343150"/>
            <a:chOff x="115358" y="8501478"/>
            <a:chExt cx="7255041" cy="2382258"/>
          </a:xfrm>
        </xdr:grpSpPr>
        <xdr:sp>
          <xdr:nvSpPr>
            <xdr:cNvPr id="5" name="Shape 5"/>
            <xdr:cNvSpPr/>
          </xdr:nvSpPr>
          <xdr:spPr>
            <a:xfrm>
              <a:off x="115358" y="8501478"/>
              <a:ext cx="7255025" cy="23822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6" name="Shape 6"/>
            <xdr:cNvSpPr/>
          </xdr:nvSpPr>
          <xdr:spPr>
            <a:xfrm>
              <a:off x="115358" y="9331809"/>
              <a:ext cx="7255041" cy="1512388"/>
            </a:xfrm>
            <a:prstGeom prst="rect">
              <a:avLst/>
            </a:prstGeom>
            <a:solidFill>
              <a:srgbClr val="323F4F"/>
            </a:solidFill>
            <a:ln cap="flat" cmpd="sng" w="127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7" name="Shape 7"/>
            <xdr:cNvSpPr/>
          </xdr:nvSpPr>
          <xdr:spPr>
            <a:xfrm rot="-5400000">
              <a:off x="4301696" y="7765608"/>
              <a:ext cx="2332834" cy="3804573"/>
            </a:xfrm>
            <a:prstGeom prst="rtTriangle">
              <a:avLst/>
            </a:prstGeom>
            <a:gradFill>
              <a:gsLst>
                <a:gs pos="0">
                  <a:srgbClr val="FFFFFF"/>
                </a:gs>
                <a:gs pos="90000">
                  <a:srgbClr val="92D050"/>
                </a:gs>
                <a:gs pos="100000">
                  <a:srgbClr val="92D050"/>
                </a:gs>
              </a:gsLst>
              <a:lin ang="2700000" scaled="0"/>
            </a:gradFill>
            <a:ln cap="flat" cmpd="sng" w="12700">
              <a:solidFill>
                <a:schemeClr val="lt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t" bIns="45700" lIns="91425" spcFirstLastPara="1" rIns="91425" wrap="square" tIns="45700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grpSp>
          <xdr:nvGrpSpPr>
            <xdr:cNvPr id="8" name="Shape 8"/>
            <xdr:cNvGrpSpPr/>
          </xdr:nvGrpSpPr>
          <xdr:grpSpPr>
            <a:xfrm>
              <a:off x="271823" y="9480082"/>
              <a:ext cx="5995084" cy="1403654"/>
              <a:chOff x="-1785293" y="11455096"/>
              <a:chExt cx="5433045" cy="1403654"/>
            </a:xfrm>
          </xdr:grpSpPr>
          <xdr:sp>
            <xdr:nvSpPr>
              <xdr:cNvPr id="9" name="Shape 9"/>
              <xdr:cNvSpPr txBox="1"/>
            </xdr:nvSpPr>
            <xdr:spPr>
              <a:xfrm>
                <a:off x="-1747978" y="11455096"/>
                <a:ext cx="5395730" cy="1403654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b="0"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Ecosegme</a:t>
                </a:r>
                <a:r>
                  <a:rPr b="0"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Consultoria Ambiental Ltda.</a:t>
                </a:r>
                <a:endParaRPr b="0"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dk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 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Rua Prof. Antônio Giulesse N. 354 - Alvorada 02. Manaus/AM.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  08.584.308/0001-33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>
                  <a:solidFill>
                    <a:schemeClr val="lt1"/>
                  </a:solidFill>
                </a:endParaRPr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      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(92)</a:t>
                </a:r>
                <a:r>
                  <a:rPr lang="en-US" sz="1100">
                    <a:solidFill>
                      <a:schemeClr val="lt1"/>
                    </a:solidFill>
                    <a:latin typeface="Calibri"/>
                    <a:ea typeface="Calibri"/>
                    <a:cs typeface="Calibri"/>
                    <a:sym typeface="Calibri"/>
                  </a:rPr>
                  <a:t> 3657 - 7043                   vendas@ecosegme.com.br</a:t>
                </a:r>
                <a:endParaRPr sz="1400"/>
              </a:p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pic>
            <xdr:nvPicPr>
              <xdr:cNvPr descr="Telefone" id="10" name="Shape 10"/>
              <xdr:cNvPicPr preferRelativeResize="0"/>
            </xdr:nvPicPr>
            <xdr:blipFill rotWithShape="1">
              <a:blip r:embed="rId1">
                <a:alphaModFix/>
              </a:blip>
              <a:srcRect b="0" l="0" r="0" t="0"/>
              <a:stretch/>
            </xdr:blipFill>
            <xdr:spPr>
              <a:xfrm>
                <a:off x="-1785293" y="12537998"/>
                <a:ext cx="261204" cy="257007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Banco" id="11" name="Shape 11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-1770367" y="11810952"/>
                <a:ext cx="216426" cy="22735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Email" id="12" name="Shape 12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-643457" y="12537999"/>
                <a:ext cx="223889" cy="227352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descr="Documento" id="13" name="Shape 13"/>
              <xdr:cNvPicPr preferRelativeResize="0"/>
            </xdr:nvPicPr>
            <xdr:blipFill rotWithShape="1">
              <a:blip r:embed="rId4">
                <a:alphaModFix/>
              </a:blip>
              <a:srcRect b="0" l="0" r="0" t="0"/>
              <a:stretch/>
            </xdr:blipFill>
            <xdr:spPr>
              <a:xfrm flipH="1">
                <a:off x="-1785293" y="12176693"/>
                <a:ext cx="268667" cy="257007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0</xdr:col>
      <xdr:colOff>0</xdr:colOff>
      <xdr:row>0</xdr:row>
      <xdr:rowOff>0</xdr:rowOff>
    </xdr:from>
    <xdr:ext cx="3314700" cy="2676525"/>
    <xdr:sp>
      <xdr:nvSpPr>
        <xdr:cNvPr id="14" name="Shape 14"/>
        <xdr:cNvSpPr/>
      </xdr:nvSpPr>
      <xdr:spPr>
        <a:xfrm rot="5400000">
          <a:off x="4012500" y="2132175"/>
          <a:ext cx="2667000" cy="3295650"/>
        </a:xfrm>
        <a:prstGeom prst="rtTriangle">
          <a:avLst/>
        </a:prstGeom>
        <a:gradFill>
          <a:gsLst>
            <a:gs pos="0">
              <a:srgbClr val="FFFFFF"/>
            </a:gs>
            <a:gs pos="90000">
              <a:srgbClr val="92D050"/>
            </a:gs>
            <a:gs pos="100000">
              <a:srgbClr val="92D050"/>
            </a:gs>
          </a:gsLst>
          <a:lin ang="2700000" scaled="0"/>
        </a:gradFill>
        <a:ln cap="flat" cmpd="sng" w="1270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371475</xdr:colOff>
      <xdr:row>4</xdr:row>
      <xdr:rowOff>76200</xdr:rowOff>
    </xdr:from>
    <xdr:ext cx="4305300" cy="552450"/>
    <xdr:sp>
      <xdr:nvSpPr>
        <xdr:cNvPr id="15" name="Shape 15"/>
        <xdr:cNvSpPr/>
      </xdr:nvSpPr>
      <xdr:spPr>
        <a:xfrm>
          <a:off x="3198113" y="3503775"/>
          <a:ext cx="4295775" cy="552450"/>
        </a:xfrm>
        <a:prstGeom prst="octagon">
          <a:avLst>
            <a:gd fmla="val 29289" name="adj"/>
          </a:avLst>
        </a:prstGeom>
        <a:gradFill>
          <a:gsLst>
            <a:gs pos="0">
              <a:srgbClr val="FFFFFF"/>
            </a:gs>
            <a:gs pos="90000">
              <a:srgbClr val="92D050"/>
            </a:gs>
            <a:gs pos="100000">
              <a:srgbClr val="92D050"/>
            </a:gs>
          </a:gsLst>
          <a:lin ang="2700000" scaled="0"/>
        </a:gra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2400">
            <a:solidFill>
              <a:srgbClr val="002060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3</xdr:col>
      <xdr:colOff>152400</xdr:colOff>
      <xdr:row>1</xdr:row>
      <xdr:rowOff>152400</xdr:rowOff>
    </xdr:from>
    <xdr:ext cx="4733925" cy="771525"/>
    <xdr:sp>
      <xdr:nvSpPr>
        <xdr:cNvPr id="16" name="Shape 16"/>
        <xdr:cNvSpPr txBox="1"/>
      </xdr:nvSpPr>
      <xdr:spPr>
        <a:xfrm>
          <a:off x="2983800" y="3399000"/>
          <a:ext cx="4724400" cy="7620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600">
              <a:solidFill>
                <a:schemeClr val="lt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Relatório</a:t>
          </a:r>
          <a:r>
            <a:rPr b="1" lang="en-US" sz="1600">
              <a:solidFill>
                <a:schemeClr val="lt1"/>
              </a:solidFill>
              <a:latin typeface="Quattrocento Sans"/>
              <a:ea typeface="Quattrocento Sans"/>
              <a:cs typeface="Quattrocento Sans"/>
              <a:sym typeface="Quattrocento Sans"/>
            </a:rPr>
            <a:t> de Ruído Ocupacional</a:t>
          </a:r>
          <a:endParaRPr sz="3200">
            <a:solidFill>
              <a:schemeClr val="lt1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</xdr:col>
      <xdr:colOff>114300</xdr:colOff>
      <xdr:row>21</xdr:row>
      <xdr:rowOff>161925</xdr:rowOff>
    </xdr:from>
    <xdr:ext cx="7210425" cy="495300"/>
    <xdr:sp>
      <xdr:nvSpPr>
        <xdr:cNvPr id="17" name="Shape 17"/>
        <xdr:cNvSpPr txBox="1"/>
      </xdr:nvSpPr>
      <xdr:spPr>
        <a:xfrm>
          <a:off x="1745550" y="3532350"/>
          <a:ext cx="7200900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0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2</xdr:col>
      <xdr:colOff>485775</xdr:colOff>
      <xdr:row>26</xdr:row>
      <xdr:rowOff>114300</xdr:rowOff>
    </xdr:from>
    <xdr:ext cx="4295775" cy="495300"/>
    <xdr:sp>
      <xdr:nvSpPr>
        <xdr:cNvPr id="18" name="Shape 18"/>
        <xdr:cNvSpPr txBox="1"/>
      </xdr:nvSpPr>
      <xdr:spPr>
        <a:xfrm>
          <a:off x="3202875" y="3532350"/>
          <a:ext cx="4286250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48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</xdr:col>
      <xdr:colOff>104775</xdr:colOff>
      <xdr:row>24</xdr:row>
      <xdr:rowOff>0</xdr:rowOff>
    </xdr:from>
    <xdr:ext cx="7229475" cy="495300"/>
    <xdr:sp>
      <xdr:nvSpPr>
        <xdr:cNvPr id="19" name="Shape 19"/>
        <xdr:cNvSpPr txBox="1"/>
      </xdr:nvSpPr>
      <xdr:spPr>
        <a:xfrm>
          <a:off x="1731263" y="3532350"/>
          <a:ext cx="7229475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b="1" sz="48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1</xdr:col>
      <xdr:colOff>66675</xdr:colOff>
      <xdr:row>34</xdr:row>
      <xdr:rowOff>209550</xdr:rowOff>
    </xdr:from>
    <xdr:ext cx="7324725" cy="495300"/>
    <xdr:sp>
      <xdr:nvSpPr>
        <xdr:cNvPr id="20" name="Shape 20"/>
        <xdr:cNvSpPr txBox="1"/>
      </xdr:nvSpPr>
      <xdr:spPr>
        <a:xfrm>
          <a:off x="1688400" y="3532350"/>
          <a:ext cx="7315200" cy="495300"/>
        </a:xfrm>
        <a:prstGeom prst="rect">
          <a:avLst/>
        </a:prstGeom>
        <a:noFill/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 </a:t>
          </a:r>
          <a:endParaRPr sz="4400">
            <a:solidFill>
              <a:srgbClr val="1E4E79"/>
            </a:solidFill>
            <a:latin typeface="Quattrocento Sans"/>
            <a:ea typeface="Quattrocento Sans"/>
            <a:cs typeface="Quattrocento Sans"/>
            <a:sym typeface="Quattrocento Sans"/>
          </a:endParaRPr>
        </a:p>
      </xdr:txBody>
    </xdr:sp>
    <xdr:clientData fLocksWithSheet="0"/>
  </xdr:oneCellAnchor>
  <xdr:oneCellAnchor>
    <xdr:from>
      <xdr:col>33</xdr:col>
      <xdr:colOff>19050</xdr:colOff>
      <xdr:row>6</xdr:row>
      <xdr:rowOff>114300</xdr:rowOff>
    </xdr:from>
    <xdr:ext cx="1038225" cy="1066800"/>
    <xdr:pic>
      <xdr:nvPicPr>
        <xdr:cNvPr id="0" name="image3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33</xdr:col>
      <xdr:colOff>342900</xdr:colOff>
      <xdr:row>19</xdr:row>
      <xdr:rowOff>85725</xdr:rowOff>
    </xdr:from>
    <xdr:ext cx="1047750" cy="1133475"/>
    <xdr:pic>
      <xdr:nvPicPr>
        <xdr:cNvPr id="0" name="image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466725</xdr:colOff>
      <xdr:row>8</xdr:row>
      <xdr:rowOff>190500</xdr:rowOff>
    </xdr:from>
    <xdr:ext cx="2628900" cy="2724150"/>
    <xdr:pic>
      <xdr:nvPicPr>
        <xdr:cNvPr id="0" name="image1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1</xdr:row>
      <xdr:rowOff>9525</xdr:rowOff>
    </xdr:from>
    <xdr:ext cx="5105400" cy="8801100"/>
    <xdr:sp>
      <xdr:nvSpPr>
        <xdr:cNvPr id="21" name="Shape 21"/>
        <xdr:cNvSpPr txBox="1"/>
      </xdr:nvSpPr>
      <xdr:spPr>
        <a:xfrm>
          <a:off x="2798063" y="0"/>
          <a:ext cx="5095875" cy="7560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1. INTRODUÇÃO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Este documento estabelece os critérios e diretrizes para a avaliação da exposição ocupacional ao ruído, garantindo conformidade com as normas 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vigentes, especificamente: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Norma de Higiene Ocupacional NHO 01 – Avaliação da Exposição Ocupacional ao Ruído, da FUNDACENTRO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e 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Norma Regulamentadora NR 15 – Anexo 1 e 2 – Limites de Tolerância para Ruído Contínuo, Intermitente e Impacto, do Ministério do Trabalho e Emprego (MTE).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         A exposição a níveis elevados de ruído pode causar perda auditiva irreversível, impactando a saúde e a produtividade dos trabalhadores. A correta identificação e controle desses riscos são fundamentais para a prevenção de doenças ocupacionais e para o cumprimento das obrigações legais da empresa.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2. OBJETIVO: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Este documento tem como objetivo: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Padronizar o processo de medição e análise da exposição ao ruído nos ambientes de trabalho;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Fornecer diretrizes para identificação e controle dos riscos auditivos;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Assegurar conformidade com os limites de exposição estabelecidos pela NR 15 e NHO 01;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Fornecer subsídios técnicos para a adoção de medidas corretivas e preventivas.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3. </a:t>
          </a:r>
          <a:r>
            <a:rPr b="1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JUSTIFICATIVA: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exposição ao ruído é um dos principais agentes de risco físico no ambiente de trabalho, podendo resultar em: 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Perda auditiva induzida por ruído (PAIR)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– irreversível e cumulativa;</a:t>
          </a:r>
          <a:b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</a:b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Estresse ocupacional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– impactando o desempenho do trabalhador;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Comprometimento da comunicação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– aumentando o risco de acidentes;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Efeitos sistêmicos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– incluindo aumento da pressão arterial e fadiga.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caracterização do risco e a adoção de 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medidas de controle são obrigatórias para empresas que expõem trabalhadores a níveis de ruído acima dos limites regulamentares.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47625</xdr:colOff>
      <xdr:row>49</xdr:row>
      <xdr:rowOff>0</xdr:rowOff>
    </xdr:from>
    <xdr:ext cx="5105400" cy="2571750"/>
    <xdr:sp>
      <xdr:nvSpPr>
        <xdr:cNvPr id="22" name="Shape 22"/>
        <xdr:cNvSpPr txBox="1"/>
      </xdr:nvSpPr>
      <xdr:spPr>
        <a:xfrm>
          <a:off x="2798063" y="2498888"/>
          <a:ext cx="5095875" cy="2562225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 </a:t>
          </a:r>
          <a:r>
            <a:rPr b="1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CRITÉRIO DE AVALIAÇÃO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avaliação segue os critérios estabelecidos pela </a:t>
          </a: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NHO 01 e NR 15</a:t>
          </a: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, conforme descrito abaixo: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4.1 Ruído Contínuo ou Intermitente (NR 15 - Anexo 1):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nível de tolerância para ruído contínuo ou intermitente é 85 dB(A) para 8 horas de trabalho;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Para níveis superiores a 85 dB(A), o tempo máximo de exposição permitido segue a tabela abaixo: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66675</xdr:colOff>
      <xdr:row>95</xdr:row>
      <xdr:rowOff>0</xdr:rowOff>
    </xdr:from>
    <xdr:ext cx="5105400" cy="8115300"/>
    <xdr:sp>
      <xdr:nvSpPr>
        <xdr:cNvPr id="23" name="Shape 23"/>
        <xdr:cNvSpPr txBox="1"/>
      </xdr:nvSpPr>
      <xdr:spPr>
        <a:xfrm>
          <a:off x="2798063" y="0"/>
          <a:ext cx="5095875" cy="756000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5. </a:t>
          </a:r>
          <a:r>
            <a:rPr b="1" lang="en-US" sz="1100" cap="none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METODOLOGIA DE AVALIAÇÃO:</a:t>
          </a:r>
          <a:endParaRPr sz="1100" cap="none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avaliação do ruído ocupacional segue </a:t>
          </a: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 metodologia da NHO 01, baseada nos seguintes procedimentos: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5.1 Procedimento de Medição: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Posicionamento do microfone próximo à zona auditiva do trabalhador;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Registro das atividades executadas durante a medição;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Aferição da calibração dos equipamentos antes e depois da medição;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Coleta de dados representativa da jornada de trabalho.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0</xdr:col>
      <xdr:colOff>66675</xdr:colOff>
      <xdr:row>71</xdr:row>
      <xdr:rowOff>47625</xdr:rowOff>
    </xdr:from>
    <xdr:ext cx="5105400" cy="3105150"/>
    <xdr:sp>
      <xdr:nvSpPr>
        <xdr:cNvPr id="24" name="Shape 24"/>
        <xdr:cNvSpPr txBox="1"/>
      </xdr:nvSpPr>
      <xdr:spPr>
        <a:xfrm>
          <a:off x="2798063" y="2227425"/>
          <a:ext cx="5095875" cy="3105150"/>
        </a:xfrm>
        <a:prstGeom prst="rect">
          <a:avLst/>
        </a:prstGeom>
        <a:solidFill>
          <a:schemeClr val="lt1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4.2 Ruído de Impacto (NR 15 - Anexo 2):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O limite de tolerância para ruído de impacto é: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130 dB(C) no circuito de resposta rápida (FAST);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140 dB(Lin) no circuito de resposta para impacto.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4.3 Fatores Considerados na Avaliação:</a:t>
          </a:r>
          <a:endParaRPr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Identificação da jornada de trabalho e tempo de exposição real;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Atividade exercida pelo trabalhador durante a medição;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Uso de Equipamentos de Proteção Individual (EPI) auditivos;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Presença de barreiras acústicas e condições ambientais.</a:t>
          </a:r>
          <a:endParaRPr sz="1400"/>
        </a:p>
        <a:p>
          <a:pPr indent="0" lvl="0" marL="0" rtl="0" algn="just">
            <a:lnSpc>
              <a:spcPct val="150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0" sz="11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>
            <a:solidFill>
              <a:schemeClr val="dk1"/>
            </a:solidFill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1343025</xdr:colOff>
      <xdr:row>36</xdr:row>
      <xdr:rowOff>47625</xdr:rowOff>
    </xdr:from>
    <xdr:ext cx="2028825" cy="5048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Ray%20Pexoto/Dropbox/Ecosegme/ENGENHARIA/MODELO%20DE%20LAUDOS/CIPA/RA_Modelo_Cipa_2021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apa Anexo A"/>
      <sheetName val="CIPA"/>
      <sheetName val="3"/>
      <sheetName val="Capa Anexo B"/>
      <sheetName val="DADOS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22.29"/>
    <col customWidth="1" min="3" max="3" width="12.71"/>
    <col customWidth="1" min="4" max="4" width="13.57"/>
    <col customWidth="1" min="5" max="7" width="12.71"/>
    <col customWidth="1" min="8" max="8" width="25.14"/>
    <col customWidth="1" min="9" max="11" width="9.14"/>
    <col customWidth="1" min="12" max="12" width="13.43"/>
    <col customWidth="1" min="13" max="13" width="9.14"/>
    <col customWidth="1" min="14" max="14" width="13.43"/>
    <col customWidth="1" min="15" max="15" width="24.0"/>
    <col customWidth="1" min="16" max="29" width="9.14"/>
    <col customWidth="1" min="30" max="36" width="8.71"/>
  </cols>
  <sheetData>
    <row r="1" ht="19.5" customHeight="1">
      <c r="A1" s="1"/>
      <c r="B1" s="2"/>
      <c r="C1" s="2"/>
      <c r="D1" s="2"/>
      <c r="E1" s="2"/>
      <c r="F1" s="2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9.5" customHeight="1">
      <c r="A2" s="1"/>
      <c r="B2" s="3"/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9.5" customHeight="1">
      <c r="A3" s="1"/>
      <c r="B3" s="3"/>
      <c r="C3" s="3"/>
      <c r="D3" s="3"/>
      <c r="E3" s="3"/>
      <c r="F3" s="3"/>
      <c r="G3" s="3"/>
      <c r="H3" s="3"/>
      <c r="I3" s="1"/>
      <c r="J3" s="1"/>
      <c r="K3" s="1"/>
      <c r="L3" s="5" t="s">
        <v>0</v>
      </c>
      <c r="M3" s="4" t="s">
        <v>1</v>
      </c>
      <c r="N3" s="1"/>
      <c r="O3" s="1"/>
      <c r="P3" s="4" t="s">
        <v>2</v>
      </c>
      <c r="Q3" s="6"/>
      <c r="R3" s="6"/>
      <c r="S3" s="4" t="s">
        <v>3</v>
      </c>
      <c r="T3" s="4"/>
      <c r="U3" s="4"/>
      <c r="V3" s="4" t="s">
        <v>4</v>
      </c>
      <c r="W3" s="4"/>
      <c r="X3" s="6"/>
      <c r="Y3" s="6" t="s">
        <v>5</v>
      </c>
      <c r="Z3" s="6"/>
      <c r="AA3" s="6"/>
      <c r="AB3" s="6" t="s">
        <v>6</v>
      </c>
      <c r="AC3" s="6"/>
      <c r="AD3" s="1"/>
      <c r="AE3" s="1"/>
      <c r="AF3" s="1"/>
      <c r="AG3" s="1"/>
      <c r="AH3" s="1"/>
      <c r="AI3" s="1"/>
      <c r="AJ3" s="1"/>
    </row>
    <row r="4" ht="19.5" customHeight="1">
      <c r="A4" s="1"/>
      <c r="B4" s="7"/>
      <c r="C4" s="7"/>
      <c r="D4" s="7"/>
      <c r="E4" s="7"/>
      <c r="F4" s="7"/>
      <c r="G4" s="7"/>
      <c r="H4" s="7"/>
      <c r="I4" s="1"/>
      <c r="J4" s="1"/>
      <c r="K4" s="1"/>
      <c r="L4" s="1"/>
      <c r="M4" s="5" t="s">
        <v>7</v>
      </c>
      <c r="N4" s="1"/>
      <c r="O4" s="1"/>
      <c r="P4" s="4" t="s">
        <v>8</v>
      </c>
      <c r="Q4" s="6"/>
      <c r="R4" s="6"/>
      <c r="S4" s="4" t="s">
        <v>9</v>
      </c>
      <c r="T4" s="4"/>
      <c r="U4" s="4"/>
      <c r="V4" s="4" t="s">
        <v>10</v>
      </c>
      <c r="W4" s="4"/>
      <c r="X4" s="6"/>
      <c r="Y4" s="6" t="s">
        <v>11</v>
      </c>
      <c r="Z4" s="6"/>
      <c r="AA4" s="6"/>
      <c r="AB4" s="6" t="s">
        <v>12</v>
      </c>
      <c r="AC4" s="6"/>
      <c r="AD4" s="1"/>
      <c r="AE4" s="1"/>
      <c r="AF4" s="1"/>
      <c r="AG4" s="1"/>
      <c r="AH4" s="1"/>
      <c r="AI4" s="1"/>
      <c r="AJ4" s="1"/>
    </row>
    <row r="5" ht="19.5" customHeight="1">
      <c r="A5" s="1"/>
      <c r="B5" s="8"/>
      <c r="C5" s="9"/>
      <c r="D5" s="9"/>
      <c r="E5" s="9"/>
      <c r="F5" s="9"/>
      <c r="G5" s="9"/>
      <c r="H5" s="9"/>
      <c r="I5" s="1"/>
      <c r="J5" s="1"/>
      <c r="K5" s="1"/>
      <c r="L5" s="1"/>
      <c r="M5" s="1"/>
      <c r="N5" s="1"/>
      <c r="O5" s="1"/>
      <c r="P5" s="4" t="s">
        <v>13</v>
      </c>
      <c r="Q5" s="6"/>
      <c r="R5" s="6"/>
      <c r="S5" s="4" t="s">
        <v>14</v>
      </c>
      <c r="T5" s="4"/>
      <c r="U5" s="4"/>
      <c r="V5" s="4" t="s">
        <v>15</v>
      </c>
      <c r="W5" s="4"/>
      <c r="X5" s="6"/>
      <c r="Y5" s="6" t="s">
        <v>16</v>
      </c>
      <c r="Z5" s="6"/>
      <c r="AA5" s="6"/>
      <c r="AB5" s="6" t="s">
        <v>17</v>
      </c>
      <c r="AC5" s="6"/>
      <c r="AD5" s="1"/>
      <c r="AE5" s="1"/>
      <c r="AF5" s="1"/>
      <c r="AG5" s="1"/>
      <c r="AH5" s="1"/>
      <c r="AI5" s="1"/>
      <c r="AJ5" s="1"/>
    </row>
    <row r="6" ht="19.5" customHeight="1">
      <c r="A6" s="1"/>
      <c r="B6" s="2"/>
      <c r="C6" s="2"/>
      <c r="D6" s="2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4" t="s">
        <v>18</v>
      </c>
      <c r="Q6" s="6"/>
      <c r="R6" s="6"/>
      <c r="S6" s="4" t="s">
        <v>19</v>
      </c>
      <c r="T6" s="4"/>
      <c r="U6" s="4"/>
      <c r="V6" s="4" t="s">
        <v>20</v>
      </c>
      <c r="W6" s="4"/>
      <c r="X6" s="6"/>
      <c r="Y6" s="6" t="s">
        <v>21</v>
      </c>
      <c r="Z6" s="6"/>
      <c r="AA6" s="6"/>
      <c r="AB6" s="6" t="s">
        <v>22</v>
      </c>
      <c r="AC6" s="6"/>
      <c r="AD6" s="1"/>
      <c r="AE6" s="1"/>
      <c r="AF6" s="1"/>
      <c r="AG6" s="1"/>
      <c r="AH6" s="1"/>
      <c r="AI6" s="1"/>
      <c r="AJ6" s="1"/>
    </row>
    <row r="7" ht="19.5" customHeight="1">
      <c r="A7" s="1"/>
      <c r="B7" s="10"/>
      <c r="C7" s="10"/>
      <c r="D7" s="10"/>
      <c r="E7" s="10"/>
      <c r="F7" s="10"/>
      <c r="G7" s="10"/>
      <c r="H7" s="10"/>
      <c r="I7" s="1"/>
      <c r="J7" s="1"/>
      <c r="K7" s="1"/>
      <c r="L7" s="1"/>
      <c r="M7" s="1"/>
      <c r="N7" s="1"/>
      <c r="O7" s="1"/>
      <c r="P7" s="4" t="s">
        <v>23</v>
      </c>
      <c r="Q7" s="6"/>
      <c r="R7" s="6"/>
      <c r="S7" s="4" t="s">
        <v>24</v>
      </c>
      <c r="T7" s="4"/>
      <c r="U7" s="4"/>
      <c r="V7" s="4" t="s">
        <v>25</v>
      </c>
      <c r="W7" s="4"/>
      <c r="X7" s="6"/>
      <c r="Y7" s="6" t="s">
        <v>26</v>
      </c>
      <c r="Z7" s="6"/>
      <c r="AA7" s="6"/>
      <c r="AB7" s="6" t="s">
        <v>27</v>
      </c>
      <c r="AC7" s="6"/>
      <c r="AD7" s="1"/>
      <c r="AE7" s="1"/>
      <c r="AF7" s="1"/>
      <c r="AG7" s="1"/>
      <c r="AH7" s="1"/>
      <c r="AI7" s="1"/>
      <c r="AJ7" s="1"/>
    </row>
    <row r="8" ht="19.5" customHeight="1">
      <c r="A8" s="1"/>
      <c r="B8" s="10"/>
      <c r="C8" s="10"/>
      <c r="D8" s="10"/>
      <c r="E8" s="10"/>
      <c r="F8" s="10"/>
      <c r="G8" s="10"/>
      <c r="H8" s="10"/>
      <c r="I8" s="1"/>
      <c r="J8" s="1"/>
      <c r="K8" s="1"/>
      <c r="L8" s="1"/>
      <c r="M8" s="1"/>
      <c r="N8" s="1"/>
      <c r="O8" s="1"/>
      <c r="P8" s="4" t="s">
        <v>28</v>
      </c>
      <c r="Q8" s="6"/>
      <c r="R8" s="6"/>
      <c r="S8" s="4" t="s">
        <v>29</v>
      </c>
      <c r="T8" s="4"/>
      <c r="U8" s="4"/>
      <c r="V8" s="4" t="s">
        <v>30</v>
      </c>
      <c r="W8" s="4"/>
      <c r="X8" s="6"/>
      <c r="Y8" s="6" t="s">
        <v>31</v>
      </c>
      <c r="Z8" s="6"/>
      <c r="AA8" s="6"/>
      <c r="AB8" s="6" t="s">
        <v>32</v>
      </c>
      <c r="AC8" s="6"/>
      <c r="AD8" s="1"/>
      <c r="AE8" s="1"/>
      <c r="AF8" s="1"/>
      <c r="AG8" s="1"/>
      <c r="AH8" s="1"/>
      <c r="AI8" s="1"/>
      <c r="AJ8" s="1"/>
    </row>
    <row r="9" ht="19.5" customHeight="1">
      <c r="A9" s="1"/>
      <c r="B9" s="2"/>
      <c r="C9" s="2"/>
      <c r="D9" s="10"/>
      <c r="E9" s="10"/>
      <c r="F9" s="10"/>
      <c r="G9" s="10"/>
      <c r="H9" s="10"/>
      <c r="I9" s="1"/>
      <c r="J9" s="1"/>
      <c r="K9" s="1"/>
      <c r="L9" s="1"/>
      <c r="M9" s="1"/>
      <c r="N9" s="1"/>
      <c r="O9" s="1"/>
      <c r="P9" s="4" t="s">
        <v>33</v>
      </c>
      <c r="Q9" s="6"/>
      <c r="R9" s="6"/>
      <c r="S9" s="4" t="s">
        <v>34</v>
      </c>
      <c r="T9" s="4"/>
      <c r="U9" s="4"/>
      <c r="V9" s="4" t="s">
        <v>35</v>
      </c>
      <c r="W9" s="4"/>
      <c r="X9" s="6"/>
      <c r="Y9" s="6" t="s">
        <v>36</v>
      </c>
      <c r="Z9" s="6"/>
      <c r="AA9" s="6"/>
      <c r="AB9" s="6" t="s">
        <v>37</v>
      </c>
      <c r="AC9" s="6"/>
      <c r="AD9" s="1"/>
      <c r="AE9" s="1"/>
      <c r="AF9" s="1"/>
      <c r="AG9" s="1"/>
      <c r="AH9" s="1"/>
      <c r="AI9" s="1"/>
      <c r="AJ9" s="1"/>
    </row>
    <row r="10" ht="19.5" customHeight="1">
      <c r="A10" s="1"/>
      <c r="B10" s="2"/>
      <c r="C10" s="2"/>
      <c r="D10" s="10"/>
      <c r="E10" s="10"/>
      <c r="F10" s="10"/>
      <c r="G10" s="10"/>
      <c r="H10" s="10"/>
      <c r="I10" s="1"/>
      <c r="J10" s="1"/>
      <c r="K10" s="1"/>
      <c r="L10" s="1"/>
      <c r="M10" s="1"/>
      <c r="N10" s="1"/>
      <c r="O10" s="1"/>
      <c r="P10" s="4" t="s">
        <v>38</v>
      </c>
      <c r="Q10" s="6"/>
      <c r="R10" s="6"/>
      <c r="S10" s="4" t="s">
        <v>39</v>
      </c>
      <c r="T10" s="4"/>
      <c r="U10" s="4"/>
      <c r="V10" s="4" t="s">
        <v>40</v>
      </c>
      <c r="W10" s="4"/>
      <c r="X10" s="6"/>
      <c r="Y10" s="6" t="s">
        <v>41</v>
      </c>
      <c r="Z10" s="6"/>
      <c r="AA10" s="6"/>
      <c r="AB10" s="6" t="s">
        <v>42</v>
      </c>
      <c r="AC10" s="6"/>
      <c r="AD10" s="1"/>
      <c r="AE10" s="1"/>
      <c r="AF10" s="1"/>
      <c r="AG10" s="1"/>
      <c r="AH10" s="1"/>
      <c r="AI10" s="1"/>
      <c r="AJ10" s="1"/>
    </row>
    <row r="11" ht="19.5" customHeight="1">
      <c r="A11" s="1"/>
      <c r="B11" s="2"/>
      <c r="C11" s="2"/>
      <c r="D11" s="11"/>
      <c r="E11" s="10"/>
      <c r="F11" s="2"/>
      <c r="G11" s="2"/>
      <c r="H11" s="2"/>
      <c r="I11" s="1"/>
      <c r="J11" s="1"/>
      <c r="K11" s="1"/>
      <c r="L11" s="1"/>
      <c r="M11" s="1"/>
      <c r="N11" s="1"/>
      <c r="O11" s="1"/>
      <c r="P11" s="4" t="s">
        <v>43</v>
      </c>
      <c r="Q11" s="6"/>
      <c r="R11" s="6"/>
      <c r="S11" s="4" t="s">
        <v>44</v>
      </c>
      <c r="T11" s="4"/>
      <c r="U11" s="4"/>
      <c r="V11" s="4" t="s">
        <v>45</v>
      </c>
      <c r="W11" s="4"/>
      <c r="X11" s="6"/>
      <c r="Y11" s="6" t="s">
        <v>46</v>
      </c>
      <c r="Z11" s="6"/>
      <c r="AA11" s="6"/>
      <c r="AB11" s="6" t="s">
        <v>47</v>
      </c>
      <c r="AC11" s="6"/>
      <c r="AD11" s="1"/>
      <c r="AE11" s="1"/>
      <c r="AF11" s="1"/>
      <c r="AG11" s="1"/>
      <c r="AH11" s="1"/>
      <c r="AI11" s="1"/>
      <c r="AJ11" s="1"/>
    </row>
    <row r="12" ht="19.5" customHeight="1">
      <c r="A12" s="1"/>
      <c r="B12" s="2"/>
      <c r="C12" s="2"/>
      <c r="D12" s="2"/>
      <c r="E12" s="2"/>
      <c r="F12" s="2"/>
      <c r="G12" s="2"/>
      <c r="H12" s="2"/>
      <c r="I12" s="1"/>
      <c r="J12" s="1"/>
      <c r="K12" s="1"/>
      <c r="L12" s="1"/>
      <c r="M12" s="1"/>
      <c r="N12" s="1"/>
      <c r="O12" s="1"/>
      <c r="P12" s="4" t="s">
        <v>48</v>
      </c>
      <c r="Q12" s="6"/>
      <c r="R12" s="6"/>
      <c r="S12" s="4" t="s">
        <v>49</v>
      </c>
      <c r="T12" s="4"/>
      <c r="U12" s="4"/>
      <c r="V12" s="4" t="s">
        <v>50</v>
      </c>
      <c r="W12" s="4"/>
      <c r="X12" s="6"/>
      <c r="Y12" s="6" t="s">
        <v>51</v>
      </c>
      <c r="Z12" s="6"/>
      <c r="AA12" s="6"/>
      <c r="AB12" s="6" t="s">
        <v>52</v>
      </c>
      <c r="AC12" s="6"/>
      <c r="AD12" s="1"/>
      <c r="AE12" s="1"/>
      <c r="AF12" s="1"/>
      <c r="AG12" s="1"/>
      <c r="AH12" s="1"/>
      <c r="AI12" s="1"/>
      <c r="AJ12" s="1"/>
    </row>
    <row r="13" ht="19.5" customHeight="1">
      <c r="A13" s="1"/>
      <c r="B13" s="12"/>
      <c r="C13" s="12"/>
      <c r="D13" s="12"/>
      <c r="E13" s="12"/>
      <c r="F13" s="13"/>
      <c r="G13" s="13"/>
      <c r="H13" s="13"/>
      <c r="I13" s="1"/>
      <c r="J13" s="1"/>
      <c r="K13" s="1"/>
      <c r="L13" s="1"/>
      <c r="M13" s="1"/>
      <c r="N13" s="1"/>
      <c r="O13" s="1"/>
      <c r="P13" s="4"/>
      <c r="Q13" s="1"/>
      <c r="R13" s="1"/>
      <c r="S13" s="4"/>
      <c r="T13" s="4"/>
      <c r="U13" s="4"/>
      <c r="V13" s="4"/>
      <c r="W13" s="4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ht="19.5" customHeight="1">
      <c r="A14" s="1"/>
      <c r="B14" s="12"/>
      <c r="C14" s="12"/>
      <c r="D14" s="14"/>
      <c r="E14" s="15"/>
      <c r="F14" s="9"/>
      <c r="G14" s="9"/>
      <c r="H14" s="16"/>
      <c r="I14" s="1"/>
      <c r="J14" s="1"/>
      <c r="K14" s="1"/>
      <c r="L14" s="1"/>
      <c r="M14" s="1"/>
      <c r="N14" s="1"/>
      <c r="O14" s="1"/>
      <c r="P14" s="4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ht="19.5" customHeight="1">
      <c r="A15" s="1"/>
      <c r="B15" s="12"/>
      <c r="C15" s="12"/>
      <c r="D15" s="17"/>
      <c r="E15" s="17"/>
      <c r="F15" s="9"/>
      <c r="G15" s="9"/>
      <c r="H15" s="16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ht="19.5" customHeight="1">
      <c r="A16" s="1"/>
      <c r="B16" s="13"/>
      <c r="C16" s="13"/>
      <c r="D16" s="9"/>
      <c r="E16" s="9"/>
      <c r="F16" s="9"/>
      <c r="G16" s="9"/>
      <c r="H16" s="9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ht="19.5" customHeight="1">
      <c r="A17" s="1"/>
      <c r="B17" s="12"/>
      <c r="C17" s="12"/>
      <c r="D17" s="14"/>
      <c r="E17" s="15"/>
      <c r="F17" s="9"/>
      <c r="G17" s="9"/>
      <c r="H17" s="16"/>
      <c r="I17" s="1"/>
      <c r="J17" s="1"/>
      <c r="K17" s="1"/>
      <c r="L17" s="1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ht="19.5" customHeight="1">
      <c r="A18" s="1"/>
      <c r="B18" s="12"/>
      <c r="C18" s="19"/>
      <c r="D18" s="20"/>
      <c r="E18" s="15"/>
      <c r="F18" s="9"/>
      <c r="G18" s="9"/>
      <c r="H18" s="16"/>
      <c r="I18" s="1"/>
      <c r="J18" s="1"/>
      <c r="K18" s="1"/>
      <c r="L18" s="4" t="s">
        <v>53</v>
      </c>
      <c r="M18" s="21" t="s">
        <v>54</v>
      </c>
      <c r="N18" s="22"/>
      <c r="O18" s="22"/>
      <c r="P18" s="20"/>
      <c r="Q18" s="4"/>
      <c r="R18" s="4"/>
      <c r="S18" s="4"/>
      <c r="T18" s="4"/>
      <c r="U18" s="4"/>
      <c r="V18" s="23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ht="19.5" customHeight="1">
      <c r="A19" s="1"/>
      <c r="B19" s="1"/>
      <c r="C19" s="12"/>
      <c r="D19" s="12"/>
      <c r="E19" s="12"/>
      <c r="F19" s="12"/>
      <c r="G19" s="12"/>
      <c r="H19" s="12"/>
      <c r="I19" s="1"/>
      <c r="J19" s="1"/>
      <c r="K19" s="1"/>
      <c r="L19" s="4" t="s">
        <v>55</v>
      </c>
      <c r="M19" s="21" t="str">
        <f>VLOOKUP(M18,#REF!,3,FALSE)</f>
        <v>#REF!</v>
      </c>
      <c r="N19" s="22"/>
      <c r="O19" s="22"/>
      <c r="P19" s="22"/>
      <c r="Q19" s="22"/>
      <c r="R19" s="22"/>
      <c r="S19" s="22"/>
      <c r="T19" s="22"/>
      <c r="U19" s="22"/>
      <c r="V19" s="20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ht="19.5" customHeight="1">
      <c r="A20" s="1"/>
      <c r="B20" s="1"/>
      <c r="C20" s="24"/>
      <c r="D20" s="24"/>
      <c r="E20" s="24"/>
      <c r="F20" s="24"/>
      <c r="G20" s="24"/>
      <c r="H20" s="24"/>
      <c r="I20" s="1"/>
      <c r="J20" s="1"/>
      <c r="K20" s="1"/>
      <c r="L20" s="4" t="s">
        <v>56</v>
      </c>
      <c r="M20" s="21" t="str">
        <f>IF(ISERROR(VLOOKUP(M18,#REF!,2,FALSE)),"",
    IF(OR(ISNUMBER(FIND(".",VLOOKUP(M18,#REF!,2,FALSE))),
          ISNUMBER(FIND("-",VLOOKUP(M18,#REF!,2,FALSE))),
          ISNUMBER(FIND("/",VLOOKUP(M18,#REF!,2,FALSE)))),
       VLOOKUP(M18,#REF!,2,FALSE),
       IF(LEN(VLOOKUP(M18,#REF!,2,FALSE))=11,
           TEXT(VLOOKUP(M18,#REF!,2,FALSE),"000\.000\.000\-00"),
           TEXT(VLOOKUP(M18,#REF!,2,FALSE),"00\.000\.000\/0000\-00")
       )
    )
)</f>
        <v/>
      </c>
      <c r="N20" s="22"/>
      <c r="O20" s="22"/>
      <c r="P20" s="20"/>
      <c r="Q20" s="4"/>
      <c r="R20" s="4"/>
      <c r="S20" s="4"/>
      <c r="T20" s="4"/>
      <c r="U20" s="23"/>
      <c r="V20" s="23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ht="19.5" customHeight="1">
      <c r="A21" s="1"/>
      <c r="B21" s="24"/>
      <c r="C21" s="24"/>
      <c r="D21" s="24"/>
      <c r="E21" s="24"/>
      <c r="F21" s="24"/>
      <c r="G21" s="24"/>
      <c r="H21" s="24"/>
      <c r="I21" s="1"/>
      <c r="J21" s="1"/>
      <c r="K21" s="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ht="19.5" customHeight="1">
      <c r="A22" s="1"/>
      <c r="B22" s="24"/>
      <c r="C22" s="24"/>
      <c r="D22" s="24"/>
      <c r="E22" s="24"/>
      <c r="F22" s="24"/>
      <c r="G22" s="24"/>
      <c r="H22" s="24"/>
      <c r="I22" s="1"/>
      <c r="J22" s="1"/>
      <c r="K22" s="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ht="19.5" customHeight="1">
      <c r="A23" s="1"/>
      <c r="B23" s="25"/>
      <c r="C23" s="26"/>
      <c r="D23" s="26"/>
      <c r="E23" s="26"/>
      <c r="F23" s="26"/>
      <c r="G23" s="26"/>
      <c r="H23" s="26"/>
      <c r="I23" s="1"/>
      <c r="J23" s="1"/>
      <c r="K23" s="1"/>
      <c r="L23" s="4" t="s">
        <v>57</v>
      </c>
      <c r="M23" s="4"/>
      <c r="N23" s="27" t="s">
        <v>58</v>
      </c>
      <c r="O23" s="4"/>
      <c r="P23" s="4"/>
      <c r="Q23" s="4"/>
      <c r="R23" s="4"/>
      <c r="S23" s="4"/>
      <c r="T23" s="4"/>
      <c r="U23" s="4"/>
      <c r="V23" s="4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ht="19.5" customHeight="1">
      <c r="A24" s="1"/>
      <c r="B24" s="26"/>
      <c r="C24" s="26"/>
      <c r="D24" s="26"/>
      <c r="E24" s="26"/>
      <c r="F24" s="26"/>
      <c r="G24" s="26"/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ht="19.5" customHeight="1">
      <c r="A25" s="1"/>
      <c r="B25" s="28"/>
      <c r="C25" s="28"/>
      <c r="D25" s="28"/>
      <c r="E25" s="28"/>
      <c r="F25" s="28"/>
      <c r="G25" s="28"/>
      <c r="H25" s="28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ht="19.5" customHeight="1">
      <c r="A26" s="1"/>
      <c r="B26" s="12"/>
      <c r="C26" s="12"/>
      <c r="D26" s="2"/>
      <c r="E26" s="2"/>
      <c r="F26" s="2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ht="19.5" customHeight="1">
      <c r="A27" s="1"/>
      <c r="B27" s="2"/>
      <c r="C27" s="2"/>
      <c r="D27" s="2"/>
      <c r="E27" s="2"/>
      <c r="F27" s="2"/>
      <c r="G27" s="2"/>
      <c r="H27" s="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ht="19.5" customHeight="1">
      <c r="A28" s="1"/>
      <c r="B28" s="29"/>
      <c r="C28" s="29"/>
      <c r="D28" s="29" t="s">
        <v>56</v>
      </c>
      <c r="E28" s="2"/>
      <c r="F28" s="2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19.5" customHeight="1">
      <c r="A29" s="1"/>
      <c r="B29" s="2"/>
      <c r="C29" s="2"/>
      <c r="D29" s="2"/>
      <c r="E29" s="2"/>
      <c r="F29" s="2"/>
      <c r="G29" s="2"/>
      <c r="H29" s="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19.5" customHeight="1">
      <c r="A30" s="1"/>
      <c r="B30" s="2"/>
      <c r="C30" s="2"/>
      <c r="D30" s="2"/>
      <c r="E30" s="2"/>
      <c r="F30" s="2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ht="19.5" customHeight="1">
      <c r="A31" s="1"/>
      <c r="B31" s="2"/>
      <c r="C31" s="2"/>
      <c r="D31" s="2"/>
      <c r="E31" s="2"/>
      <c r="F31" s="2"/>
      <c r="G31" s="2"/>
      <c r="H31" s="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19.5" customHeight="1">
      <c r="A32" s="1"/>
      <c r="B32" s="9"/>
      <c r="C32" s="9"/>
      <c r="D32" s="9"/>
      <c r="E32" s="9"/>
      <c r="F32" s="9"/>
      <c r="G32" s="9"/>
      <c r="H32" s="9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19.5" customHeight="1">
      <c r="A33" s="1"/>
      <c r="B33" s="9"/>
      <c r="C33" s="9"/>
      <c r="D33" s="9"/>
      <c r="E33" s="9"/>
      <c r="F33" s="9"/>
      <c r="G33" s="9"/>
      <c r="H33" s="9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ht="19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4" t="s">
        <v>59</v>
      </c>
      <c r="M34" s="21" t="s">
        <v>60</v>
      </c>
      <c r="N34" s="22"/>
      <c r="O34" s="22"/>
      <c r="P34" s="22"/>
      <c r="Q34" s="22"/>
      <c r="R34" s="22"/>
      <c r="S34" s="2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ht="19.5" customHeight="1">
      <c r="A35" s="1"/>
      <c r="B35" s="2"/>
      <c r="C35" s="2"/>
      <c r="D35" s="2"/>
      <c r="E35" s="2"/>
      <c r="F35" s="2"/>
      <c r="G35" s="2"/>
      <c r="H35" s="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ht="19.5" customHeight="1">
      <c r="A36" s="1"/>
      <c r="B36" s="1"/>
      <c r="C36" s="1"/>
      <c r="D36" s="30"/>
      <c r="E36" s="30"/>
      <c r="F36" s="30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ht="19.5" customHeight="1">
      <c r="A37" s="1"/>
      <c r="B37" s="1"/>
      <c r="C37" s="1"/>
      <c r="D37" s="30"/>
      <c r="E37" s="30"/>
      <c r="F37" s="30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ht="19.5" customHeight="1">
      <c r="A38" s="1"/>
      <c r="B38" s="1"/>
      <c r="C38" s="1"/>
      <c r="D38" s="30"/>
      <c r="E38" s="30"/>
      <c r="F38" s="30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ht="19.5" customHeight="1">
      <c r="A39" s="1"/>
      <c r="B39" s="1"/>
      <c r="C39" s="1"/>
      <c r="D39" s="30"/>
      <c r="E39" s="30"/>
      <c r="F39" s="30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ht="19.5" customHeight="1">
      <c r="A40" s="1"/>
      <c r="B40" s="1"/>
      <c r="C40" s="1"/>
      <c r="D40" s="31"/>
      <c r="E40" s="31"/>
      <c r="F40" s="3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ht="19.5" customHeight="1">
      <c r="A41" s="1"/>
      <c r="B41" s="1"/>
      <c r="C41" s="1"/>
      <c r="D41" s="9"/>
      <c r="E41" s="9"/>
      <c r="F41" s="9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ht="19.5" customHeight="1">
      <c r="A42" s="1"/>
      <c r="B42" s="13"/>
      <c r="C42" s="13"/>
      <c r="D42" s="13"/>
      <c r="E42" s="13"/>
      <c r="F42" s="13"/>
      <c r="G42" s="13"/>
      <c r="H42" s="1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ht="19.5" customHeight="1">
      <c r="A43" s="1"/>
      <c r="B43" s="32"/>
      <c r="C43" s="22"/>
      <c r="D43" s="22"/>
      <c r="E43" s="22"/>
      <c r="F43" s="22"/>
      <c r="G43" s="22"/>
      <c r="H43" s="20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6">
    <mergeCell ref="C18:D18"/>
    <mergeCell ref="M18:P18"/>
    <mergeCell ref="M19:V19"/>
    <mergeCell ref="M20:P20"/>
    <mergeCell ref="M34:S34"/>
    <mergeCell ref="B43:H43"/>
  </mergeCells>
  <dataValidations>
    <dataValidation type="list" allowBlank="1" showErrorMessage="1" sqref="M18 Q18:U18">
      <formula1>#REF!</formula1>
    </dataValidation>
  </dataValidations>
  <printOptions horizontalCentered="1" verticalCentered="1"/>
  <pageMargins bottom="0.0" footer="0.0" header="0.0" left="0.0" right="0.0" top="0.0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9.14"/>
    <col customWidth="1" min="7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I47" s="33">
        <v>1.0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27.75" customHeight="1">
      <c r="C63" s="34" t="s">
        <v>61</v>
      </c>
      <c r="D63" s="35"/>
      <c r="E63" s="36" t="s">
        <v>62</v>
      </c>
      <c r="F63" s="37"/>
      <c r="G63" s="35"/>
    </row>
    <row r="64" ht="15.75" customHeight="1">
      <c r="C64" s="38">
        <v>85.0</v>
      </c>
      <c r="D64" s="35"/>
      <c r="E64" s="38" t="s">
        <v>63</v>
      </c>
      <c r="F64" s="37"/>
      <c r="G64" s="35"/>
    </row>
    <row r="65" ht="15.75" customHeight="1">
      <c r="C65" s="38">
        <v>90.0</v>
      </c>
      <c r="D65" s="35"/>
      <c r="E65" s="38" t="s">
        <v>64</v>
      </c>
      <c r="F65" s="37"/>
      <c r="G65" s="35"/>
    </row>
    <row r="66" ht="15.75" customHeight="1">
      <c r="C66" s="38">
        <v>95.0</v>
      </c>
      <c r="D66" s="35"/>
      <c r="E66" s="38" t="s">
        <v>65</v>
      </c>
      <c r="F66" s="37"/>
      <c r="G66" s="35"/>
    </row>
    <row r="67" ht="15.75" customHeight="1">
      <c r="C67" s="38">
        <v>100.0</v>
      </c>
      <c r="D67" s="35"/>
      <c r="E67" s="38" t="s">
        <v>66</v>
      </c>
      <c r="F67" s="37"/>
      <c r="G67" s="35"/>
    </row>
    <row r="68" ht="15.75" customHeight="1">
      <c r="C68" s="38">
        <v>105.0</v>
      </c>
      <c r="D68" s="35"/>
      <c r="E68" s="38" t="s">
        <v>67</v>
      </c>
      <c r="F68" s="37"/>
      <c r="G68" s="35"/>
    </row>
    <row r="69" ht="15.75" customHeight="1">
      <c r="C69" s="38">
        <v>110.0</v>
      </c>
      <c r="D69" s="35"/>
      <c r="E69" s="38" t="s">
        <v>68</v>
      </c>
      <c r="F69" s="37"/>
      <c r="G69" s="35"/>
    </row>
    <row r="70" ht="15.75" customHeight="1">
      <c r="C70" s="38">
        <v>115.0</v>
      </c>
      <c r="D70" s="35"/>
      <c r="E70" s="38" t="s">
        <v>69</v>
      </c>
      <c r="F70" s="37"/>
      <c r="G70" s="35"/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>
      <c r="I93" s="33">
        <v>2.0</v>
      </c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I140" s="33">
        <v>3.0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C66:D66"/>
    <mergeCell ref="C67:D67"/>
    <mergeCell ref="C68:D68"/>
    <mergeCell ref="C69:D69"/>
    <mergeCell ref="C70:D70"/>
    <mergeCell ref="E67:G67"/>
    <mergeCell ref="E68:G68"/>
    <mergeCell ref="E69:G69"/>
    <mergeCell ref="E70:G70"/>
    <mergeCell ref="C63:D63"/>
    <mergeCell ref="E63:G63"/>
    <mergeCell ref="C64:D64"/>
    <mergeCell ref="E64:G64"/>
    <mergeCell ref="C65:D65"/>
    <mergeCell ref="E65:G65"/>
    <mergeCell ref="E66:G66"/>
  </mergeCells>
  <printOptions horizontalCentered="1" verticalCentered="1"/>
  <pageMargins bottom="0.984251968503937" footer="0.0" header="0.0" left="0.7874015748031497" right="0.3937007874015748" top="1.1811023622047245"/>
  <pageSetup paperSize="9" orientation="portrait"/>
  <headerFooter>
    <oddHead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>
      <c r="A22" s="39" t="s">
        <v>70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:I24"/>
  </mergeCells>
  <printOptions horizontalCentered="1" verticalCentered="1"/>
  <pageMargins bottom="0.984251968503937" footer="0.0" header="0.0" left="0.7874015748031497" right="0.3937007874015748" top="1.5748031496062993"/>
  <pageSetup paperSize="9" orientation="portrait"/>
  <headerFooter>
    <oddHead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14"/>
    <col customWidth="1" min="2" max="2" width="27.0"/>
    <col customWidth="1" min="3" max="3" width="27.43"/>
    <col customWidth="1" min="4" max="4" width="27.14"/>
    <col customWidth="1" min="5" max="5" width="14.43"/>
    <col customWidth="1" min="6" max="6" width="15.29"/>
    <col customWidth="1" min="7" max="7" width="16.86"/>
    <col customWidth="1" min="8" max="8" width="8.71"/>
    <col customWidth="1" min="9" max="9" width="12.43"/>
    <col customWidth="1" min="10" max="10" width="8.71"/>
    <col customWidth="1" min="11" max="11" width="13.71"/>
    <col customWidth="1" min="12" max="26" width="8.71"/>
  </cols>
  <sheetData>
    <row r="1" ht="30.0" customHeight="1">
      <c r="A1" s="40" t="s">
        <v>53</v>
      </c>
      <c r="B1" s="41" t="str">
        <f>'Capa '!$M$18</f>
        <v>Componel Industria e Comércio Ltda</v>
      </c>
      <c r="C1" s="37"/>
      <c r="D1" s="35"/>
      <c r="E1" s="42" t="s">
        <v>71</v>
      </c>
      <c r="F1" s="43" t="str">
        <f>'Capa '!$N$23</f>
        <v>25/11/2025 à 28/11/2025</v>
      </c>
      <c r="G1" s="44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ht="26.25" customHeight="1">
      <c r="A2" s="40" t="s">
        <v>55</v>
      </c>
      <c r="B2" s="41" t="str">
        <f>'Capa '!$M$19</f>
        <v>#REF!</v>
      </c>
      <c r="C2" s="37"/>
      <c r="D2" s="35"/>
      <c r="E2" s="46"/>
      <c r="F2" s="47"/>
      <c r="G2" s="48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32.25" customHeight="1">
      <c r="A3" s="49" t="s">
        <v>72</v>
      </c>
      <c r="B3" s="37"/>
      <c r="C3" s="37"/>
      <c r="D3" s="37"/>
      <c r="E3" s="37"/>
      <c r="F3" s="37"/>
      <c r="G3" s="3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4.25" customHeight="1">
      <c r="A4" s="50" t="s">
        <v>73</v>
      </c>
      <c r="B4" s="50" t="s">
        <v>74</v>
      </c>
      <c r="C4" s="50" t="s">
        <v>75</v>
      </c>
      <c r="D4" s="50" t="s">
        <v>76</v>
      </c>
      <c r="E4" s="50" t="s">
        <v>77</v>
      </c>
      <c r="F4" s="50" t="s">
        <v>78</v>
      </c>
      <c r="G4" s="50" t="s">
        <v>79</v>
      </c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</row>
    <row r="5" ht="30.0" customHeight="1">
      <c r="A5" s="52" t="str">
        <f>'1'!$E$1</f>
        <v>0000-1/2025.0</v>
      </c>
      <c r="B5" s="53" t="str">
        <f>'1'!$B$7</f>
        <v/>
      </c>
      <c r="C5" s="53" t="str">
        <f>'1'!$B$8</f>
        <v/>
      </c>
      <c r="D5" s="53" t="str">
        <f>'1'!$E$8</f>
        <v/>
      </c>
      <c r="E5" s="54" t="str">
        <f>'1'!$C$30</f>
        <v/>
      </c>
      <c r="F5" s="54">
        <v>85.0</v>
      </c>
      <c r="G5" s="55" t="str">
        <f t="shared" ref="G5:G54" si="2">IF(E5&lt;=85,"OK",IF(E5&gt;=85,"N.C."))</f>
        <v>OK</v>
      </c>
      <c r="H5" s="45"/>
      <c r="I5" s="56"/>
      <c r="J5" s="45"/>
      <c r="K5" s="57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30.0" customHeight="1">
      <c r="A6" s="58" t="str">
        <f t="shared" ref="A6:E6" si="1">#REF!</f>
        <v>#REF!</v>
      </c>
      <c r="B6" s="53" t="str">
        <f t="shared" si="1"/>
        <v>#REF!</v>
      </c>
      <c r="C6" s="53" t="str">
        <f t="shared" si="1"/>
        <v>#REF!</v>
      </c>
      <c r="D6" s="53" t="str">
        <f t="shared" si="1"/>
        <v>#REF!</v>
      </c>
      <c r="E6" s="54" t="str">
        <f t="shared" si="1"/>
        <v>#REF!</v>
      </c>
      <c r="F6" s="54">
        <v>85.0</v>
      </c>
      <c r="G6" s="55" t="str">
        <f t="shared" si="2"/>
        <v>#REF!</v>
      </c>
      <c r="H6" s="45"/>
      <c r="I6" s="57"/>
      <c r="J6" s="45"/>
      <c r="K6" s="57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30.0" customHeight="1">
      <c r="A7" s="58" t="str">
        <f t="shared" ref="A7:E7" si="3">#REF!</f>
        <v>#REF!</v>
      </c>
      <c r="B7" s="53" t="str">
        <f t="shared" si="3"/>
        <v>#REF!</v>
      </c>
      <c r="C7" s="53" t="str">
        <f t="shared" si="3"/>
        <v>#REF!</v>
      </c>
      <c r="D7" s="53" t="str">
        <f t="shared" si="3"/>
        <v>#REF!</v>
      </c>
      <c r="E7" s="54" t="str">
        <f t="shared" si="3"/>
        <v>#REF!</v>
      </c>
      <c r="F7" s="54">
        <v>85.0</v>
      </c>
      <c r="G7" s="55" t="str">
        <f t="shared" si="2"/>
        <v>#REF!</v>
      </c>
      <c r="H7" s="45"/>
      <c r="I7" s="57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30.0" customHeight="1">
      <c r="A8" s="58" t="str">
        <f t="shared" ref="A8:E8" si="4">#REF!</f>
        <v>#REF!</v>
      </c>
      <c r="B8" s="53" t="str">
        <f t="shared" si="4"/>
        <v>#REF!</v>
      </c>
      <c r="C8" s="53" t="str">
        <f t="shared" si="4"/>
        <v>#REF!</v>
      </c>
      <c r="D8" s="53" t="str">
        <f t="shared" si="4"/>
        <v>#REF!</v>
      </c>
      <c r="E8" s="54" t="str">
        <f t="shared" si="4"/>
        <v>#REF!</v>
      </c>
      <c r="F8" s="54">
        <v>85.0</v>
      </c>
      <c r="G8" s="55" t="str">
        <f t="shared" si="2"/>
        <v>#REF!</v>
      </c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ht="30.0" customHeight="1">
      <c r="A9" s="58" t="str">
        <f t="shared" ref="A9:E9" si="5">#REF!</f>
        <v>#REF!</v>
      </c>
      <c r="B9" s="53" t="str">
        <f t="shared" si="5"/>
        <v>#REF!</v>
      </c>
      <c r="C9" s="53" t="str">
        <f t="shared" si="5"/>
        <v>#REF!</v>
      </c>
      <c r="D9" s="53" t="str">
        <f t="shared" si="5"/>
        <v>#REF!</v>
      </c>
      <c r="E9" s="54" t="str">
        <f t="shared" si="5"/>
        <v>#REF!</v>
      </c>
      <c r="F9" s="54">
        <v>85.0</v>
      </c>
      <c r="G9" s="55" t="str">
        <f t="shared" si="2"/>
        <v>#REF!</v>
      </c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ht="30.0" customHeight="1">
      <c r="A10" s="58" t="str">
        <f t="shared" ref="A10:E10" si="6">#REF!</f>
        <v>#REF!</v>
      </c>
      <c r="B10" s="53" t="str">
        <f t="shared" si="6"/>
        <v>#REF!</v>
      </c>
      <c r="C10" s="53" t="str">
        <f t="shared" si="6"/>
        <v>#REF!</v>
      </c>
      <c r="D10" s="53" t="str">
        <f t="shared" si="6"/>
        <v>#REF!</v>
      </c>
      <c r="E10" s="54" t="str">
        <f t="shared" si="6"/>
        <v>#REF!</v>
      </c>
      <c r="F10" s="54">
        <v>85.0</v>
      </c>
      <c r="G10" s="55" t="str">
        <f t="shared" si="2"/>
        <v>#REF!</v>
      </c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ht="30.0" customHeight="1">
      <c r="A11" s="58" t="str">
        <f t="shared" ref="A11:E11" si="7">#REF!</f>
        <v>#REF!</v>
      </c>
      <c r="B11" s="53" t="str">
        <f t="shared" si="7"/>
        <v>#REF!</v>
      </c>
      <c r="C11" s="53" t="str">
        <f t="shared" si="7"/>
        <v>#REF!</v>
      </c>
      <c r="D11" s="53" t="str">
        <f t="shared" si="7"/>
        <v>#REF!</v>
      </c>
      <c r="E11" s="54" t="str">
        <f t="shared" si="7"/>
        <v>#REF!</v>
      </c>
      <c r="F11" s="54">
        <v>85.0</v>
      </c>
      <c r="G11" s="55" t="str">
        <f t="shared" si="2"/>
        <v>#REF!</v>
      </c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ht="30.0" customHeight="1">
      <c r="A12" s="58" t="str">
        <f t="shared" ref="A12:E12" si="8">#REF!</f>
        <v>#REF!</v>
      </c>
      <c r="B12" s="53" t="str">
        <f t="shared" si="8"/>
        <v>#REF!</v>
      </c>
      <c r="C12" s="53" t="str">
        <f t="shared" si="8"/>
        <v>#REF!</v>
      </c>
      <c r="D12" s="53" t="str">
        <f t="shared" si="8"/>
        <v>#REF!</v>
      </c>
      <c r="E12" s="54" t="str">
        <f t="shared" si="8"/>
        <v>#REF!</v>
      </c>
      <c r="F12" s="54">
        <v>85.0</v>
      </c>
      <c r="G12" s="55" t="str">
        <f t="shared" si="2"/>
        <v>#REF!</v>
      </c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ht="30.0" customHeight="1">
      <c r="A13" s="58" t="str">
        <f t="shared" ref="A13:E13" si="9">#REF!</f>
        <v>#REF!</v>
      </c>
      <c r="B13" s="53" t="str">
        <f t="shared" si="9"/>
        <v>#REF!</v>
      </c>
      <c r="C13" s="53" t="str">
        <f t="shared" si="9"/>
        <v>#REF!</v>
      </c>
      <c r="D13" s="53" t="str">
        <f t="shared" si="9"/>
        <v>#REF!</v>
      </c>
      <c r="E13" s="54" t="str">
        <f t="shared" si="9"/>
        <v>#REF!</v>
      </c>
      <c r="F13" s="54">
        <v>85.0</v>
      </c>
      <c r="G13" s="55" t="str">
        <f t="shared" si="2"/>
        <v>#REF!</v>
      </c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ht="30.0" customHeight="1">
      <c r="A14" s="58" t="str">
        <f t="shared" ref="A14:E14" si="10">#REF!</f>
        <v>#REF!</v>
      </c>
      <c r="B14" s="53" t="str">
        <f t="shared" si="10"/>
        <v>#REF!</v>
      </c>
      <c r="C14" s="53" t="str">
        <f t="shared" si="10"/>
        <v>#REF!</v>
      </c>
      <c r="D14" s="53" t="str">
        <f t="shared" si="10"/>
        <v>#REF!</v>
      </c>
      <c r="E14" s="54" t="str">
        <f t="shared" si="10"/>
        <v>#REF!</v>
      </c>
      <c r="F14" s="54">
        <v>85.0</v>
      </c>
      <c r="G14" s="55" t="str">
        <f t="shared" si="2"/>
        <v>#REF!</v>
      </c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ht="30.0" customHeight="1">
      <c r="A15" s="58" t="str">
        <f t="shared" ref="A15:E15" si="11">#REF!</f>
        <v>#REF!</v>
      </c>
      <c r="B15" s="53" t="str">
        <f t="shared" si="11"/>
        <v>#REF!</v>
      </c>
      <c r="C15" s="53" t="str">
        <f t="shared" si="11"/>
        <v>#REF!</v>
      </c>
      <c r="D15" s="53" t="str">
        <f t="shared" si="11"/>
        <v>#REF!</v>
      </c>
      <c r="E15" s="54" t="str">
        <f t="shared" si="11"/>
        <v>#REF!</v>
      </c>
      <c r="F15" s="54">
        <v>85.0</v>
      </c>
      <c r="G15" s="55" t="str">
        <f t="shared" si="2"/>
        <v>#REF!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ht="30.0" customHeight="1">
      <c r="A16" s="58" t="str">
        <f t="shared" ref="A16:E16" si="12">#REF!</f>
        <v>#REF!</v>
      </c>
      <c r="B16" s="53" t="str">
        <f t="shared" si="12"/>
        <v>#REF!</v>
      </c>
      <c r="C16" s="53" t="str">
        <f t="shared" si="12"/>
        <v>#REF!</v>
      </c>
      <c r="D16" s="53" t="str">
        <f t="shared" si="12"/>
        <v>#REF!</v>
      </c>
      <c r="E16" s="54" t="str">
        <f t="shared" si="12"/>
        <v>#REF!</v>
      </c>
      <c r="F16" s="54">
        <v>85.0</v>
      </c>
      <c r="G16" s="55" t="str">
        <f t="shared" si="2"/>
        <v>#REF!</v>
      </c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ht="30.0" customHeight="1">
      <c r="A17" s="58" t="str">
        <f t="shared" ref="A17:E17" si="13">#REF!</f>
        <v>#REF!</v>
      </c>
      <c r="B17" s="53" t="str">
        <f t="shared" si="13"/>
        <v>#REF!</v>
      </c>
      <c r="C17" s="53" t="str">
        <f t="shared" si="13"/>
        <v>#REF!</v>
      </c>
      <c r="D17" s="53" t="str">
        <f t="shared" si="13"/>
        <v>#REF!</v>
      </c>
      <c r="E17" s="54" t="str">
        <f t="shared" si="13"/>
        <v>#REF!</v>
      </c>
      <c r="F17" s="54">
        <v>85.0</v>
      </c>
      <c r="G17" s="55" t="str">
        <f t="shared" si="2"/>
        <v>#REF!</v>
      </c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ht="30.0" customHeight="1">
      <c r="A18" s="58" t="str">
        <f t="shared" ref="A18:E18" si="14">#REF!</f>
        <v>#REF!</v>
      </c>
      <c r="B18" s="53" t="str">
        <f t="shared" si="14"/>
        <v>#REF!</v>
      </c>
      <c r="C18" s="53" t="str">
        <f t="shared" si="14"/>
        <v>#REF!</v>
      </c>
      <c r="D18" s="53" t="str">
        <f t="shared" si="14"/>
        <v>#REF!</v>
      </c>
      <c r="E18" s="54" t="str">
        <f t="shared" si="14"/>
        <v>#REF!</v>
      </c>
      <c r="F18" s="54">
        <v>85.0</v>
      </c>
      <c r="G18" s="55" t="str">
        <f t="shared" si="2"/>
        <v>#REF!</v>
      </c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ht="30.0" customHeight="1">
      <c r="A19" s="58" t="str">
        <f t="shared" ref="A19:E19" si="15">#REF!</f>
        <v>#REF!</v>
      </c>
      <c r="B19" s="53" t="str">
        <f t="shared" si="15"/>
        <v>#REF!</v>
      </c>
      <c r="C19" s="53" t="str">
        <f t="shared" si="15"/>
        <v>#REF!</v>
      </c>
      <c r="D19" s="53" t="str">
        <f t="shared" si="15"/>
        <v>#REF!</v>
      </c>
      <c r="E19" s="54" t="str">
        <f t="shared" si="15"/>
        <v>#REF!</v>
      </c>
      <c r="F19" s="54">
        <v>85.0</v>
      </c>
      <c r="G19" s="55" t="str">
        <f t="shared" si="2"/>
        <v>#REF!</v>
      </c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ht="30.0" customHeight="1">
      <c r="A20" s="58" t="str">
        <f t="shared" ref="A20:E20" si="16">#REF!</f>
        <v>#REF!</v>
      </c>
      <c r="B20" s="53" t="str">
        <f t="shared" si="16"/>
        <v>#REF!</v>
      </c>
      <c r="C20" s="53" t="str">
        <f t="shared" si="16"/>
        <v>#REF!</v>
      </c>
      <c r="D20" s="53" t="str">
        <f t="shared" si="16"/>
        <v>#REF!</v>
      </c>
      <c r="E20" s="54" t="str">
        <f t="shared" si="16"/>
        <v>#REF!</v>
      </c>
      <c r="F20" s="54">
        <v>85.0</v>
      </c>
      <c r="G20" s="55" t="str">
        <f t="shared" si="2"/>
        <v>#REF!</v>
      </c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ht="30.0" customHeight="1">
      <c r="A21" s="58" t="str">
        <f t="shared" ref="A21:E21" si="17">#REF!</f>
        <v>#REF!</v>
      </c>
      <c r="B21" s="53" t="str">
        <f t="shared" si="17"/>
        <v>#REF!</v>
      </c>
      <c r="C21" s="53" t="str">
        <f t="shared" si="17"/>
        <v>#REF!</v>
      </c>
      <c r="D21" s="53" t="str">
        <f t="shared" si="17"/>
        <v>#REF!</v>
      </c>
      <c r="E21" s="54" t="str">
        <f t="shared" si="17"/>
        <v>#REF!</v>
      </c>
      <c r="F21" s="54">
        <v>85.0</v>
      </c>
      <c r="G21" s="55" t="str">
        <f t="shared" si="2"/>
        <v>#REF!</v>
      </c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ht="30.0" customHeight="1">
      <c r="A22" s="58" t="str">
        <f t="shared" ref="A22:E22" si="18">#REF!</f>
        <v>#REF!</v>
      </c>
      <c r="B22" s="53" t="str">
        <f t="shared" si="18"/>
        <v>#REF!</v>
      </c>
      <c r="C22" s="53" t="str">
        <f t="shared" si="18"/>
        <v>#REF!</v>
      </c>
      <c r="D22" s="53" t="str">
        <f t="shared" si="18"/>
        <v>#REF!</v>
      </c>
      <c r="E22" s="54" t="str">
        <f t="shared" si="18"/>
        <v>#REF!</v>
      </c>
      <c r="F22" s="54">
        <v>85.0</v>
      </c>
      <c r="G22" s="55" t="str">
        <f t="shared" si="2"/>
        <v>#REF!</v>
      </c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ht="30.0" customHeight="1">
      <c r="A23" s="58" t="str">
        <f t="shared" ref="A23:E23" si="19">#REF!</f>
        <v>#REF!</v>
      </c>
      <c r="B23" s="53" t="str">
        <f t="shared" si="19"/>
        <v>#REF!</v>
      </c>
      <c r="C23" s="53" t="str">
        <f t="shared" si="19"/>
        <v>#REF!</v>
      </c>
      <c r="D23" s="53" t="str">
        <f t="shared" si="19"/>
        <v>#REF!</v>
      </c>
      <c r="E23" s="54" t="str">
        <f t="shared" si="19"/>
        <v>#REF!</v>
      </c>
      <c r="F23" s="54">
        <v>85.0</v>
      </c>
      <c r="G23" s="55" t="str">
        <f t="shared" si="2"/>
        <v>#REF!</v>
      </c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ht="30.0" customHeight="1">
      <c r="A24" s="58" t="str">
        <f t="shared" ref="A24:E24" si="20">#REF!</f>
        <v>#REF!</v>
      </c>
      <c r="B24" s="53" t="str">
        <f t="shared" si="20"/>
        <v>#REF!</v>
      </c>
      <c r="C24" s="53" t="str">
        <f t="shared" si="20"/>
        <v>#REF!</v>
      </c>
      <c r="D24" s="53" t="str">
        <f t="shared" si="20"/>
        <v>#REF!</v>
      </c>
      <c r="E24" s="54" t="str">
        <f t="shared" si="20"/>
        <v>#REF!</v>
      </c>
      <c r="F24" s="54">
        <v>85.0</v>
      </c>
      <c r="G24" s="55" t="str">
        <f t="shared" si="2"/>
        <v>#REF!</v>
      </c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ht="30.0" customHeight="1">
      <c r="A25" s="58" t="str">
        <f t="shared" ref="A25:E25" si="21">#REF!</f>
        <v>#REF!</v>
      </c>
      <c r="B25" s="53" t="str">
        <f t="shared" si="21"/>
        <v>#REF!</v>
      </c>
      <c r="C25" s="53" t="str">
        <f t="shared" si="21"/>
        <v>#REF!</v>
      </c>
      <c r="D25" s="53" t="str">
        <f t="shared" si="21"/>
        <v>#REF!</v>
      </c>
      <c r="E25" s="54" t="str">
        <f t="shared" si="21"/>
        <v>#REF!</v>
      </c>
      <c r="F25" s="54">
        <v>85.0</v>
      </c>
      <c r="G25" s="55" t="str">
        <f t="shared" si="2"/>
        <v>#REF!</v>
      </c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ht="30.0" customHeight="1">
      <c r="A26" s="58" t="str">
        <f t="shared" ref="A26:E26" si="22">#REF!</f>
        <v>#REF!</v>
      </c>
      <c r="B26" s="53" t="str">
        <f t="shared" si="22"/>
        <v>#REF!</v>
      </c>
      <c r="C26" s="53" t="str">
        <f t="shared" si="22"/>
        <v>#REF!</v>
      </c>
      <c r="D26" s="53" t="str">
        <f t="shared" si="22"/>
        <v>#REF!</v>
      </c>
      <c r="E26" s="54" t="str">
        <f t="shared" si="22"/>
        <v>#REF!</v>
      </c>
      <c r="F26" s="54">
        <v>85.0</v>
      </c>
      <c r="G26" s="55" t="str">
        <f t="shared" si="2"/>
        <v>#REF!</v>
      </c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ht="30.0" customHeight="1">
      <c r="A27" s="58" t="str">
        <f t="shared" ref="A27:E27" si="23">#REF!</f>
        <v>#REF!</v>
      </c>
      <c r="B27" s="53" t="str">
        <f t="shared" si="23"/>
        <v>#REF!</v>
      </c>
      <c r="C27" s="53" t="str">
        <f t="shared" si="23"/>
        <v>#REF!</v>
      </c>
      <c r="D27" s="53" t="str">
        <f t="shared" si="23"/>
        <v>#REF!</v>
      </c>
      <c r="E27" s="54" t="str">
        <f t="shared" si="23"/>
        <v>#REF!</v>
      </c>
      <c r="F27" s="54">
        <v>85.0</v>
      </c>
      <c r="G27" s="55" t="str">
        <f t="shared" si="2"/>
        <v>#REF!</v>
      </c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ht="30.0" customHeight="1">
      <c r="A28" s="58" t="str">
        <f t="shared" ref="A28:E28" si="24">#REF!</f>
        <v>#REF!</v>
      </c>
      <c r="B28" s="53" t="str">
        <f t="shared" si="24"/>
        <v>#REF!</v>
      </c>
      <c r="C28" s="53" t="str">
        <f t="shared" si="24"/>
        <v>#REF!</v>
      </c>
      <c r="D28" s="53" t="str">
        <f t="shared" si="24"/>
        <v>#REF!</v>
      </c>
      <c r="E28" s="54" t="str">
        <f t="shared" si="24"/>
        <v>#REF!</v>
      </c>
      <c r="F28" s="54">
        <v>85.0</v>
      </c>
      <c r="G28" s="55" t="str">
        <f t="shared" si="2"/>
        <v>#REF!</v>
      </c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ht="30.0" customHeight="1">
      <c r="A29" s="58" t="str">
        <f t="shared" ref="A29:E29" si="25">#REF!</f>
        <v>#REF!</v>
      </c>
      <c r="B29" s="53" t="str">
        <f t="shared" si="25"/>
        <v>#REF!</v>
      </c>
      <c r="C29" s="53" t="str">
        <f t="shared" si="25"/>
        <v>#REF!</v>
      </c>
      <c r="D29" s="53" t="str">
        <f t="shared" si="25"/>
        <v>#REF!</v>
      </c>
      <c r="E29" s="54" t="str">
        <f t="shared" si="25"/>
        <v>#REF!</v>
      </c>
      <c r="F29" s="54">
        <v>85.0</v>
      </c>
      <c r="G29" s="55" t="str">
        <f t="shared" si="2"/>
        <v>#REF!</v>
      </c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ht="30.0" customHeight="1">
      <c r="A30" s="58" t="str">
        <f t="shared" ref="A30:E30" si="26">#REF!</f>
        <v>#REF!</v>
      </c>
      <c r="B30" s="53" t="str">
        <f t="shared" si="26"/>
        <v>#REF!</v>
      </c>
      <c r="C30" s="53" t="str">
        <f t="shared" si="26"/>
        <v>#REF!</v>
      </c>
      <c r="D30" s="53" t="str">
        <f t="shared" si="26"/>
        <v>#REF!</v>
      </c>
      <c r="E30" s="54" t="str">
        <f t="shared" si="26"/>
        <v>#REF!</v>
      </c>
      <c r="F30" s="54">
        <v>85.0</v>
      </c>
      <c r="G30" s="55" t="str">
        <f t="shared" si="2"/>
        <v>#REF!</v>
      </c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ht="30.0" customHeight="1">
      <c r="A31" s="58" t="str">
        <f t="shared" ref="A31:E31" si="27">#REF!</f>
        <v>#REF!</v>
      </c>
      <c r="B31" s="53" t="str">
        <f t="shared" si="27"/>
        <v>#REF!</v>
      </c>
      <c r="C31" s="53" t="str">
        <f t="shared" si="27"/>
        <v>#REF!</v>
      </c>
      <c r="D31" s="53" t="str">
        <f t="shared" si="27"/>
        <v>#REF!</v>
      </c>
      <c r="E31" s="54" t="str">
        <f t="shared" si="27"/>
        <v>#REF!</v>
      </c>
      <c r="F31" s="54">
        <v>85.0</v>
      </c>
      <c r="G31" s="55" t="str">
        <f t="shared" si="2"/>
        <v>#REF!</v>
      </c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ht="30.0" customHeight="1">
      <c r="A32" s="58" t="str">
        <f t="shared" ref="A32:E32" si="28">#REF!</f>
        <v>#REF!</v>
      </c>
      <c r="B32" s="53" t="str">
        <f t="shared" si="28"/>
        <v>#REF!</v>
      </c>
      <c r="C32" s="53" t="str">
        <f t="shared" si="28"/>
        <v>#REF!</v>
      </c>
      <c r="D32" s="53" t="str">
        <f t="shared" si="28"/>
        <v>#REF!</v>
      </c>
      <c r="E32" s="54" t="str">
        <f t="shared" si="28"/>
        <v>#REF!</v>
      </c>
      <c r="F32" s="54">
        <v>85.0</v>
      </c>
      <c r="G32" s="55" t="str">
        <f t="shared" si="2"/>
        <v>#REF!</v>
      </c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ht="30.0" customHeight="1">
      <c r="A33" s="58" t="str">
        <f t="shared" ref="A33:E33" si="29">#REF!</f>
        <v>#REF!</v>
      </c>
      <c r="B33" s="53" t="str">
        <f t="shared" si="29"/>
        <v>#REF!</v>
      </c>
      <c r="C33" s="53" t="str">
        <f t="shared" si="29"/>
        <v>#REF!</v>
      </c>
      <c r="D33" s="53" t="str">
        <f t="shared" si="29"/>
        <v>#REF!</v>
      </c>
      <c r="E33" s="54" t="str">
        <f t="shared" si="29"/>
        <v>#REF!</v>
      </c>
      <c r="F33" s="54">
        <v>85.0</v>
      </c>
      <c r="G33" s="55" t="str">
        <f t="shared" si="2"/>
        <v>#REF!</v>
      </c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ht="30.0" customHeight="1">
      <c r="A34" s="58" t="str">
        <f t="shared" ref="A34:E34" si="30">#REF!</f>
        <v>#REF!</v>
      </c>
      <c r="B34" s="53" t="str">
        <f t="shared" si="30"/>
        <v>#REF!</v>
      </c>
      <c r="C34" s="53" t="str">
        <f t="shared" si="30"/>
        <v>#REF!</v>
      </c>
      <c r="D34" s="53" t="str">
        <f t="shared" si="30"/>
        <v>#REF!</v>
      </c>
      <c r="E34" s="54" t="str">
        <f t="shared" si="30"/>
        <v>#REF!</v>
      </c>
      <c r="F34" s="54">
        <v>85.0</v>
      </c>
      <c r="G34" s="55" t="str">
        <f t="shared" si="2"/>
        <v>#REF!</v>
      </c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ht="30.0" customHeight="1">
      <c r="A35" s="58" t="str">
        <f t="shared" ref="A35:E35" si="31">#REF!</f>
        <v>#REF!</v>
      </c>
      <c r="B35" s="53" t="str">
        <f t="shared" si="31"/>
        <v>#REF!</v>
      </c>
      <c r="C35" s="53" t="str">
        <f t="shared" si="31"/>
        <v>#REF!</v>
      </c>
      <c r="D35" s="53" t="str">
        <f t="shared" si="31"/>
        <v>#REF!</v>
      </c>
      <c r="E35" s="54" t="str">
        <f t="shared" si="31"/>
        <v>#REF!</v>
      </c>
      <c r="F35" s="54">
        <v>85.0</v>
      </c>
      <c r="G35" s="55" t="str">
        <f t="shared" si="2"/>
        <v>#REF!</v>
      </c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ht="30.0" customHeight="1">
      <c r="A36" s="58" t="str">
        <f t="shared" ref="A36:E36" si="32">#REF!</f>
        <v>#REF!</v>
      </c>
      <c r="B36" s="53" t="str">
        <f t="shared" si="32"/>
        <v>#REF!</v>
      </c>
      <c r="C36" s="53" t="str">
        <f t="shared" si="32"/>
        <v>#REF!</v>
      </c>
      <c r="D36" s="53" t="str">
        <f t="shared" si="32"/>
        <v>#REF!</v>
      </c>
      <c r="E36" s="54" t="str">
        <f t="shared" si="32"/>
        <v>#REF!</v>
      </c>
      <c r="F36" s="54">
        <v>85.0</v>
      </c>
      <c r="G36" s="55" t="str">
        <f t="shared" si="2"/>
        <v>#REF!</v>
      </c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ht="30.0" customHeight="1">
      <c r="A37" s="58" t="str">
        <f t="shared" ref="A37:E37" si="33">#REF!</f>
        <v>#REF!</v>
      </c>
      <c r="B37" s="53" t="str">
        <f t="shared" si="33"/>
        <v>#REF!</v>
      </c>
      <c r="C37" s="53" t="str">
        <f t="shared" si="33"/>
        <v>#REF!</v>
      </c>
      <c r="D37" s="53" t="str">
        <f t="shared" si="33"/>
        <v>#REF!</v>
      </c>
      <c r="E37" s="54" t="str">
        <f t="shared" si="33"/>
        <v>#REF!</v>
      </c>
      <c r="F37" s="54">
        <v>85.0</v>
      </c>
      <c r="G37" s="55" t="str">
        <f t="shared" si="2"/>
        <v>#REF!</v>
      </c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ht="30.0" customHeight="1">
      <c r="A38" s="58" t="str">
        <f t="shared" ref="A38:E38" si="34">#REF!</f>
        <v>#REF!</v>
      </c>
      <c r="B38" s="53" t="str">
        <f t="shared" si="34"/>
        <v>#REF!</v>
      </c>
      <c r="C38" s="53" t="str">
        <f t="shared" si="34"/>
        <v>#REF!</v>
      </c>
      <c r="D38" s="53" t="str">
        <f t="shared" si="34"/>
        <v>#REF!</v>
      </c>
      <c r="E38" s="54" t="str">
        <f t="shared" si="34"/>
        <v>#REF!</v>
      </c>
      <c r="F38" s="54">
        <v>85.0</v>
      </c>
      <c r="G38" s="55" t="str">
        <f t="shared" si="2"/>
        <v>#REF!</v>
      </c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ht="30.0" customHeight="1">
      <c r="A39" s="58" t="str">
        <f t="shared" ref="A39:E39" si="35">#REF!</f>
        <v>#REF!</v>
      </c>
      <c r="B39" s="53" t="str">
        <f t="shared" si="35"/>
        <v>#REF!</v>
      </c>
      <c r="C39" s="53" t="str">
        <f t="shared" si="35"/>
        <v>#REF!</v>
      </c>
      <c r="D39" s="53" t="str">
        <f t="shared" si="35"/>
        <v>#REF!</v>
      </c>
      <c r="E39" s="54" t="str">
        <f t="shared" si="35"/>
        <v>#REF!</v>
      </c>
      <c r="F39" s="54">
        <v>85.0</v>
      </c>
      <c r="G39" s="55" t="str">
        <f t="shared" si="2"/>
        <v>#REF!</v>
      </c>
      <c r="H39" s="45"/>
      <c r="I39" s="45"/>
      <c r="J39" s="45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ht="30.0" customHeight="1">
      <c r="A40" s="58" t="str">
        <f t="shared" ref="A40:E40" si="36">#REF!</f>
        <v>#REF!</v>
      </c>
      <c r="B40" s="53" t="str">
        <f t="shared" si="36"/>
        <v>#REF!</v>
      </c>
      <c r="C40" s="53" t="str">
        <f t="shared" si="36"/>
        <v>#REF!</v>
      </c>
      <c r="D40" s="53" t="str">
        <f t="shared" si="36"/>
        <v>#REF!</v>
      </c>
      <c r="E40" s="54" t="str">
        <f t="shared" si="36"/>
        <v>#REF!</v>
      </c>
      <c r="F40" s="54">
        <v>85.0</v>
      </c>
      <c r="G40" s="55" t="str">
        <f t="shared" si="2"/>
        <v>#REF!</v>
      </c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ht="30.0" customHeight="1">
      <c r="A41" s="58" t="str">
        <f t="shared" ref="A41:E41" si="37">#REF!</f>
        <v>#REF!</v>
      </c>
      <c r="B41" s="53" t="str">
        <f t="shared" si="37"/>
        <v>#REF!</v>
      </c>
      <c r="C41" s="53" t="str">
        <f t="shared" si="37"/>
        <v>#REF!</v>
      </c>
      <c r="D41" s="53" t="str">
        <f t="shared" si="37"/>
        <v>#REF!</v>
      </c>
      <c r="E41" s="54" t="str">
        <f t="shared" si="37"/>
        <v>#REF!</v>
      </c>
      <c r="F41" s="54">
        <v>85.0</v>
      </c>
      <c r="G41" s="55" t="str">
        <f t="shared" si="2"/>
        <v>#REF!</v>
      </c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ht="30.0" customHeight="1">
      <c r="A42" s="58" t="str">
        <f t="shared" ref="A42:E42" si="38">#REF!</f>
        <v>#REF!</v>
      </c>
      <c r="B42" s="53" t="str">
        <f t="shared" si="38"/>
        <v>#REF!</v>
      </c>
      <c r="C42" s="53" t="str">
        <f t="shared" si="38"/>
        <v>#REF!</v>
      </c>
      <c r="D42" s="53" t="str">
        <f t="shared" si="38"/>
        <v>#REF!</v>
      </c>
      <c r="E42" s="54" t="str">
        <f t="shared" si="38"/>
        <v>#REF!</v>
      </c>
      <c r="F42" s="54">
        <v>85.0</v>
      </c>
      <c r="G42" s="55" t="str">
        <f t="shared" si="2"/>
        <v>#REF!</v>
      </c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ht="30.0" customHeight="1">
      <c r="A43" s="58" t="str">
        <f t="shared" ref="A43:E43" si="39">#REF!</f>
        <v>#REF!</v>
      </c>
      <c r="B43" s="53" t="str">
        <f t="shared" si="39"/>
        <v>#REF!</v>
      </c>
      <c r="C43" s="53" t="str">
        <f t="shared" si="39"/>
        <v>#REF!</v>
      </c>
      <c r="D43" s="53" t="str">
        <f t="shared" si="39"/>
        <v>#REF!</v>
      </c>
      <c r="E43" s="54" t="str">
        <f t="shared" si="39"/>
        <v>#REF!</v>
      </c>
      <c r="F43" s="54">
        <v>85.0</v>
      </c>
      <c r="G43" s="55" t="str">
        <f t="shared" si="2"/>
        <v>#REF!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ht="30.0" customHeight="1">
      <c r="A44" s="58" t="str">
        <f t="shared" ref="A44:E44" si="40">#REF!</f>
        <v>#REF!</v>
      </c>
      <c r="B44" s="53" t="str">
        <f t="shared" si="40"/>
        <v>#REF!</v>
      </c>
      <c r="C44" s="53" t="str">
        <f t="shared" si="40"/>
        <v>#REF!</v>
      </c>
      <c r="D44" s="53" t="str">
        <f t="shared" si="40"/>
        <v>#REF!</v>
      </c>
      <c r="E44" s="54" t="str">
        <f t="shared" si="40"/>
        <v>#REF!</v>
      </c>
      <c r="F44" s="54">
        <v>85.0</v>
      </c>
      <c r="G44" s="55" t="str">
        <f t="shared" si="2"/>
        <v>#REF!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ht="30.0" customHeight="1">
      <c r="A45" s="58" t="str">
        <f t="shared" ref="A45:E45" si="41">#REF!</f>
        <v>#REF!</v>
      </c>
      <c r="B45" s="53" t="str">
        <f t="shared" si="41"/>
        <v>#REF!</v>
      </c>
      <c r="C45" s="53" t="str">
        <f t="shared" si="41"/>
        <v>#REF!</v>
      </c>
      <c r="D45" s="53" t="str">
        <f t="shared" si="41"/>
        <v>#REF!</v>
      </c>
      <c r="E45" s="54" t="str">
        <f t="shared" si="41"/>
        <v>#REF!</v>
      </c>
      <c r="F45" s="54">
        <v>85.0</v>
      </c>
      <c r="G45" s="55" t="str">
        <f t="shared" si="2"/>
        <v>#REF!</v>
      </c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ht="30.0" customHeight="1">
      <c r="A46" s="58" t="str">
        <f t="shared" ref="A46:E46" si="42">#REF!</f>
        <v>#REF!</v>
      </c>
      <c r="B46" s="53" t="str">
        <f t="shared" si="42"/>
        <v>#REF!</v>
      </c>
      <c r="C46" s="53" t="str">
        <f t="shared" si="42"/>
        <v>#REF!</v>
      </c>
      <c r="D46" s="53" t="str">
        <f t="shared" si="42"/>
        <v>#REF!</v>
      </c>
      <c r="E46" s="54" t="str">
        <f t="shared" si="42"/>
        <v>#REF!</v>
      </c>
      <c r="F46" s="54">
        <v>85.0</v>
      </c>
      <c r="G46" s="55" t="str">
        <f t="shared" si="2"/>
        <v>#REF!</v>
      </c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ht="30.0" customHeight="1">
      <c r="A47" s="58" t="str">
        <f t="shared" ref="A47:E47" si="43">#REF!</f>
        <v>#REF!</v>
      </c>
      <c r="B47" s="53" t="str">
        <f t="shared" si="43"/>
        <v>#REF!</v>
      </c>
      <c r="C47" s="53" t="str">
        <f t="shared" si="43"/>
        <v>#REF!</v>
      </c>
      <c r="D47" s="53" t="str">
        <f t="shared" si="43"/>
        <v>#REF!</v>
      </c>
      <c r="E47" s="54" t="str">
        <f t="shared" si="43"/>
        <v>#REF!</v>
      </c>
      <c r="F47" s="54">
        <v>85.0</v>
      </c>
      <c r="G47" s="55" t="str">
        <f t="shared" si="2"/>
        <v>#REF!</v>
      </c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ht="30.0" customHeight="1">
      <c r="A48" s="58" t="str">
        <f t="shared" ref="A48:E48" si="44">#REF!</f>
        <v>#REF!</v>
      </c>
      <c r="B48" s="53" t="str">
        <f t="shared" si="44"/>
        <v>#REF!</v>
      </c>
      <c r="C48" s="53" t="str">
        <f t="shared" si="44"/>
        <v>#REF!</v>
      </c>
      <c r="D48" s="53" t="str">
        <f t="shared" si="44"/>
        <v>#REF!</v>
      </c>
      <c r="E48" s="54" t="str">
        <f t="shared" si="44"/>
        <v>#REF!</v>
      </c>
      <c r="F48" s="54">
        <v>85.0</v>
      </c>
      <c r="G48" s="55" t="str">
        <f t="shared" si="2"/>
        <v>#REF!</v>
      </c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ht="30.0" customHeight="1">
      <c r="A49" s="58" t="str">
        <f t="shared" ref="A49:E49" si="45">#REF!</f>
        <v>#REF!</v>
      </c>
      <c r="B49" s="53" t="str">
        <f t="shared" si="45"/>
        <v>#REF!</v>
      </c>
      <c r="C49" s="53" t="str">
        <f t="shared" si="45"/>
        <v>#REF!</v>
      </c>
      <c r="D49" s="53" t="str">
        <f t="shared" si="45"/>
        <v>#REF!</v>
      </c>
      <c r="E49" s="54" t="str">
        <f t="shared" si="45"/>
        <v>#REF!</v>
      </c>
      <c r="F49" s="54">
        <v>85.0</v>
      </c>
      <c r="G49" s="55" t="str">
        <f t="shared" si="2"/>
        <v>#REF!</v>
      </c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ht="30.0" customHeight="1">
      <c r="A50" s="58" t="str">
        <f t="shared" ref="A50:E50" si="46">#REF!</f>
        <v>#REF!</v>
      </c>
      <c r="B50" s="53" t="str">
        <f t="shared" si="46"/>
        <v>#REF!</v>
      </c>
      <c r="C50" s="53" t="str">
        <f t="shared" si="46"/>
        <v>#REF!</v>
      </c>
      <c r="D50" s="53" t="str">
        <f t="shared" si="46"/>
        <v>#REF!</v>
      </c>
      <c r="E50" s="54" t="str">
        <f t="shared" si="46"/>
        <v>#REF!</v>
      </c>
      <c r="F50" s="54">
        <v>85.0</v>
      </c>
      <c r="G50" s="55" t="str">
        <f t="shared" si="2"/>
        <v>#REF!</v>
      </c>
      <c r="H50" s="45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ht="30.0" customHeight="1">
      <c r="A51" s="58" t="str">
        <f t="shared" ref="A51:E51" si="47">#REF!</f>
        <v>#REF!</v>
      </c>
      <c r="B51" s="53" t="str">
        <f t="shared" si="47"/>
        <v>#REF!</v>
      </c>
      <c r="C51" s="53" t="str">
        <f t="shared" si="47"/>
        <v>#REF!</v>
      </c>
      <c r="D51" s="53" t="str">
        <f t="shared" si="47"/>
        <v>#REF!</v>
      </c>
      <c r="E51" s="54" t="str">
        <f t="shared" si="47"/>
        <v>#REF!</v>
      </c>
      <c r="F51" s="54">
        <v>85.0</v>
      </c>
      <c r="G51" s="55" t="str">
        <f t="shared" si="2"/>
        <v>#REF!</v>
      </c>
      <c r="H51" s="45"/>
      <c r="I51" s="45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ht="30.0" customHeight="1">
      <c r="A52" s="58" t="str">
        <f t="shared" ref="A52:E52" si="48">#REF!</f>
        <v>#REF!</v>
      </c>
      <c r="B52" s="53" t="str">
        <f t="shared" si="48"/>
        <v>#REF!</v>
      </c>
      <c r="C52" s="53" t="str">
        <f t="shared" si="48"/>
        <v>#REF!</v>
      </c>
      <c r="D52" s="53" t="str">
        <f t="shared" si="48"/>
        <v>#REF!</v>
      </c>
      <c r="E52" s="54" t="str">
        <f t="shared" si="48"/>
        <v>#REF!</v>
      </c>
      <c r="F52" s="54">
        <v>85.0</v>
      </c>
      <c r="G52" s="55" t="str">
        <f t="shared" si="2"/>
        <v>#REF!</v>
      </c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30.0" customHeight="1">
      <c r="A53" s="58" t="str">
        <f t="shared" ref="A53:E53" si="49">#REF!</f>
        <v>#REF!</v>
      </c>
      <c r="B53" s="53" t="str">
        <f t="shared" si="49"/>
        <v>#REF!</v>
      </c>
      <c r="C53" s="53" t="str">
        <f t="shared" si="49"/>
        <v>#REF!</v>
      </c>
      <c r="D53" s="53" t="str">
        <f t="shared" si="49"/>
        <v>#REF!</v>
      </c>
      <c r="E53" s="54" t="str">
        <f t="shared" si="49"/>
        <v>#REF!</v>
      </c>
      <c r="F53" s="54">
        <v>85.0</v>
      </c>
      <c r="G53" s="55" t="str">
        <f t="shared" si="2"/>
        <v>#REF!</v>
      </c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ht="30.0" customHeight="1">
      <c r="A54" s="58" t="str">
        <f t="shared" ref="A54:E54" si="50">#REF!</f>
        <v>#REF!</v>
      </c>
      <c r="B54" s="53" t="str">
        <f t="shared" si="50"/>
        <v>#REF!</v>
      </c>
      <c r="C54" s="53" t="str">
        <f t="shared" si="50"/>
        <v>#REF!</v>
      </c>
      <c r="D54" s="53" t="str">
        <f t="shared" si="50"/>
        <v>#REF!</v>
      </c>
      <c r="E54" s="54" t="str">
        <f t="shared" si="50"/>
        <v>#REF!</v>
      </c>
      <c r="F54" s="54">
        <v>85.0</v>
      </c>
      <c r="G54" s="55" t="str">
        <f t="shared" si="2"/>
        <v>#REF!</v>
      </c>
      <c r="H54" s="45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ht="14.25" customHeight="1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ht="14.25" customHeight="1">
      <c r="A56" s="59" t="s">
        <v>80</v>
      </c>
      <c r="B56" s="60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ht="14.25" customHeight="1">
      <c r="A57" s="60" t="s">
        <v>81</v>
      </c>
      <c r="B57" s="60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ht="14.25" customHeight="1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ht="14.25" customHeight="1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ht="14.25" customHeight="1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ht="14.25" customHeight="1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ht="14.25" customHeight="1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ht="14.25" customHeight="1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ht="14.25" customHeight="1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ht="14.25" customHeight="1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ht="14.25" customHeight="1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ht="14.25" customHeight="1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ht="14.25" customHeight="1">
      <c r="A68" s="45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ht="14.25" customHeight="1">
      <c r="A69" s="45"/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ht="14.25" customHeight="1">
      <c r="A70" s="45"/>
      <c r="B70" s="45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ht="14.25" customHeight="1">
      <c r="A71" s="45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ht="14.25" customHeight="1">
      <c r="A72" s="45"/>
      <c r="B72" s="45"/>
      <c r="C72" s="45"/>
      <c r="D72" s="45"/>
      <c r="E72" s="45"/>
      <c r="F72" s="45"/>
      <c r="G72" s="45"/>
      <c r="H72" s="45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ht="14.25" customHeight="1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ht="14.25" customHeight="1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ht="14.25" customHeight="1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ht="14.25" customHeight="1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ht="14.25" customHeight="1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ht="14.25" customHeight="1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ht="14.25" customHeight="1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ht="14.25" customHeight="1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ht="14.25" customHeight="1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ht="14.25" customHeight="1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ht="14.25" customHeight="1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ht="14.25" customHeight="1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ht="14.25" customHeight="1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ht="14.25" customHeight="1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ht="14.25" customHeight="1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ht="14.25" customHeight="1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ht="14.25" customHeight="1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ht="14.25" customHeight="1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ht="14.25" customHeight="1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ht="14.25" customHeight="1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ht="14.25" customHeight="1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ht="14.25" customHeight="1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ht="14.25" customHeight="1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ht="14.25" customHeight="1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ht="14.25" customHeight="1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ht="14.25" customHeight="1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ht="14.25" customHeight="1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ht="14.25" customHeight="1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ht="14.25" customHeight="1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ht="14.25" customHeight="1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ht="14.25" customHeight="1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ht="14.25" customHeight="1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ht="14.25" customHeight="1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ht="14.25" customHeight="1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ht="14.25" customHeight="1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4.25" customHeight="1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4.25" customHeight="1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ht="14.25" customHeight="1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ht="14.25" customHeight="1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ht="14.25" customHeight="1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ht="14.25" customHeight="1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ht="14.25" customHeight="1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ht="14.25" customHeight="1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ht="14.25" customHeight="1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ht="14.25" customHeight="1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ht="14.25" customHeight="1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ht="14.25" customHeight="1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ht="14.25" customHeight="1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ht="14.25" customHeight="1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ht="14.25" customHeight="1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ht="14.25" customHeight="1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ht="14.25" customHeight="1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ht="14.25" customHeight="1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ht="14.25" customHeight="1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ht="14.25" customHeight="1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ht="14.25" customHeight="1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ht="14.25" customHeight="1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ht="14.25" customHeight="1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ht="14.25" customHeight="1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ht="14.25" customHeight="1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ht="14.25" customHeight="1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ht="14.25" customHeight="1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ht="14.25" customHeight="1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ht="14.25" customHeight="1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ht="14.25" customHeight="1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ht="14.25" customHeight="1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ht="14.25" customHeight="1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ht="14.25" customHeight="1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ht="14.25" customHeight="1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ht="14.25" customHeight="1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ht="14.25" customHeight="1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ht="14.25" customHeight="1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ht="14.25" customHeight="1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ht="14.25" customHeight="1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ht="14.25" customHeight="1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ht="14.25" customHeight="1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ht="14.25" customHeight="1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ht="14.25" customHeight="1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ht="14.25" customHeight="1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ht="14.25" customHeight="1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ht="14.25" customHeight="1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ht="14.25" customHeight="1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ht="14.25" customHeight="1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ht="14.25" customHeight="1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ht="14.25" customHeight="1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ht="14.25" customHeight="1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ht="14.25" customHeight="1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ht="14.25" customHeight="1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ht="14.25" customHeight="1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4.25" customHeight="1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4.25" customHeight="1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4.25" customHeight="1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ht="14.25" customHeight="1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ht="14.25" customHeight="1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ht="14.25" customHeight="1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ht="14.25" customHeight="1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ht="14.25" customHeight="1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ht="14.25" customHeight="1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ht="14.25" customHeight="1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ht="14.25" customHeight="1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ht="14.25" customHeight="1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ht="14.25" customHeight="1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ht="14.25" customHeight="1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ht="14.25" customHeight="1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ht="14.25" customHeight="1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ht="14.25" customHeight="1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ht="14.25" customHeight="1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ht="14.25" customHeight="1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ht="14.25" customHeight="1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ht="14.25" customHeight="1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ht="14.25" customHeight="1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ht="14.25" customHeight="1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ht="14.25" customHeight="1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ht="14.25" customHeight="1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ht="14.25" customHeight="1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ht="14.25" customHeight="1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ht="14.25" customHeight="1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ht="14.25" customHeight="1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ht="14.25" customHeight="1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ht="14.25" customHeight="1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ht="14.25" customHeight="1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ht="14.25" customHeight="1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ht="14.25" customHeight="1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ht="14.25" customHeight="1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ht="14.25" customHeight="1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ht="14.25" customHeight="1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ht="14.25" customHeight="1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ht="14.25" customHeight="1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ht="14.25" customHeight="1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ht="14.25" customHeight="1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ht="14.25" customHeight="1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ht="14.25" customHeight="1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ht="14.25" customHeight="1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ht="14.25" customHeight="1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ht="14.25" customHeight="1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ht="14.25" customHeight="1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ht="14.25" customHeight="1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ht="14.25" customHeight="1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ht="14.25" customHeight="1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ht="14.25" customHeight="1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ht="14.25" customHeight="1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ht="14.25" customHeight="1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ht="14.25" customHeight="1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ht="14.25" customHeight="1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ht="14.25" customHeight="1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ht="14.25" customHeight="1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ht="14.25" customHeight="1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ht="14.25" customHeight="1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ht="14.25" customHeight="1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ht="14.25" customHeight="1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ht="14.25" customHeight="1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ht="14.25" customHeight="1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ht="14.25" customHeight="1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ht="14.25" customHeight="1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ht="14.25" customHeight="1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ht="14.25" customHeight="1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ht="14.25" customHeight="1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ht="14.25" customHeight="1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ht="14.25" customHeight="1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ht="14.25" customHeight="1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ht="14.25" customHeight="1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ht="14.25" customHeight="1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ht="14.25" customHeight="1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ht="14.25" customHeight="1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ht="14.25" customHeight="1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ht="14.25" customHeight="1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ht="14.25" customHeight="1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ht="14.25" customHeight="1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ht="14.25" customHeight="1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ht="14.25" customHeight="1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ht="14.25" customHeight="1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ht="14.25" customHeight="1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ht="14.25" customHeight="1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ht="14.25" customHeight="1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ht="14.25" customHeight="1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ht="14.25" customHeight="1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ht="14.25" customHeight="1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ht="14.25" customHeight="1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ht="14.25" customHeight="1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ht="14.25" customHeight="1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ht="14.25" customHeight="1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ht="14.25" customHeight="1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ht="14.25" customHeight="1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ht="14.25" customHeight="1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ht="14.25" customHeight="1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ht="14.25" customHeight="1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ht="14.25" customHeight="1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ht="14.25" customHeight="1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ht="14.25" customHeight="1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ht="14.25" customHeight="1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ht="14.25" customHeight="1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ht="14.25" customHeight="1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ht="14.25" customHeight="1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ht="14.25" customHeight="1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ht="14.25" customHeight="1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ht="14.25" customHeight="1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ht="14.25" customHeight="1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ht="14.25" customHeight="1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ht="14.25" customHeight="1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ht="14.25" customHeight="1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ht="14.25" customHeight="1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ht="14.25" customHeight="1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ht="14.25" customHeight="1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ht="14.25" customHeight="1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ht="14.25" customHeight="1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ht="14.25" customHeight="1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4.25" customHeight="1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4.25" customHeight="1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4.25" customHeight="1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4.25" customHeight="1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ht="14.25" customHeight="1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ht="14.25" customHeight="1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ht="14.25" customHeight="1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ht="14.25" customHeight="1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ht="14.25" customHeight="1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ht="14.25" customHeight="1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ht="14.25" customHeight="1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ht="14.25" customHeight="1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ht="14.25" customHeight="1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ht="14.25" customHeight="1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ht="14.25" customHeight="1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ht="14.25" customHeight="1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ht="14.25" customHeight="1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ht="14.25" customHeight="1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ht="14.25" customHeight="1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ht="14.25" customHeight="1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ht="14.25" customHeight="1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ht="14.25" customHeight="1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ht="14.25" customHeight="1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ht="14.25" customHeight="1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ht="14.25" customHeight="1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ht="14.25" customHeight="1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ht="14.25" customHeight="1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ht="14.25" customHeight="1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ht="14.25" customHeight="1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ht="14.25" customHeight="1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ht="14.25" customHeight="1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ht="14.25" customHeight="1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ht="14.25" customHeight="1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ht="14.25" customHeight="1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ht="14.25" customHeight="1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ht="14.25" customHeight="1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ht="14.25" customHeight="1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ht="14.25" customHeight="1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ht="14.25" customHeight="1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ht="14.25" customHeight="1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ht="14.25" customHeight="1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ht="14.25" customHeight="1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ht="14.25" customHeight="1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ht="14.25" customHeight="1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ht="14.25" customHeight="1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ht="14.25" customHeight="1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ht="14.25" customHeight="1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ht="14.25" customHeight="1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ht="14.25" customHeight="1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ht="14.25" customHeight="1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ht="14.25" customHeight="1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ht="14.25" customHeight="1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ht="14.25" customHeight="1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ht="14.25" customHeight="1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ht="14.25" customHeight="1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ht="14.25" customHeight="1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ht="14.25" customHeight="1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ht="14.25" customHeight="1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ht="14.25" customHeight="1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ht="14.25" customHeight="1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ht="14.25" customHeight="1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ht="14.25" customHeight="1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ht="14.25" customHeight="1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ht="14.25" customHeight="1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ht="14.25" customHeight="1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ht="14.25" customHeight="1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ht="14.25" customHeight="1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ht="14.25" customHeight="1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ht="14.25" customHeight="1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ht="14.25" customHeight="1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ht="14.25" customHeight="1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ht="14.25" customHeight="1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ht="14.25" customHeight="1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ht="14.25" customHeight="1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ht="14.25" customHeight="1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ht="14.25" customHeight="1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ht="14.25" customHeight="1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ht="14.25" customHeight="1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ht="14.25" customHeight="1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ht="14.25" customHeight="1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ht="14.25" customHeight="1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ht="14.25" customHeight="1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ht="14.25" customHeight="1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ht="14.25" customHeight="1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ht="14.25" customHeight="1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ht="14.25" customHeight="1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ht="14.25" customHeight="1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ht="14.25" customHeight="1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ht="14.25" customHeight="1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ht="14.25" customHeight="1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ht="14.25" customHeight="1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ht="14.25" customHeight="1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ht="14.25" customHeight="1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ht="14.25" customHeight="1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ht="14.25" customHeight="1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ht="14.25" customHeight="1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ht="14.25" customHeight="1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ht="14.25" customHeight="1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ht="14.25" customHeight="1">
      <c r="A377" s="45"/>
      <c r="B377" s="45"/>
      <c r="C377" s="45"/>
      <c r="D377" s="45"/>
      <c r="E377" s="45"/>
      <c r="F377" s="45"/>
      <c r="G377" s="45"/>
      <c r="H377" s="45"/>
      <c r="I377" s="45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ht="14.25" customHeight="1">
      <c r="A378" s="45"/>
      <c r="B378" s="45"/>
      <c r="C378" s="45"/>
      <c r="D378" s="45"/>
      <c r="E378" s="45"/>
      <c r="F378" s="45"/>
      <c r="G378" s="45"/>
      <c r="H378" s="45"/>
      <c r="I378" s="45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ht="14.25" customHeight="1">
      <c r="A379" s="45"/>
      <c r="B379" s="45"/>
      <c r="C379" s="45"/>
      <c r="D379" s="45"/>
      <c r="E379" s="45"/>
      <c r="F379" s="45"/>
      <c r="G379" s="45"/>
      <c r="H379" s="45"/>
      <c r="I379" s="45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ht="14.25" customHeight="1">
      <c r="A380" s="45"/>
      <c r="B380" s="45"/>
      <c r="C380" s="45"/>
      <c r="D380" s="45"/>
      <c r="E380" s="45"/>
      <c r="F380" s="45"/>
      <c r="G380" s="45"/>
      <c r="H380" s="45"/>
      <c r="I380" s="45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ht="14.25" customHeight="1">
      <c r="A381" s="45"/>
      <c r="B381" s="45"/>
      <c r="C381" s="45"/>
      <c r="D381" s="45"/>
      <c r="E381" s="45"/>
      <c r="F381" s="45"/>
      <c r="G381" s="45"/>
      <c r="H381" s="45"/>
      <c r="I381" s="45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ht="14.25" customHeight="1">
      <c r="A382" s="45"/>
      <c r="B382" s="45"/>
      <c r="C382" s="45"/>
      <c r="D382" s="45"/>
      <c r="E382" s="45"/>
      <c r="F382" s="45"/>
      <c r="G382" s="45"/>
      <c r="H382" s="45"/>
      <c r="I382" s="45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ht="14.25" customHeight="1">
      <c r="A383" s="45"/>
      <c r="B383" s="45"/>
      <c r="C383" s="45"/>
      <c r="D383" s="45"/>
      <c r="E383" s="45"/>
      <c r="F383" s="45"/>
      <c r="G383" s="45"/>
      <c r="H383" s="45"/>
      <c r="I383" s="45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ht="14.25" customHeight="1">
      <c r="A384" s="45"/>
      <c r="B384" s="45"/>
      <c r="C384" s="45"/>
      <c r="D384" s="45"/>
      <c r="E384" s="45"/>
      <c r="F384" s="45"/>
      <c r="G384" s="45"/>
      <c r="H384" s="45"/>
      <c r="I384" s="45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ht="14.25" customHeight="1">
      <c r="A385" s="45"/>
      <c r="B385" s="45"/>
      <c r="C385" s="45"/>
      <c r="D385" s="45"/>
      <c r="E385" s="45"/>
      <c r="F385" s="45"/>
      <c r="G385" s="45"/>
      <c r="H385" s="45"/>
      <c r="I385" s="45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ht="14.25" customHeight="1">
      <c r="A386" s="45"/>
      <c r="B386" s="45"/>
      <c r="C386" s="45"/>
      <c r="D386" s="45"/>
      <c r="E386" s="45"/>
      <c r="F386" s="45"/>
      <c r="G386" s="45"/>
      <c r="H386" s="45"/>
      <c r="I386" s="45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ht="14.25" customHeight="1">
      <c r="A387" s="45"/>
      <c r="B387" s="45"/>
      <c r="C387" s="45"/>
      <c r="D387" s="45"/>
      <c r="E387" s="45"/>
      <c r="F387" s="45"/>
      <c r="G387" s="45"/>
      <c r="H387" s="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ht="14.25" customHeight="1">
      <c r="A388" s="45"/>
      <c r="B388" s="45"/>
      <c r="C388" s="45"/>
      <c r="D388" s="45"/>
      <c r="E388" s="45"/>
      <c r="F388" s="45"/>
      <c r="G388" s="45"/>
      <c r="H388" s="45"/>
      <c r="I388" s="45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ht="14.25" customHeight="1">
      <c r="A389" s="45"/>
      <c r="B389" s="45"/>
      <c r="C389" s="45"/>
      <c r="D389" s="45"/>
      <c r="E389" s="45"/>
      <c r="F389" s="45"/>
      <c r="G389" s="45"/>
      <c r="H389" s="45"/>
      <c r="I389" s="45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ht="14.25" customHeight="1">
      <c r="A390" s="45"/>
      <c r="B390" s="45"/>
      <c r="C390" s="45"/>
      <c r="D390" s="45"/>
      <c r="E390" s="45"/>
      <c r="F390" s="45"/>
      <c r="G390" s="45"/>
      <c r="H390" s="45"/>
      <c r="I390" s="45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ht="14.25" customHeight="1">
      <c r="A391" s="45"/>
      <c r="B391" s="45"/>
      <c r="C391" s="45"/>
      <c r="D391" s="45"/>
      <c r="E391" s="45"/>
      <c r="F391" s="45"/>
      <c r="G391" s="45"/>
      <c r="H391" s="45"/>
      <c r="I391" s="45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ht="14.25" customHeight="1">
      <c r="A392" s="45"/>
      <c r="B392" s="45"/>
      <c r="C392" s="45"/>
      <c r="D392" s="45"/>
      <c r="E392" s="45"/>
      <c r="F392" s="45"/>
      <c r="G392" s="45"/>
      <c r="H392" s="45"/>
      <c r="I392" s="45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ht="14.25" customHeight="1">
      <c r="A393" s="45"/>
      <c r="B393" s="45"/>
      <c r="C393" s="45"/>
      <c r="D393" s="45"/>
      <c r="E393" s="45"/>
      <c r="F393" s="45"/>
      <c r="G393" s="45"/>
      <c r="H393" s="45"/>
      <c r="I393" s="45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ht="14.25" customHeight="1">
      <c r="A394" s="45"/>
      <c r="B394" s="45"/>
      <c r="C394" s="45"/>
      <c r="D394" s="45"/>
      <c r="E394" s="45"/>
      <c r="F394" s="45"/>
      <c r="G394" s="45"/>
      <c r="H394" s="45"/>
      <c r="I394" s="45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ht="14.25" customHeight="1">
      <c r="A395" s="45"/>
      <c r="B395" s="45"/>
      <c r="C395" s="45"/>
      <c r="D395" s="45"/>
      <c r="E395" s="45"/>
      <c r="F395" s="45"/>
      <c r="G395" s="45"/>
      <c r="H395" s="45"/>
      <c r="I395" s="45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ht="14.25" customHeight="1">
      <c r="A396" s="45"/>
      <c r="B396" s="45"/>
      <c r="C396" s="45"/>
      <c r="D396" s="45"/>
      <c r="E396" s="45"/>
      <c r="F396" s="45"/>
      <c r="G396" s="45"/>
      <c r="H396" s="45"/>
      <c r="I396" s="45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ht="14.25" customHeight="1">
      <c r="A397" s="45"/>
      <c r="B397" s="45"/>
      <c r="C397" s="45"/>
      <c r="D397" s="45"/>
      <c r="E397" s="45"/>
      <c r="F397" s="45"/>
      <c r="G397" s="45"/>
      <c r="H397" s="45"/>
      <c r="I397" s="45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ht="14.25" customHeight="1">
      <c r="A398" s="45"/>
      <c r="B398" s="45"/>
      <c r="C398" s="45"/>
      <c r="D398" s="45"/>
      <c r="E398" s="45"/>
      <c r="F398" s="45"/>
      <c r="G398" s="45"/>
      <c r="H398" s="45"/>
      <c r="I398" s="45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ht="14.25" customHeight="1">
      <c r="A399" s="45"/>
      <c r="B399" s="45"/>
      <c r="C399" s="45"/>
      <c r="D399" s="45"/>
      <c r="E399" s="45"/>
      <c r="F399" s="45"/>
      <c r="G399" s="45"/>
      <c r="H399" s="45"/>
      <c r="I399" s="45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ht="14.25" customHeight="1">
      <c r="A400" s="45"/>
      <c r="B400" s="45"/>
      <c r="C400" s="45"/>
      <c r="D400" s="45"/>
      <c r="E400" s="45"/>
      <c r="F400" s="45"/>
      <c r="G400" s="45"/>
      <c r="H400" s="45"/>
      <c r="I400" s="45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ht="14.25" customHeight="1">
      <c r="A401" s="45"/>
      <c r="B401" s="45"/>
      <c r="C401" s="45"/>
      <c r="D401" s="45"/>
      <c r="E401" s="45"/>
      <c r="F401" s="45"/>
      <c r="G401" s="45"/>
      <c r="H401" s="45"/>
      <c r="I401" s="45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ht="14.25" customHeight="1">
      <c r="A402" s="45"/>
      <c r="B402" s="45"/>
      <c r="C402" s="45"/>
      <c r="D402" s="45"/>
      <c r="E402" s="45"/>
      <c r="F402" s="45"/>
      <c r="G402" s="45"/>
      <c r="H402" s="45"/>
      <c r="I402" s="45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ht="14.25" customHeight="1">
      <c r="A403" s="45"/>
      <c r="B403" s="45"/>
      <c r="C403" s="45"/>
      <c r="D403" s="45"/>
      <c r="E403" s="45"/>
      <c r="F403" s="45"/>
      <c r="G403" s="45"/>
      <c r="H403" s="45"/>
      <c r="I403" s="45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ht="14.25" customHeight="1">
      <c r="A404" s="45"/>
      <c r="B404" s="45"/>
      <c r="C404" s="45"/>
      <c r="D404" s="45"/>
      <c r="E404" s="45"/>
      <c r="F404" s="45"/>
      <c r="G404" s="45"/>
      <c r="H404" s="45"/>
      <c r="I404" s="45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ht="14.25" customHeight="1">
      <c r="A405" s="45"/>
      <c r="B405" s="45"/>
      <c r="C405" s="45"/>
      <c r="D405" s="45"/>
      <c r="E405" s="45"/>
      <c r="F405" s="45"/>
      <c r="G405" s="45"/>
      <c r="H405" s="45"/>
      <c r="I405" s="45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ht="14.25" customHeight="1">
      <c r="A406" s="45"/>
      <c r="B406" s="45"/>
      <c r="C406" s="45"/>
      <c r="D406" s="45"/>
      <c r="E406" s="45"/>
      <c r="F406" s="45"/>
      <c r="G406" s="45"/>
      <c r="H406" s="45"/>
      <c r="I406" s="45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ht="14.25" customHeight="1">
      <c r="A407" s="45"/>
      <c r="B407" s="45"/>
      <c r="C407" s="45"/>
      <c r="D407" s="45"/>
      <c r="E407" s="45"/>
      <c r="F407" s="45"/>
      <c r="G407" s="45"/>
      <c r="H407" s="45"/>
      <c r="I407" s="45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ht="14.25" customHeight="1">
      <c r="A408" s="45"/>
      <c r="B408" s="45"/>
      <c r="C408" s="45"/>
      <c r="D408" s="45"/>
      <c r="E408" s="45"/>
      <c r="F408" s="45"/>
      <c r="G408" s="45"/>
      <c r="H408" s="45"/>
      <c r="I408" s="45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ht="14.25" customHeight="1">
      <c r="A409" s="45"/>
      <c r="B409" s="45"/>
      <c r="C409" s="45"/>
      <c r="D409" s="45"/>
      <c r="E409" s="45"/>
      <c r="F409" s="45"/>
      <c r="G409" s="45"/>
      <c r="H409" s="45"/>
      <c r="I409" s="45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ht="14.25" customHeight="1">
      <c r="A410" s="45"/>
      <c r="B410" s="45"/>
      <c r="C410" s="45"/>
      <c r="D410" s="45"/>
      <c r="E410" s="45"/>
      <c r="F410" s="45"/>
      <c r="G410" s="45"/>
      <c r="H410" s="45"/>
      <c r="I410" s="45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ht="14.25" customHeight="1">
      <c r="A411" s="45"/>
      <c r="B411" s="45"/>
      <c r="C411" s="45"/>
      <c r="D411" s="45"/>
      <c r="E411" s="45"/>
      <c r="F411" s="45"/>
      <c r="G411" s="45"/>
      <c r="H411" s="45"/>
      <c r="I411" s="45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ht="14.25" customHeight="1">
      <c r="A412" s="45"/>
      <c r="B412" s="45"/>
      <c r="C412" s="45"/>
      <c r="D412" s="45"/>
      <c r="E412" s="45"/>
      <c r="F412" s="45"/>
      <c r="G412" s="45"/>
      <c r="H412" s="45"/>
      <c r="I412" s="45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ht="14.25" customHeight="1">
      <c r="A413" s="45"/>
      <c r="B413" s="45"/>
      <c r="C413" s="45"/>
      <c r="D413" s="45"/>
      <c r="E413" s="45"/>
      <c r="F413" s="45"/>
      <c r="G413" s="45"/>
      <c r="H413" s="45"/>
      <c r="I413" s="45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ht="14.25" customHeight="1">
      <c r="A414" s="45"/>
      <c r="B414" s="45"/>
      <c r="C414" s="45"/>
      <c r="D414" s="45"/>
      <c r="E414" s="45"/>
      <c r="F414" s="45"/>
      <c r="G414" s="45"/>
      <c r="H414" s="45"/>
      <c r="I414" s="45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ht="14.25" customHeight="1">
      <c r="A415" s="45"/>
      <c r="B415" s="45"/>
      <c r="C415" s="45"/>
      <c r="D415" s="45"/>
      <c r="E415" s="45"/>
      <c r="F415" s="45"/>
      <c r="G415" s="45"/>
      <c r="H415" s="45"/>
      <c r="I415" s="45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ht="14.25" customHeight="1">
      <c r="A416" s="45"/>
      <c r="B416" s="45"/>
      <c r="C416" s="45"/>
      <c r="D416" s="45"/>
      <c r="E416" s="45"/>
      <c r="F416" s="45"/>
      <c r="G416" s="45"/>
      <c r="H416" s="45"/>
      <c r="I416" s="45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ht="14.25" customHeight="1">
      <c r="A417" s="45"/>
      <c r="B417" s="45"/>
      <c r="C417" s="45"/>
      <c r="D417" s="45"/>
      <c r="E417" s="45"/>
      <c r="F417" s="45"/>
      <c r="G417" s="45"/>
      <c r="H417" s="45"/>
      <c r="I417" s="45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ht="14.25" customHeight="1">
      <c r="A418" s="45"/>
      <c r="B418" s="45"/>
      <c r="C418" s="45"/>
      <c r="D418" s="45"/>
      <c r="E418" s="45"/>
      <c r="F418" s="45"/>
      <c r="G418" s="45"/>
      <c r="H418" s="45"/>
      <c r="I418" s="45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ht="14.25" customHeight="1">
      <c r="A419" s="45"/>
      <c r="B419" s="45"/>
      <c r="C419" s="45"/>
      <c r="D419" s="45"/>
      <c r="E419" s="45"/>
      <c r="F419" s="45"/>
      <c r="G419" s="45"/>
      <c r="H419" s="45"/>
      <c r="I419" s="45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ht="14.25" customHeight="1">
      <c r="A420" s="45"/>
      <c r="B420" s="45"/>
      <c r="C420" s="45"/>
      <c r="D420" s="45"/>
      <c r="E420" s="45"/>
      <c r="F420" s="45"/>
      <c r="G420" s="45"/>
      <c r="H420" s="45"/>
      <c r="I420" s="45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ht="14.25" customHeight="1">
      <c r="A421" s="45"/>
      <c r="B421" s="45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ht="14.25" customHeight="1">
      <c r="A422" s="45"/>
      <c r="B422" s="45"/>
      <c r="C422" s="45"/>
      <c r="D422" s="45"/>
      <c r="E422" s="45"/>
      <c r="F422" s="45"/>
      <c r="G422" s="45"/>
      <c r="H422" s="45"/>
      <c r="I422" s="45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ht="14.25" customHeight="1">
      <c r="A423" s="45"/>
      <c r="B423" s="45"/>
      <c r="C423" s="45"/>
      <c r="D423" s="45"/>
      <c r="E423" s="45"/>
      <c r="F423" s="45"/>
      <c r="G423" s="45"/>
      <c r="H423" s="45"/>
      <c r="I423" s="45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ht="14.25" customHeight="1">
      <c r="A424" s="45"/>
      <c r="B424" s="45"/>
      <c r="C424" s="45"/>
      <c r="D424" s="45"/>
      <c r="E424" s="45"/>
      <c r="F424" s="45"/>
      <c r="G424" s="45"/>
      <c r="H424" s="45"/>
      <c r="I424" s="45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ht="14.25" customHeight="1">
      <c r="A425" s="45"/>
      <c r="B425" s="45"/>
      <c r="C425" s="45"/>
      <c r="D425" s="45"/>
      <c r="E425" s="45"/>
      <c r="F425" s="45"/>
      <c r="G425" s="45"/>
      <c r="H425" s="45"/>
      <c r="I425" s="45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ht="14.25" customHeight="1">
      <c r="A426" s="45"/>
      <c r="B426" s="45"/>
      <c r="C426" s="45"/>
      <c r="D426" s="45"/>
      <c r="E426" s="45"/>
      <c r="F426" s="45"/>
      <c r="G426" s="45"/>
      <c r="H426" s="45"/>
      <c r="I426" s="45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ht="14.25" customHeight="1">
      <c r="A427" s="45"/>
      <c r="B427" s="45"/>
      <c r="C427" s="45"/>
      <c r="D427" s="45"/>
      <c r="E427" s="45"/>
      <c r="F427" s="45"/>
      <c r="G427" s="45"/>
      <c r="H427" s="45"/>
      <c r="I427" s="45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ht="14.25" customHeight="1">
      <c r="A428" s="45"/>
      <c r="B428" s="45"/>
      <c r="C428" s="45"/>
      <c r="D428" s="45"/>
      <c r="E428" s="45"/>
      <c r="F428" s="45"/>
      <c r="G428" s="45"/>
      <c r="H428" s="45"/>
      <c r="I428" s="45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ht="14.25" customHeight="1">
      <c r="A429" s="45"/>
      <c r="B429" s="45"/>
      <c r="C429" s="45"/>
      <c r="D429" s="45"/>
      <c r="E429" s="45"/>
      <c r="F429" s="45"/>
      <c r="G429" s="45"/>
      <c r="H429" s="45"/>
      <c r="I429" s="45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ht="14.25" customHeight="1">
      <c r="A430" s="45"/>
      <c r="B430" s="45"/>
      <c r="C430" s="45"/>
      <c r="D430" s="45"/>
      <c r="E430" s="45"/>
      <c r="F430" s="45"/>
      <c r="G430" s="45"/>
      <c r="H430" s="45"/>
      <c r="I430" s="45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ht="14.25" customHeight="1">
      <c r="A431" s="45"/>
      <c r="B431" s="45"/>
      <c r="C431" s="45"/>
      <c r="D431" s="45"/>
      <c r="E431" s="45"/>
      <c r="F431" s="45"/>
      <c r="G431" s="45"/>
      <c r="H431" s="45"/>
      <c r="I431" s="45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ht="14.25" customHeight="1">
      <c r="A432" s="45"/>
      <c r="B432" s="45"/>
      <c r="C432" s="45"/>
      <c r="D432" s="45"/>
      <c r="E432" s="45"/>
      <c r="F432" s="45"/>
      <c r="G432" s="45"/>
      <c r="H432" s="45"/>
      <c r="I432" s="45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ht="14.25" customHeight="1">
      <c r="A433" s="45"/>
      <c r="B433" s="45"/>
      <c r="C433" s="45"/>
      <c r="D433" s="45"/>
      <c r="E433" s="45"/>
      <c r="F433" s="45"/>
      <c r="G433" s="45"/>
      <c r="H433" s="45"/>
      <c r="I433" s="45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ht="14.25" customHeight="1">
      <c r="A434" s="45"/>
      <c r="B434" s="45"/>
      <c r="C434" s="45"/>
      <c r="D434" s="45"/>
      <c r="E434" s="45"/>
      <c r="F434" s="45"/>
      <c r="G434" s="45"/>
      <c r="H434" s="45"/>
      <c r="I434" s="45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ht="14.25" customHeight="1">
      <c r="A435" s="45"/>
      <c r="B435" s="45"/>
      <c r="C435" s="45"/>
      <c r="D435" s="45"/>
      <c r="E435" s="45"/>
      <c r="F435" s="45"/>
      <c r="G435" s="45"/>
      <c r="H435" s="45"/>
      <c r="I435" s="45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ht="14.25" customHeight="1">
      <c r="A436" s="45"/>
      <c r="B436" s="45"/>
      <c r="C436" s="45"/>
      <c r="D436" s="45"/>
      <c r="E436" s="45"/>
      <c r="F436" s="45"/>
      <c r="G436" s="45"/>
      <c r="H436" s="45"/>
      <c r="I436" s="45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ht="14.25" customHeight="1">
      <c r="A437" s="45"/>
      <c r="B437" s="45"/>
      <c r="C437" s="45"/>
      <c r="D437" s="45"/>
      <c r="E437" s="45"/>
      <c r="F437" s="45"/>
      <c r="G437" s="45"/>
      <c r="H437" s="45"/>
      <c r="I437" s="45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ht="14.25" customHeight="1">
      <c r="A438" s="45"/>
      <c r="B438" s="45"/>
      <c r="C438" s="45"/>
      <c r="D438" s="45"/>
      <c r="E438" s="45"/>
      <c r="F438" s="45"/>
      <c r="G438" s="45"/>
      <c r="H438" s="45"/>
      <c r="I438" s="45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ht="14.25" customHeight="1">
      <c r="A439" s="45"/>
      <c r="B439" s="45"/>
      <c r="C439" s="45"/>
      <c r="D439" s="45"/>
      <c r="E439" s="45"/>
      <c r="F439" s="45"/>
      <c r="G439" s="45"/>
      <c r="H439" s="45"/>
      <c r="I439" s="45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ht="14.25" customHeight="1">
      <c r="A440" s="45"/>
      <c r="B440" s="45"/>
      <c r="C440" s="45"/>
      <c r="D440" s="45"/>
      <c r="E440" s="45"/>
      <c r="F440" s="45"/>
      <c r="G440" s="45"/>
      <c r="H440" s="45"/>
      <c r="I440" s="45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ht="14.25" customHeight="1">
      <c r="A441" s="45"/>
      <c r="B441" s="45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ht="14.25" customHeight="1">
      <c r="A442" s="45"/>
      <c r="B442" s="45"/>
      <c r="C442" s="45"/>
      <c r="D442" s="45"/>
      <c r="E442" s="45"/>
      <c r="F442" s="45"/>
      <c r="G442" s="45"/>
      <c r="H442" s="45"/>
      <c r="I442" s="45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ht="14.25" customHeight="1">
      <c r="A443" s="45"/>
      <c r="B443" s="45"/>
      <c r="C443" s="45"/>
      <c r="D443" s="45"/>
      <c r="E443" s="45"/>
      <c r="F443" s="45"/>
      <c r="G443" s="45"/>
      <c r="H443" s="45"/>
      <c r="I443" s="45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ht="14.25" customHeight="1">
      <c r="A444" s="4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ht="14.25" customHeight="1">
      <c r="A445" s="45"/>
      <c r="B445" s="45"/>
      <c r="C445" s="45"/>
      <c r="D445" s="45"/>
      <c r="E445" s="45"/>
      <c r="F445" s="45"/>
      <c r="G445" s="45"/>
      <c r="H445" s="45"/>
      <c r="I445" s="45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ht="14.25" customHeight="1">
      <c r="A446" s="45"/>
      <c r="B446" s="45"/>
      <c r="C446" s="45"/>
      <c r="D446" s="45"/>
      <c r="E446" s="45"/>
      <c r="F446" s="45"/>
      <c r="G446" s="45"/>
      <c r="H446" s="45"/>
      <c r="I446" s="45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ht="14.25" customHeight="1">
      <c r="A447" s="45"/>
      <c r="B447" s="45"/>
      <c r="C447" s="45"/>
      <c r="D447" s="45"/>
      <c r="E447" s="45"/>
      <c r="F447" s="45"/>
      <c r="G447" s="45"/>
      <c r="H447" s="45"/>
      <c r="I447" s="45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ht="14.25" customHeight="1">
      <c r="A448" s="45"/>
      <c r="B448" s="45"/>
      <c r="C448" s="45"/>
      <c r="D448" s="45"/>
      <c r="E448" s="45"/>
      <c r="F448" s="45"/>
      <c r="G448" s="45"/>
      <c r="H448" s="45"/>
      <c r="I448" s="45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ht="14.25" customHeight="1">
      <c r="A449" s="45"/>
      <c r="B449" s="45"/>
      <c r="C449" s="45"/>
      <c r="D449" s="45"/>
      <c r="E449" s="45"/>
      <c r="F449" s="45"/>
      <c r="G449" s="45"/>
      <c r="H449" s="45"/>
      <c r="I449" s="45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ht="14.25" customHeight="1">
      <c r="A450" s="45"/>
      <c r="B450" s="45"/>
      <c r="C450" s="45"/>
      <c r="D450" s="45"/>
      <c r="E450" s="45"/>
      <c r="F450" s="45"/>
      <c r="G450" s="45"/>
      <c r="H450" s="45"/>
      <c r="I450" s="45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ht="14.25" customHeight="1">
      <c r="A451" s="45"/>
      <c r="B451" s="45"/>
      <c r="C451" s="45"/>
      <c r="D451" s="45"/>
      <c r="E451" s="45"/>
      <c r="F451" s="45"/>
      <c r="G451" s="45"/>
      <c r="H451" s="45"/>
      <c r="I451" s="45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ht="14.25" customHeight="1">
      <c r="A452" s="45"/>
      <c r="B452" s="45"/>
      <c r="C452" s="45"/>
      <c r="D452" s="45"/>
      <c r="E452" s="45"/>
      <c r="F452" s="45"/>
      <c r="G452" s="45"/>
      <c r="H452" s="45"/>
      <c r="I452" s="45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ht="14.25" customHeight="1">
      <c r="A453" s="45"/>
      <c r="B453" s="45"/>
      <c r="C453" s="45"/>
      <c r="D453" s="45"/>
      <c r="E453" s="45"/>
      <c r="F453" s="45"/>
      <c r="G453" s="45"/>
      <c r="H453" s="45"/>
      <c r="I453" s="45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ht="14.25" customHeight="1">
      <c r="A454" s="45"/>
      <c r="B454" s="45"/>
      <c r="C454" s="45"/>
      <c r="D454" s="45"/>
      <c r="E454" s="45"/>
      <c r="F454" s="45"/>
      <c r="G454" s="45"/>
      <c r="H454" s="45"/>
      <c r="I454" s="45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ht="14.25" customHeight="1">
      <c r="A455" s="45"/>
      <c r="B455" s="45"/>
      <c r="C455" s="45"/>
      <c r="D455" s="45"/>
      <c r="E455" s="45"/>
      <c r="F455" s="45"/>
      <c r="G455" s="45"/>
      <c r="H455" s="45"/>
      <c r="I455" s="45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ht="14.25" customHeight="1">
      <c r="A456" s="45"/>
      <c r="B456" s="45"/>
      <c r="C456" s="45"/>
      <c r="D456" s="45"/>
      <c r="E456" s="45"/>
      <c r="F456" s="45"/>
      <c r="G456" s="45"/>
      <c r="H456" s="45"/>
      <c r="I456" s="45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ht="14.25" customHeight="1">
      <c r="A457" s="45"/>
      <c r="B457" s="45"/>
      <c r="C457" s="45"/>
      <c r="D457" s="45"/>
      <c r="E457" s="45"/>
      <c r="F457" s="45"/>
      <c r="G457" s="45"/>
      <c r="H457" s="45"/>
      <c r="I457" s="45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ht="14.25" customHeight="1">
      <c r="A458" s="45"/>
      <c r="B458" s="45"/>
      <c r="C458" s="45"/>
      <c r="D458" s="45"/>
      <c r="E458" s="45"/>
      <c r="F458" s="45"/>
      <c r="G458" s="45"/>
      <c r="H458" s="45"/>
      <c r="I458" s="45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ht="14.25" customHeight="1">
      <c r="A459" s="45"/>
      <c r="B459" s="45"/>
      <c r="C459" s="45"/>
      <c r="D459" s="45"/>
      <c r="E459" s="45"/>
      <c r="F459" s="45"/>
      <c r="G459" s="45"/>
      <c r="H459" s="45"/>
      <c r="I459" s="45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ht="14.25" customHeight="1">
      <c r="A460" s="45"/>
      <c r="B460" s="45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ht="14.25" customHeight="1">
      <c r="A461" s="45"/>
      <c r="B461" s="45"/>
      <c r="C461" s="45"/>
      <c r="D461" s="45"/>
      <c r="E461" s="45"/>
      <c r="F461" s="45"/>
      <c r="G461" s="45"/>
      <c r="H461" s="45"/>
      <c r="I461" s="45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ht="14.25" customHeight="1">
      <c r="A462" s="45"/>
      <c r="B462" s="45"/>
      <c r="C462" s="45"/>
      <c r="D462" s="45"/>
      <c r="E462" s="45"/>
      <c r="F462" s="45"/>
      <c r="G462" s="45"/>
      <c r="H462" s="45"/>
      <c r="I462" s="45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ht="14.25" customHeight="1">
      <c r="A463" s="45"/>
      <c r="B463" s="45"/>
      <c r="C463" s="45"/>
      <c r="D463" s="45"/>
      <c r="E463" s="45"/>
      <c r="F463" s="45"/>
      <c r="G463" s="45"/>
      <c r="H463" s="45"/>
      <c r="I463" s="45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ht="14.25" customHeight="1">
      <c r="A464" s="4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ht="14.25" customHeight="1">
      <c r="A465" s="45"/>
      <c r="B465" s="45"/>
      <c r="C465" s="45"/>
      <c r="D465" s="45"/>
      <c r="E465" s="45"/>
      <c r="F465" s="45"/>
      <c r="G465" s="45"/>
      <c r="H465" s="45"/>
      <c r="I465" s="45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ht="14.25" customHeight="1">
      <c r="A466" s="45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ht="14.25" customHeight="1">
      <c r="A467" s="45"/>
      <c r="B467" s="45"/>
      <c r="C467" s="45"/>
      <c r="D467" s="45"/>
      <c r="E467" s="45"/>
      <c r="F467" s="45"/>
      <c r="G467" s="45"/>
      <c r="H467" s="45"/>
      <c r="I467" s="45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ht="14.25" customHeight="1">
      <c r="A468" s="45"/>
      <c r="B468" s="45"/>
      <c r="C468" s="45"/>
      <c r="D468" s="45"/>
      <c r="E468" s="45"/>
      <c r="F468" s="45"/>
      <c r="G468" s="45"/>
      <c r="H468" s="45"/>
      <c r="I468" s="45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ht="14.25" customHeight="1">
      <c r="A469" s="45"/>
      <c r="B469" s="45"/>
      <c r="C469" s="45"/>
      <c r="D469" s="45"/>
      <c r="E469" s="45"/>
      <c r="F469" s="45"/>
      <c r="G469" s="45"/>
      <c r="H469" s="45"/>
      <c r="I469" s="45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ht="14.25" customHeight="1">
      <c r="A470" s="45"/>
      <c r="B470" s="45"/>
      <c r="C470" s="45"/>
      <c r="D470" s="45"/>
      <c r="E470" s="45"/>
      <c r="F470" s="45"/>
      <c r="G470" s="45"/>
      <c r="H470" s="45"/>
      <c r="I470" s="45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ht="14.25" customHeight="1">
      <c r="A471" s="45"/>
      <c r="B471" s="45"/>
      <c r="C471" s="45"/>
      <c r="D471" s="45"/>
      <c r="E471" s="45"/>
      <c r="F471" s="45"/>
      <c r="G471" s="45"/>
      <c r="H471" s="45"/>
      <c r="I471" s="45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ht="14.25" customHeight="1">
      <c r="A472" s="45"/>
      <c r="B472" s="45"/>
      <c r="C472" s="45"/>
      <c r="D472" s="45"/>
      <c r="E472" s="45"/>
      <c r="F472" s="45"/>
      <c r="G472" s="45"/>
      <c r="H472" s="45"/>
      <c r="I472" s="45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ht="14.25" customHeight="1">
      <c r="A473" s="45"/>
      <c r="B473" s="45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ht="14.25" customHeight="1">
      <c r="A474" s="45"/>
      <c r="B474" s="45"/>
      <c r="C474" s="45"/>
      <c r="D474" s="45"/>
      <c r="E474" s="45"/>
      <c r="F474" s="45"/>
      <c r="G474" s="45"/>
      <c r="H474" s="45"/>
      <c r="I474" s="45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ht="14.25" customHeight="1">
      <c r="A475" s="45"/>
      <c r="B475" s="45"/>
      <c r="C475" s="45"/>
      <c r="D475" s="45"/>
      <c r="E475" s="45"/>
      <c r="F475" s="45"/>
      <c r="G475" s="45"/>
      <c r="H475" s="45"/>
      <c r="I475" s="45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ht="14.25" customHeight="1">
      <c r="A476" s="45"/>
      <c r="B476" s="45"/>
      <c r="C476" s="45"/>
      <c r="D476" s="45"/>
      <c r="E476" s="45"/>
      <c r="F476" s="45"/>
      <c r="G476" s="45"/>
      <c r="H476" s="45"/>
      <c r="I476" s="45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ht="14.25" customHeight="1">
      <c r="A477" s="45"/>
      <c r="B477" s="45"/>
      <c r="C477" s="45"/>
      <c r="D477" s="45"/>
      <c r="E477" s="45"/>
      <c r="F477" s="45"/>
      <c r="G477" s="45"/>
      <c r="H477" s="45"/>
      <c r="I477" s="45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ht="14.25" customHeight="1">
      <c r="A478" s="45"/>
      <c r="B478" s="45"/>
      <c r="C478" s="45"/>
      <c r="D478" s="45"/>
      <c r="E478" s="45"/>
      <c r="F478" s="45"/>
      <c r="G478" s="45"/>
      <c r="H478" s="45"/>
      <c r="I478" s="45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ht="14.25" customHeight="1">
      <c r="A479" s="45"/>
      <c r="B479" s="45"/>
      <c r="C479" s="45"/>
      <c r="D479" s="45"/>
      <c r="E479" s="45"/>
      <c r="F479" s="45"/>
      <c r="G479" s="45"/>
      <c r="H479" s="45"/>
      <c r="I479" s="45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ht="14.25" customHeight="1">
      <c r="A480" s="45"/>
      <c r="B480" s="45"/>
      <c r="C480" s="45"/>
      <c r="D480" s="45"/>
      <c r="E480" s="45"/>
      <c r="F480" s="45"/>
      <c r="G480" s="45"/>
      <c r="H480" s="45"/>
      <c r="I480" s="45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ht="14.25" customHeight="1">
      <c r="A481" s="45"/>
      <c r="B481" s="45"/>
      <c r="C481" s="45"/>
      <c r="D481" s="45"/>
      <c r="E481" s="45"/>
      <c r="F481" s="45"/>
      <c r="G481" s="45"/>
      <c r="H481" s="45"/>
      <c r="I481" s="45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ht="14.25" customHeight="1">
      <c r="A482" s="45"/>
      <c r="B482" s="45"/>
      <c r="C482" s="45"/>
      <c r="D482" s="45"/>
      <c r="E482" s="45"/>
      <c r="F482" s="45"/>
      <c r="G482" s="45"/>
      <c r="H482" s="45"/>
      <c r="I482" s="45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ht="14.25" customHeight="1">
      <c r="A483" s="45"/>
      <c r="B483" s="45"/>
      <c r="C483" s="45"/>
      <c r="D483" s="45"/>
      <c r="E483" s="45"/>
      <c r="F483" s="45"/>
      <c r="G483" s="45"/>
      <c r="H483" s="45"/>
      <c r="I483" s="45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ht="14.25" customHeight="1">
      <c r="A484" s="45"/>
      <c r="B484" s="45"/>
      <c r="C484" s="45"/>
      <c r="D484" s="45"/>
      <c r="E484" s="45"/>
      <c r="F484" s="45"/>
      <c r="G484" s="45"/>
      <c r="H484" s="45"/>
      <c r="I484" s="45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ht="14.25" customHeight="1">
      <c r="A485" s="45"/>
      <c r="B485" s="45"/>
      <c r="C485" s="45"/>
      <c r="D485" s="45"/>
      <c r="E485" s="45"/>
      <c r="F485" s="45"/>
      <c r="G485" s="45"/>
      <c r="H485" s="45"/>
      <c r="I485" s="45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ht="14.25" customHeight="1">
      <c r="A486" s="45"/>
      <c r="B486" s="45"/>
      <c r="C486" s="45"/>
      <c r="D486" s="45"/>
      <c r="E486" s="45"/>
      <c r="F486" s="45"/>
      <c r="G486" s="45"/>
      <c r="H486" s="45"/>
      <c r="I486" s="45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ht="14.25" customHeight="1">
      <c r="A487" s="45"/>
      <c r="B487" s="45"/>
      <c r="C487" s="45"/>
      <c r="D487" s="45"/>
      <c r="E487" s="45"/>
      <c r="F487" s="45"/>
      <c r="G487" s="45"/>
      <c r="H487" s="45"/>
      <c r="I487" s="45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ht="14.25" customHeight="1">
      <c r="A488" s="45"/>
      <c r="B488" s="45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ht="14.25" customHeight="1">
      <c r="A489" s="45"/>
      <c r="B489" s="45"/>
      <c r="C489" s="45"/>
      <c r="D489" s="45"/>
      <c r="E489" s="45"/>
      <c r="F489" s="45"/>
      <c r="G489" s="45"/>
      <c r="H489" s="45"/>
      <c r="I489" s="45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ht="14.25" customHeight="1">
      <c r="A490" s="45"/>
      <c r="B490" s="45"/>
      <c r="C490" s="45"/>
      <c r="D490" s="45"/>
      <c r="E490" s="45"/>
      <c r="F490" s="45"/>
      <c r="G490" s="45"/>
      <c r="H490" s="45"/>
      <c r="I490" s="45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ht="14.25" customHeight="1">
      <c r="A491" s="45"/>
      <c r="B491" s="45"/>
      <c r="C491" s="45"/>
      <c r="D491" s="45"/>
      <c r="E491" s="45"/>
      <c r="F491" s="45"/>
      <c r="G491" s="45"/>
      <c r="H491" s="45"/>
      <c r="I491" s="45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ht="14.25" customHeight="1">
      <c r="A492" s="45"/>
      <c r="B492" s="45"/>
      <c r="C492" s="45"/>
      <c r="D492" s="45"/>
      <c r="E492" s="45"/>
      <c r="F492" s="45"/>
      <c r="G492" s="45"/>
      <c r="H492" s="45"/>
      <c r="I492" s="45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ht="14.25" customHeight="1">
      <c r="A493" s="45"/>
      <c r="B493" s="45"/>
      <c r="C493" s="45"/>
      <c r="D493" s="45"/>
      <c r="E493" s="45"/>
      <c r="F493" s="45"/>
      <c r="G493" s="45"/>
      <c r="H493" s="45"/>
      <c r="I493" s="45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ht="14.25" customHeight="1">
      <c r="A494" s="45"/>
      <c r="B494" s="45"/>
      <c r="C494" s="45"/>
      <c r="D494" s="45"/>
      <c r="E494" s="45"/>
      <c r="F494" s="45"/>
      <c r="G494" s="45"/>
      <c r="H494" s="45"/>
      <c r="I494" s="45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ht="14.25" customHeight="1">
      <c r="A495" s="45"/>
      <c r="B495" s="45"/>
      <c r="C495" s="45"/>
      <c r="D495" s="45"/>
      <c r="E495" s="45"/>
      <c r="F495" s="45"/>
      <c r="G495" s="45"/>
      <c r="H495" s="45"/>
      <c r="I495" s="45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ht="14.25" customHeight="1">
      <c r="A496" s="45"/>
      <c r="B496" s="45"/>
      <c r="C496" s="45"/>
      <c r="D496" s="45"/>
      <c r="E496" s="45"/>
      <c r="F496" s="45"/>
      <c r="G496" s="45"/>
      <c r="H496" s="45"/>
      <c r="I496" s="45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ht="14.25" customHeight="1">
      <c r="A497" s="45"/>
      <c r="B497" s="45"/>
      <c r="C497" s="45"/>
      <c r="D497" s="45"/>
      <c r="E497" s="45"/>
      <c r="F497" s="45"/>
      <c r="G497" s="45"/>
      <c r="H497" s="45"/>
      <c r="I497" s="45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ht="14.25" customHeight="1">
      <c r="A498" s="45"/>
      <c r="B498" s="45"/>
      <c r="C498" s="45"/>
      <c r="D498" s="45"/>
      <c r="E498" s="45"/>
      <c r="F498" s="45"/>
      <c r="G498" s="45"/>
      <c r="H498" s="45"/>
      <c r="I498" s="45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ht="14.25" customHeight="1">
      <c r="A499" s="45"/>
      <c r="B499" s="45"/>
      <c r="C499" s="45"/>
      <c r="D499" s="45"/>
      <c r="E499" s="45"/>
      <c r="F499" s="45"/>
      <c r="G499" s="45"/>
      <c r="H499" s="45"/>
      <c r="I499" s="45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ht="14.25" customHeight="1">
      <c r="A500" s="45"/>
      <c r="B500" s="45"/>
      <c r="C500" s="45"/>
      <c r="D500" s="45"/>
      <c r="E500" s="45"/>
      <c r="F500" s="45"/>
      <c r="G500" s="45"/>
      <c r="H500" s="45"/>
      <c r="I500" s="45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ht="14.25" customHeight="1">
      <c r="A501" s="45"/>
      <c r="B501" s="45"/>
      <c r="C501" s="45"/>
      <c r="D501" s="45"/>
      <c r="E501" s="45"/>
      <c r="F501" s="45"/>
      <c r="G501" s="45"/>
      <c r="H501" s="45"/>
      <c r="I501" s="45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ht="14.25" customHeight="1">
      <c r="A502" s="45"/>
      <c r="B502" s="45"/>
      <c r="C502" s="45"/>
      <c r="D502" s="45"/>
      <c r="E502" s="45"/>
      <c r="F502" s="45"/>
      <c r="G502" s="45"/>
      <c r="H502" s="45"/>
      <c r="I502" s="45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ht="14.25" customHeight="1">
      <c r="A503" s="45"/>
      <c r="B503" s="45"/>
      <c r="C503" s="45"/>
      <c r="D503" s="45"/>
      <c r="E503" s="45"/>
      <c r="F503" s="45"/>
      <c r="G503" s="45"/>
      <c r="H503" s="45"/>
      <c r="I503" s="45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ht="14.25" customHeight="1">
      <c r="A504" s="45"/>
      <c r="B504" s="45"/>
      <c r="C504" s="45"/>
      <c r="D504" s="45"/>
      <c r="E504" s="45"/>
      <c r="F504" s="45"/>
      <c r="G504" s="45"/>
      <c r="H504" s="45"/>
      <c r="I504" s="45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ht="14.25" customHeight="1">
      <c r="A505" s="45"/>
      <c r="B505" s="45"/>
      <c r="C505" s="45"/>
      <c r="D505" s="45"/>
      <c r="E505" s="45"/>
      <c r="F505" s="45"/>
      <c r="G505" s="45"/>
      <c r="H505" s="45"/>
      <c r="I505" s="45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ht="14.25" customHeight="1">
      <c r="A506" s="45"/>
      <c r="B506" s="45"/>
      <c r="C506" s="45"/>
      <c r="D506" s="45"/>
      <c r="E506" s="45"/>
      <c r="F506" s="45"/>
      <c r="G506" s="45"/>
      <c r="H506" s="45"/>
      <c r="I506" s="45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ht="14.25" customHeight="1">
      <c r="A507" s="45"/>
      <c r="B507" s="45"/>
      <c r="C507" s="45"/>
      <c r="D507" s="45"/>
      <c r="E507" s="45"/>
      <c r="F507" s="45"/>
      <c r="G507" s="45"/>
      <c r="H507" s="45"/>
      <c r="I507" s="45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ht="14.25" customHeight="1">
      <c r="A508" s="45"/>
      <c r="B508" s="45"/>
      <c r="C508" s="45"/>
      <c r="D508" s="45"/>
      <c r="E508" s="45"/>
      <c r="F508" s="45"/>
      <c r="G508" s="45"/>
      <c r="H508" s="45"/>
      <c r="I508" s="45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ht="14.25" customHeight="1">
      <c r="A509" s="45"/>
      <c r="B509" s="45"/>
      <c r="C509" s="45"/>
      <c r="D509" s="45"/>
      <c r="E509" s="45"/>
      <c r="F509" s="45"/>
      <c r="G509" s="45"/>
      <c r="H509" s="45"/>
      <c r="I509" s="45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ht="14.25" customHeight="1">
      <c r="A510" s="45"/>
      <c r="B510" s="45"/>
      <c r="C510" s="45"/>
      <c r="D510" s="45"/>
      <c r="E510" s="45"/>
      <c r="F510" s="45"/>
      <c r="G510" s="45"/>
      <c r="H510" s="45"/>
      <c r="I510" s="45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ht="14.25" customHeight="1">
      <c r="A511" s="45"/>
      <c r="B511" s="45"/>
      <c r="C511" s="45"/>
      <c r="D511" s="45"/>
      <c r="E511" s="45"/>
      <c r="F511" s="45"/>
      <c r="G511" s="45"/>
      <c r="H511" s="45"/>
      <c r="I511" s="45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ht="14.25" customHeight="1">
      <c r="A512" s="45"/>
      <c r="B512" s="45"/>
      <c r="C512" s="45"/>
      <c r="D512" s="45"/>
      <c r="E512" s="45"/>
      <c r="F512" s="45"/>
      <c r="G512" s="45"/>
      <c r="H512" s="45"/>
      <c r="I512" s="45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ht="14.25" customHeight="1">
      <c r="A513" s="45"/>
      <c r="B513" s="45"/>
      <c r="C513" s="45"/>
      <c r="D513" s="45"/>
      <c r="E513" s="45"/>
      <c r="F513" s="45"/>
      <c r="G513" s="45"/>
      <c r="H513" s="45"/>
      <c r="I513" s="45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ht="14.25" customHeight="1">
      <c r="A514" s="45"/>
      <c r="B514" s="45"/>
      <c r="C514" s="45"/>
      <c r="D514" s="45"/>
      <c r="E514" s="45"/>
      <c r="F514" s="45"/>
      <c r="G514" s="45"/>
      <c r="H514" s="45"/>
      <c r="I514" s="45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ht="14.25" customHeight="1">
      <c r="A515" s="45"/>
      <c r="B515" s="45"/>
      <c r="C515" s="45"/>
      <c r="D515" s="45"/>
      <c r="E515" s="45"/>
      <c r="F515" s="45"/>
      <c r="G515" s="45"/>
      <c r="H515" s="45"/>
      <c r="I515" s="45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ht="14.25" customHeight="1">
      <c r="A516" s="45"/>
      <c r="B516" s="45"/>
      <c r="C516" s="45"/>
      <c r="D516" s="45"/>
      <c r="E516" s="45"/>
      <c r="F516" s="45"/>
      <c r="G516" s="45"/>
      <c r="H516" s="45"/>
      <c r="I516" s="45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ht="14.25" customHeight="1">
      <c r="A517" s="45"/>
      <c r="B517" s="45"/>
      <c r="C517" s="45"/>
      <c r="D517" s="45"/>
      <c r="E517" s="45"/>
      <c r="F517" s="45"/>
      <c r="G517" s="45"/>
      <c r="H517" s="45"/>
      <c r="I517" s="45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ht="14.25" customHeight="1">
      <c r="A518" s="45"/>
      <c r="B518" s="45"/>
      <c r="C518" s="45"/>
      <c r="D518" s="45"/>
      <c r="E518" s="45"/>
      <c r="F518" s="45"/>
      <c r="G518" s="45"/>
      <c r="H518" s="45"/>
      <c r="I518" s="45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ht="14.25" customHeight="1">
      <c r="A519" s="45"/>
      <c r="B519" s="45"/>
      <c r="C519" s="45"/>
      <c r="D519" s="45"/>
      <c r="E519" s="45"/>
      <c r="F519" s="45"/>
      <c r="G519" s="45"/>
      <c r="H519" s="45"/>
      <c r="I519" s="45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ht="14.25" customHeight="1">
      <c r="A520" s="45"/>
      <c r="B520" s="45"/>
      <c r="C520" s="45"/>
      <c r="D520" s="45"/>
      <c r="E520" s="45"/>
      <c r="F520" s="45"/>
      <c r="G520" s="45"/>
      <c r="H520" s="45"/>
      <c r="I520" s="45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ht="14.25" customHeight="1">
      <c r="A521" s="45"/>
      <c r="B521" s="45"/>
      <c r="C521" s="45"/>
      <c r="D521" s="45"/>
      <c r="E521" s="45"/>
      <c r="F521" s="45"/>
      <c r="G521" s="45"/>
      <c r="H521" s="45"/>
      <c r="I521" s="45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ht="14.25" customHeight="1">
      <c r="A522" s="45"/>
      <c r="B522" s="45"/>
      <c r="C522" s="45"/>
      <c r="D522" s="45"/>
      <c r="E522" s="45"/>
      <c r="F522" s="45"/>
      <c r="G522" s="45"/>
      <c r="H522" s="45"/>
      <c r="I522" s="45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ht="14.25" customHeight="1">
      <c r="A523" s="45"/>
      <c r="B523" s="45"/>
      <c r="C523" s="45"/>
      <c r="D523" s="45"/>
      <c r="E523" s="45"/>
      <c r="F523" s="45"/>
      <c r="G523" s="45"/>
      <c r="H523" s="45"/>
      <c r="I523" s="45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ht="14.25" customHeight="1">
      <c r="A524" s="45"/>
      <c r="B524" s="45"/>
      <c r="C524" s="45"/>
      <c r="D524" s="45"/>
      <c r="E524" s="45"/>
      <c r="F524" s="45"/>
      <c r="G524" s="45"/>
      <c r="H524" s="45"/>
      <c r="I524" s="45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ht="14.25" customHeight="1">
      <c r="A525" s="45"/>
      <c r="B525" s="45"/>
      <c r="C525" s="45"/>
      <c r="D525" s="45"/>
      <c r="E525" s="45"/>
      <c r="F525" s="45"/>
      <c r="G525" s="45"/>
      <c r="H525" s="45"/>
      <c r="I525" s="45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ht="14.25" customHeight="1">
      <c r="A526" s="45"/>
      <c r="B526" s="45"/>
      <c r="C526" s="45"/>
      <c r="D526" s="45"/>
      <c r="E526" s="45"/>
      <c r="F526" s="45"/>
      <c r="G526" s="45"/>
      <c r="H526" s="45"/>
      <c r="I526" s="45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ht="14.25" customHeight="1">
      <c r="A527" s="45"/>
      <c r="B527" s="45"/>
      <c r="C527" s="45"/>
      <c r="D527" s="45"/>
      <c r="E527" s="45"/>
      <c r="F527" s="45"/>
      <c r="G527" s="45"/>
      <c r="H527" s="45"/>
      <c r="I527" s="45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ht="14.25" customHeight="1">
      <c r="A528" s="45"/>
      <c r="B528" s="45"/>
      <c r="C528" s="45"/>
      <c r="D528" s="45"/>
      <c r="E528" s="45"/>
      <c r="F528" s="45"/>
      <c r="G528" s="45"/>
      <c r="H528" s="45"/>
      <c r="I528" s="45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ht="14.25" customHeight="1">
      <c r="A529" s="45"/>
      <c r="B529" s="45"/>
      <c r="C529" s="45"/>
      <c r="D529" s="45"/>
      <c r="E529" s="45"/>
      <c r="F529" s="45"/>
      <c r="G529" s="45"/>
      <c r="H529" s="45"/>
      <c r="I529" s="45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ht="14.25" customHeight="1">
      <c r="A530" s="45"/>
      <c r="B530" s="45"/>
      <c r="C530" s="45"/>
      <c r="D530" s="45"/>
      <c r="E530" s="45"/>
      <c r="F530" s="45"/>
      <c r="G530" s="45"/>
      <c r="H530" s="45"/>
      <c r="I530" s="45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ht="14.25" customHeight="1">
      <c r="A531" s="45"/>
      <c r="B531" s="45"/>
      <c r="C531" s="45"/>
      <c r="D531" s="45"/>
      <c r="E531" s="45"/>
      <c r="F531" s="45"/>
      <c r="G531" s="45"/>
      <c r="H531" s="45"/>
      <c r="I531" s="45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ht="14.25" customHeight="1">
      <c r="A532" s="45"/>
      <c r="B532" s="45"/>
      <c r="C532" s="45"/>
      <c r="D532" s="45"/>
      <c r="E532" s="45"/>
      <c r="F532" s="45"/>
      <c r="G532" s="45"/>
      <c r="H532" s="45"/>
      <c r="I532" s="45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ht="14.25" customHeight="1">
      <c r="A533" s="45"/>
      <c r="B533" s="45"/>
      <c r="C533" s="45"/>
      <c r="D533" s="45"/>
      <c r="E533" s="45"/>
      <c r="F533" s="45"/>
      <c r="G533" s="45"/>
      <c r="H533" s="45"/>
      <c r="I533" s="45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ht="14.25" customHeight="1">
      <c r="A534" s="45"/>
      <c r="B534" s="45"/>
      <c r="C534" s="45"/>
      <c r="D534" s="45"/>
      <c r="E534" s="45"/>
      <c r="F534" s="45"/>
      <c r="G534" s="45"/>
      <c r="H534" s="45"/>
      <c r="I534" s="45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ht="14.25" customHeight="1">
      <c r="A535" s="45"/>
      <c r="B535" s="45"/>
      <c r="C535" s="45"/>
      <c r="D535" s="45"/>
      <c r="E535" s="45"/>
      <c r="F535" s="45"/>
      <c r="G535" s="45"/>
      <c r="H535" s="45"/>
      <c r="I535" s="45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ht="14.25" customHeight="1">
      <c r="A536" s="45"/>
      <c r="B536" s="45"/>
      <c r="C536" s="45"/>
      <c r="D536" s="45"/>
      <c r="E536" s="45"/>
      <c r="F536" s="45"/>
      <c r="G536" s="45"/>
      <c r="H536" s="45"/>
      <c r="I536" s="45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ht="14.25" customHeight="1">
      <c r="A537" s="45"/>
      <c r="B537" s="45"/>
      <c r="C537" s="45"/>
      <c r="D537" s="45"/>
      <c r="E537" s="45"/>
      <c r="F537" s="45"/>
      <c r="G537" s="45"/>
      <c r="H537" s="45"/>
      <c r="I537" s="45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ht="14.25" customHeight="1">
      <c r="A538" s="45"/>
      <c r="B538" s="45"/>
      <c r="C538" s="45"/>
      <c r="D538" s="45"/>
      <c r="E538" s="45"/>
      <c r="F538" s="45"/>
      <c r="G538" s="45"/>
      <c r="H538" s="45"/>
      <c r="I538" s="45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ht="14.25" customHeight="1">
      <c r="A539" s="45"/>
      <c r="B539" s="45"/>
      <c r="C539" s="45"/>
      <c r="D539" s="45"/>
      <c r="E539" s="45"/>
      <c r="F539" s="45"/>
      <c r="G539" s="45"/>
      <c r="H539" s="45"/>
      <c r="I539" s="45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ht="14.25" customHeight="1">
      <c r="A540" s="45"/>
      <c r="B540" s="45"/>
      <c r="C540" s="45"/>
      <c r="D540" s="45"/>
      <c r="E540" s="45"/>
      <c r="F540" s="45"/>
      <c r="G540" s="45"/>
      <c r="H540" s="45"/>
      <c r="I540" s="45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ht="14.25" customHeight="1">
      <c r="A541" s="45"/>
      <c r="B541" s="45"/>
      <c r="C541" s="45"/>
      <c r="D541" s="45"/>
      <c r="E541" s="45"/>
      <c r="F541" s="45"/>
      <c r="G541" s="45"/>
      <c r="H541" s="45"/>
      <c r="I541" s="45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ht="14.25" customHeight="1">
      <c r="A542" s="45"/>
      <c r="B542" s="45"/>
      <c r="C542" s="45"/>
      <c r="D542" s="45"/>
      <c r="E542" s="45"/>
      <c r="F542" s="45"/>
      <c r="G542" s="45"/>
      <c r="H542" s="45"/>
      <c r="I542" s="45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ht="14.25" customHeight="1">
      <c r="A543" s="45"/>
      <c r="B543" s="45"/>
      <c r="C543" s="45"/>
      <c r="D543" s="45"/>
      <c r="E543" s="45"/>
      <c r="F543" s="45"/>
      <c r="G543" s="45"/>
      <c r="H543" s="45"/>
      <c r="I543" s="45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ht="14.25" customHeight="1">
      <c r="A544" s="45"/>
      <c r="B544" s="45"/>
      <c r="C544" s="45"/>
      <c r="D544" s="45"/>
      <c r="E544" s="45"/>
      <c r="F544" s="45"/>
      <c r="G544" s="45"/>
      <c r="H544" s="45"/>
      <c r="I544" s="45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ht="14.25" customHeight="1">
      <c r="A545" s="45"/>
      <c r="B545" s="45"/>
      <c r="C545" s="45"/>
      <c r="D545" s="45"/>
      <c r="E545" s="45"/>
      <c r="F545" s="45"/>
      <c r="G545" s="45"/>
      <c r="H545" s="45"/>
      <c r="I545" s="45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ht="14.25" customHeight="1">
      <c r="A546" s="45"/>
      <c r="B546" s="45"/>
      <c r="C546" s="45"/>
      <c r="D546" s="45"/>
      <c r="E546" s="45"/>
      <c r="F546" s="45"/>
      <c r="G546" s="45"/>
      <c r="H546" s="45"/>
      <c r="I546" s="45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ht="14.25" customHeight="1">
      <c r="A547" s="45"/>
      <c r="B547" s="45"/>
      <c r="C547" s="45"/>
      <c r="D547" s="45"/>
      <c r="E547" s="45"/>
      <c r="F547" s="45"/>
      <c r="G547" s="45"/>
      <c r="H547" s="45"/>
      <c r="I547" s="45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ht="14.25" customHeight="1">
      <c r="A548" s="45"/>
      <c r="B548" s="45"/>
      <c r="C548" s="45"/>
      <c r="D548" s="45"/>
      <c r="E548" s="45"/>
      <c r="F548" s="45"/>
      <c r="G548" s="45"/>
      <c r="H548" s="45"/>
      <c r="I548" s="45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ht="14.25" customHeight="1">
      <c r="A549" s="45"/>
      <c r="B549" s="45"/>
      <c r="C549" s="45"/>
      <c r="D549" s="45"/>
      <c r="E549" s="45"/>
      <c r="F549" s="45"/>
      <c r="G549" s="45"/>
      <c r="H549" s="45"/>
      <c r="I549" s="45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ht="14.25" customHeight="1">
      <c r="A550" s="45"/>
      <c r="B550" s="45"/>
      <c r="C550" s="45"/>
      <c r="D550" s="45"/>
      <c r="E550" s="45"/>
      <c r="F550" s="45"/>
      <c r="G550" s="45"/>
      <c r="H550" s="45"/>
      <c r="I550" s="45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ht="14.25" customHeight="1">
      <c r="A551" s="45"/>
      <c r="B551" s="45"/>
      <c r="C551" s="45"/>
      <c r="D551" s="45"/>
      <c r="E551" s="45"/>
      <c r="F551" s="45"/>
      <c r="G551" s="45"/>
      <c r="H551" s="45"/>
      <c r="I551" s="45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ht="14.25" customHeight="1">
      <c r="A552" s="45"/>
      <c r="B552" s="45"/>
      <c r="C552" s="45"/>
      <c r="D552" s="45"/>
      <c r="E552" s="45"/>
      <c r="F552" s="45"/>
      <c r="G552" s="45"/>
      <c r="H552" s="45"/>
      <c r="I552" s="45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ht="14.25" customHeight="1">
      <c r="A553" s="45"/>
      <c r="B553" s="45"/>
      <c r="C553" s="45"/>
      <c r="D553" s="45"/>
      <c r="E553" s="45"/>
      <c r="F553" s="45"/>
      <c r="G553" s="45"/>
      <c r="H553" s="45"/>
      <c r="I553" s="45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ht="14.25" customHeight="1">
      <c r="A554" s="45"/>
      <c r="B554" s="45"/>
      <c r="C554" s="45"/>
      <c r="D554" s="45"/>
      <c r="E554" s="45"/>
      <c r="F554" s="45"/>
      <c r="G554" s="45"/>
      <c r="H554" s="45"/>
      <c r="I554" s="45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ht="14.25" customHeight="1">
      <c r="A555" s="45"/>
      <c r="B555" s="45"/>
      <c r="C555" s="45"/>
      <c r="D555" s="45"/>
      <c r="E555" s="45"/>
      <c r="F555" s="45"/>
      <c r="G555" s="45"/>
      <c r="H555" s="45"/>
      <c r="I555" s="45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ht="14.25" customHeight="1">
      <c r="A556" s="45"/>
      <c r="B556" s="45"/>
      <c r="C556" s="45"/>
      <c r="D556" s="45"/>
      <c r="E556" s="45"/>
      <c r="F556" s="45"/>
      <c r="G556" s="45"/>
      <c r="H556" s="45"/>
      <c r="I556" s="45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ht="14.25" customHeight="1">
      <c r="A557" s="45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ht="14.25" customHeight="1">
      <c r="A558" s="45"/>
      <c r="B558" s="45"/>
      <c r="C558" s="45"/>
      <c r="D558" s="45"/>
      <c r="E558" s="45"/>
      <c r="F558" s="45"/>
      <c r="G558" s="45"/>
      <c r="H558" s="45"/>
      <c r="I558" s="45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ht="14.25" customHeight="1">
      <c r="A559" s="45"/>
      <c r="B559" s="45"/>
      <c r="C559" s="45"/>
      <c r="D559" s="45"/>
      <c r="E559" s="45"/>
      <c r="F559" s="45"/>
      <c r="G559" s="45"/>
      <c r="H559" s="45"/>
      <c r="I559" s="45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ht="14.25" customHeight="1">
      <c r="A560" s="45"/>
      <c r="B560" s="45"/>
      <c r="C560" s="45"/>
      <c r="D560" s="45"/>
      <c r="E560" s="45"/>
      <c r="F560" s="45"/>
      <c r="G560" s="45"/>
      <c r="H560" s="45"/>
      <c r="I560" s="45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ht="14.25" customHeight="1">
      <c r="A561" s="45"/>
      <c r="B561" s="45"/>
      <c r="C561" s="45"/>
      <c r="D561" s="45"/>
      <c r="E561" s="45"/>
      <c r="F561" s="45"/>
      <c r="G561" s="45"/>
      <c r="H561" s="45"/>
      <c r="I561" s="45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ht="14.25" customHeight="1">
      <c r="A562" s="45"/>
      <c r="B562" s="45"/>
      <c r="C562" s="45"/>
      <c r="D562" s="45"/>
      <c r="E562" s="45"/>
      <c r="F562" s="45"/>
      <c r="G562" s="45"/>
      <c r="H562" s="45"/>
      <c r="I562" s="45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ht="14.25" customHeight="1">
      <c r="A563" s="45"/>
      <c r="B563" s="45"/>
      <c r="C563" s="45"/>
      <c r="D563" s="45"/>
      <c r="E563" s="45"/>
      <c r="F563" s="45"/>
      <c r="G563" s="45"/>
      <c r="H563" s="45"/>
      <c r="I563" s="45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ht="14.25" customHeight="1">
      <c r="A564" s="45"/>
      <c r="B564" s="45"/>
      <c r="C564" s="45"/>
      <c r="D564" s="45"/>
      <c r="E564" s="45"/>
      <c r="F564" s="45"/>
      <c r="G564" s="45"/>
      <c r="H564" s="45"/>
      <c r="I564" s="45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ht="14.25" customHeight="1">
      <c r="A565" s="45"/>
      <c r="B565" s="45"/>
      <c r="C565" s="45"/>
      <c r="D565" s="45"/>
      <c r="E565" s="45"/>
      <c r="F565" s="45"/>
      <c r="G565" s="45"/>
      <c r="H565" s="45"/>
      <c r="I565" s="45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ht="14.25" customHeight="1">
      <c r="A566" s="45"/>
      <c r="B566" s="45"/>
      <c r="C566" s="45"/>
      <c r="D566" s="45"/>
      <c r="E566" s="45"/>
      <c r="F566" s="45"/>
      <c r="G566" s="45"/>
      <c r="H566" s="45"/>
      <c r="I566" s="45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ht="14.25" customHeight="1">
      <c r="A567" s="45"/>
      <c r="B567" s="45"/>
      <c r="C567" s="45"/>
      <c r="D567" s="45"/>
      <c r="E567" s="45"/>
      <c r="F567" s="45"/>
      <c r="G567" s="45"/>
      <c r="H567" s="45"/>
      <c r="I567" s="45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ht="14.25" customHeight="1">
      <c r="A568" s="45"/>
      <c r="B568" s="45"/>
      <c r="C568" s="45"/>
      <c r="D568" s="45"/>
      <c r="E568" s="45"/>
      <c r="F568" s="45"/>
      <c r="G568" s="45"/>
      <c r="H568" s="45"/>
      <c r="I568" s="45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ht="14.25" customHeight="1">
      <c r="A569" s="45"/>
      <c r="B569" s="45"/>
      <c r="C569" s="45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ht="14.25" customHeight="1">
      <c r="A570" s="45"/>
      <c r="B570" s="45"/>
      <c r="C570" s="45"/>
      <c r="D570" s="45"/>
      <c r="E570" s="45"/>
      <c r="F570" s="45"/>
      <c r="G570" s="45"/>
      <c r="H570" s="45"/>
      <c r="I570" s="45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ht="14.25" customHeight="1">
      <c r="A571" s="45"/>
      <c r="B571" s="45"/>
      <c r="C571" s="45"/>
      <c r="D571" s="45"/>
      <c r="E571" s="45"/>
      <c r="F571" s="45"/>
      <c r="G571" s="45"/>
      <c r="H571" s="45"/>
      <c r="I571" s="45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ht="14.25" customHeight="1">
      <c r="A572" s="45"/>
      <c r="B572" s="45"/>
      <c r="C572" s="45"/>
      <c r="D572" s="45"/>
      <c r="E572" s="45"/>
      <c r="F572" s="45"/>
      <c r="G572" s="45"/>
      <c r="H572" s="45"/>
      <c r="I572" s="45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ht="14.25" customHeight="1">
      <c r="A573" s="45"/>
      <c r="B573" s="45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ht="14.25" customHeight="1">
      <c r="A574" s="45"/>
      <c r="B574" s="45"/>
      <c r="C574" s="45"/>
      <c r="D574" s="45"/>
      <c r="E574" s="45"/>
      <c r="F574" s="45"/>
      <c r="G574" s="45"/>
      <c r="H574" s="45"/>
      <c r="I574" s="45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ht="14.25" customHeight="1">
      <c r="A575" s="45"/>
      <c r="B575" s="45"/>
      <c r="C575" s="45"/>
      <c r="D575" s="45"/>
      <c r="E575" s="45"/>
      <c r="F575" s="45"/>
      <c r="G575" s="45"/>
      <c r="H575" s="45"/>
      <c r="I575" s="45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ht="14.25" customHeight="1">
      <c r="A576" s="45"/>
      <c r="B576" s="45"/>
      <c r="C576" s="45"/>
      <c r="D576" s="45"/>
      <c r="E576" s="45"/>
      <c r="F576" s="45"/>
      <c r="G576" s="45"/>
      <c r="H576" s="45"/>
      <c r="I576" s="45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ht="14.25" customHeight="1">
      <c r="A577" s="45"/>
      <c r="B577" s="45"/>
      <c r="C577" s="45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ht="14.25" customHeight="1">
      <c r="A578" s="45"/>
      <c r="B578" s="45"/>
      <c r="C578" s="45"/>
      <c r="D578" s="45"/>
      <c r="E578" s="45"/>
      <c r="F578" s="45"/>
      <c r="G578" s="45"/>
      <c r="H578" s="45"/>
      <c r="I578" s="45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ht="14.25" customHeight="1">
      <c r="A579" s="45"/>
      <c r="B579" s="45"/>
      <c r="C579" s="45"/>
      <c r="D579" s="45"/>
      <c r="E579" s="45"/>
      <c r="F579" s="45"/>
      <c r="G579" s="45"/>
      <c r="H579" s="45"/>
      <c r="I579" s="45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ht="14.25" customHeight="1">
      <c r="A580" s="45"/>
      <c r="B580" s="45"/>
      <c r="C580" s="45"/>
      <c r="D580" s="45"/>
      <c r="E580" s="45"/>
      <c r="F580" s="45"/>
      <c r="G580" s="45"/>
      <c r="H580" s="45"/>
      <c r="I580" s="45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ht="14.25" customHeight="1">
      <c r="A581" s="45"/>
      <c r="B581" s="45"/>
      <c r="C581" s="45"/>
      <c r="D581" s="45"/>
      <c r="E581" s="45"/>
      <c r="F581" s="45"/>
      <c r="G581" s="45"/>
      <c r="H581" s="45"/>
      <c r="I581" s="45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ht="14.25" customHeight="1">
      <c r="A582" s="45"/>
      <c r="B582" s="45"/>
      <c r="C582" s="45"/>
      <c r="D582" s="45"/>
      <c r="E582" s="45"/>
      <c r="F582" s="45"/>
      <c r="G582" s="45"/>
      <c r="H582" s="45"/>
      <c r="I582" s="45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ht="14.25" customHeight="1">
      <c r="A583" s="45"/>
      <c r="B583" s="45"/>
      <c r="C583" s="45"/>
      <c r="D583" s="45"/>
      <c r="E583" s="45"/>
      <c r="F583" s="45"/>
      <c r="G583" s="45"/>
      <c r="H583" s="45"/>
      <c r="I583" s="45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ht="14.25" customHeight="1">
      <c r="A584" s="45"/>
      <c r="B584" s="45"/>
      <c r="C584" s="45"/>
      <c r="D584" s="45"/>
      <c r="E584" s="45"/>
      <c r="F584" s="45"/>
      <c r="G584" s="45"/>
      <c r="H584" s="45"/>
      <c r="I584" s="45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ht="14.25" customHeight="1">
      <c r="A585" s="45"/>
      <c r="B585" s="45"/>
      <c r="C585" s="45"/>
      <c r="D585" s="45"/>
      <c r="E585" s="45"/>
      <c r="F585" s="45"/>
      <c r="G585" s="45"/>
      <c r="H585" s="45"/>
      <c r="I585" s="45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ht="14.25" customHeight="1">
      <c r="A586" s="45"/>
      <c r="B586" s="45"/>
      <c r="C586" s="45"/>
      <c r="D586" s="45"/>
      <c r="E586" s="45"/>
      <c r="F586" s="45"/>
      <c r="G586" s="45"/>
      <c r="H586" s="45"/>
      <c r="I586" s="45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ht="14.25" customHeight="1">
      <c r="A587" s="45"/>
      <c r="B587" s="45"/>
      <c r="C587" s="45"/>
      <c r="D587" s="45"/>
      <c r="E587" s="45"/>
      <c r="F587" s="45"/>
      <c r="G587" s="45"/>
      <c r="H587" s="45"/>
      <c r="I587" s="45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ht="14.25" customHeight="1">
      <c r="A588" s="45"/>
      <c r="B588" s="45"/>
      <c r="C588" s="45"/>
      <c r="D588" s="45"/>
      <c r="E588" s="45"/>
      <c r="F588" s="45"/>
      <c r="G588" s="45"/>
      <c r="H588" s="45"/>
      <c r="I588" s="45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ht="14.25" customHeight="1">
      <c r="A589" s="4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ht="14.25" customHeight="1">
      <c r="A590" s="45"/>
      <c r="B590" s="45"/>
      <c r="C590" s="45"/>
      <c r="D590" s="45"/>
      <c r="E590" s="45"/>
      <c r="F590" s="45"/>
      <c r="G590" s="45"/>
      <c r="H590" s="45"/>
      <c r="I590" s="45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ht="14.25" customHeight="1">
      <c r="A591" s="45"/>
      <c r="B591" s="45"/>
      <c r="C591" s="45"/>
      <c r="D591" s="45"/>
      <c r="E591" s="45"/>
      <c r="F591" s="45"/>
      <c r="G591" s="45"/>
      <c r="H591" s="45"/>
      <c r="I591" s="45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ht="14.25" customHeight="1">
      <c r="A592" s="45"/>
      <c r="B592" s="45"/>
      <c r="C592" s="45"/>
      <c r="D592" s="45"/>
      <c r="E592" s="45"/>
      <c r="F592" s="45"/>
      <c r="G592" s="45"/>
      <c r="H592" s="45"/>
      <c r="I592" s="45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ht="14.25" customHeight="1">
      <c r="A593" s="45"/>
      <c r="B593" s="45"/>
      <c r="C593" s="45"/>
      <c r="D593" s="45"/>
      <c r="E593" s="45"/>
      <c r="F593" s="45"/>
      <c r="G593" s="45"/>
      <c r="H593" s="45"/>
      <c r="I593" s="45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ht="14.25" customHeight="1">
      <c r="A594" s="4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ht="14.25" customHeight="1">
      <c r="A595" s="45"/>
      <c r="B595" s="45"/>
      <c r="C595" s="45"/>
      <c r="D595" s="45"/>
      <c r="E595" s="45"/>
      <c r="F595" s="45"/>
      <c r="G595" s="45"/>
      <c r="H595" s="45"/>
      <c r="I595" s="45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ht="14.25" customHeight="1">
      <c r="A596" s="45"/>
      <c r="B596" s="45"/>
      <c r="C596" s="45"/>
      <c r="D596" s="45"/>
      <c r="E596" s="45"/>
      <c r="F596" s="45"/>
      <c r="G596" s="45"/>
      <c r="H596" s="45"/>
      <c r="I596" s="45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ht="14.25" customHeight="1">
      <c r="A597" s="45"/>
      <c r="B597" s="45"/>
      <c r="C597" s="45"/>
      <c r="D597" s="45"/>
      <c r="E597" s="45"/>
      <c r="F597" s="45"/>
      <c r="G597" s="45"/>
      <c r="H597" s="45"/>
      <c r="I597" s="45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ht="14.25" customHeight="1">
      <c r="A598" s="45"/>
      <c r="B598" s="45"/>
      <c r="C598" s="45"/>
      <c r="D598" s="45"/>
      <c r="E598" s="45"/>
      <c r="F598" s="45"/>
      <c r="G598" s="45"/>
      <c r="H598" s="45"/>
      <c r="I598" s="45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ht="14.25" customHeight="1">
      <c r="A599" s="45"/>
      <c r="B599" s="45"/>
      <c r="C599" s="45"/>
      <c r="D599" s="45"/>
      <c r="E599" s="45"/>
      <c r="F599" s="45"/>
      <c r="G599" s="45"/>
      <c r="H599" s="45"/>
      <c r="I599" s="45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ht="14.25" customHeight="1">
      <c r="A600" s="45"/>
      <c r="B600" s="45"/>
      <c r="C600" s="45"/>
      <c r="D600" s="45"/>
      <c r="E600" s="45"/>
      <c r="F600" s="45"/>
      <c r="G600" s="45"/>
      <c r="H600" s="45"/>
      <c r="I600" s="45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ht="14.25" customHeight="1">
      <c r="A601" s="45"/>
      <c r="B601" s="45"/>
      <c r="C601" s="45"/>
      <c r="D601" s="45"/>
      <c r="E601" s="45"/>
      <c r="F601" s="45"/>
      <c r="G601" s="45"/>
      <c r="H601" s="45"/>
      <c r="I601" s="45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ht="14.25" customHeight="1">
      <c r="A602" s="45"/>
      <c r="B602" s="45"/>
      <c r="C602" s="45"/>
      <c r="D602" s="45"/>
      <c r="E602" s="45"/>
      <c r="F602" s="45"/>
      <c r="G602" s="45"/>
      <c r="H602" s="45"/>
      <c r="I602" s="45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ht="14.25" customHeight="1">
      <c r="A603" s="45"/>
      <c r="B603" s="45"/>
      <c r="C603" s="45"/>
      <c r="D603" s="45"/>
      <c r="E603" s="45"/>
      <c r="F603" s="45"/>
      <c r="G603" s="45"/>
      <c r="H603" s="45"/>
      <c r="I603" s="45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ht="14.25" customHeight="1">
      <c r="A604" s="45"/>
      <c r="B604" s="45"/>
      <c r="C604" s="45"/>
      <c r="D604" s="45"/>
      <c r="E604" s="45"/>
      <c r="F604" s="45"/>
      <c r="G604" s="45"/>
      <c r="H604" s="45"/>
      <c r="I604" s="45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ht="14.25" customHeight="1">
      <c r="A605" s="45"/>
      <c r="B605" s="45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ht="14.25" customHeight="1">
      <c r="A606" s="45"/>
      <c r="B606" s="45"/>
      <c r="C606" s="45"/>
      <c r="D606" s="45"/>
      <c r="E606" s="45"/>
      <c r="F606" s="45"/>
      <c r="G606" s="45"/>
      <c r="H606" s="45"/>
      <c r="I606" s="45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ht="14.25" customHeight="1">
      <c r="A607" s="45"/>
      <c r="B607" s="45"/>
      <c r="C607" s="45"/>
      <c r="D607" s="45"/>
      <c r="E607" s="45"/>
      <c r="F607" s="45"/>
      <c r="G607" s="45"/>
      <c r="H607" s="45"/>
      <c r="I607" s="45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ht="14.25" customHeight="1">
      <c r="A608" s="45"/>
      <c r="B608" s="45"/>
      <c r="C608" s="45"/>
      <c r="D608" s="45"/>
      <c r="E608" s="45"/>
      <c r="F608" s="45"/>
      <c r="G608" s="45"/>
      <c r="H608" s="45"/>
      <c r="I608" s="45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ht="14.25" customHeight="1">
      <c r="A609" s="45"/>
      <c r="B609" s="45"/>
      <c r="C609" s="45"/>
      <c r="D609" s="45"/>
      <c r="E609" s="45"/>
      <c r="F609" s="45"/>
      <c r="G609" s="45"/>
      <c r="H609" s="45"/>
      <c r="I609" s="45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ht="14.25" customHeight="1">
      <c r="A610" s="45"/>
      <c r="B610" s="45"/>
      <c r="C610" s="45"/>
      <c r="D610" s="45"/>
      <c r="E610" s="45"/>
      <c r="F610" s="45"/>
      <c r="G610" s="45"/>
      <c r="H610" s="45"/>
      <c r="I610" s="45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ht="14.25" customHeight="1">
      <c r="A611" s="45"/>
      <c r="B611" s="45"/>
      <c r="C611" s="45"/>
      <c r="D611" s="45"/>
      <c r="E611" s="45"/>
      <c r="F611" s="45"/>
      <c r="G611" s="45"/>
      <c r="H611" s="45"/>
      <c r="I611" s="45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ht="14.25" customHeight="1">
      <c r="A612" s="45"/>
      <c r="B612" s="45"/>
      <c r="C612" s="45"/>
      <c r="D612" s="45"/>
      <c r="E612" s="45"/>
      <c r="F612" s="45"/>
      <c r="G612" s="45"/>
      <c r="H612" s="45"/>
      <c r="I612" s="45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ht="14.25" customHeight="1">
      <c r="A613" s="45"/>
      <c r="B613" s="45"/>
      <c r="C613" s="45"/>
      <c r="D613" s="45"/>
      <c r="E613" s="45"/>
      <c r="F613" s="45"/>
      <c r="G613" s="45"/>
      <c r="H613" s="45"/>
      <c r="I613" s="45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ht="14.25" customHeight="1">
      <c r="A614" s="45"/>
      <c r="B614" s="45"/>
      <c r="C614" s="45"/>
      <c r="D614" s="45"/>
      <c r="E614" s="45"/>
      <c r="F614" s="45"/>
      <c r="G614" s="45"/>
      <c r="H614" s="45"/>
      <c r="I614" s="45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ht="14.25" customHeight="1">
      <c r="A615" s="45"/>
      <c r="B615" s="45"/>
      <c r="C615" s="45"/>
      <c r="D615" s="45"/>
      <c r="E615" s="45"/>
      <c r="F615" s="45"/>
      <c r="G615" s="45"/>
      <c r="H615" s="45"/>
      <c r="I615" s="45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ht="14.25" customHeight="1">
      <c r="A616" s="45"/>
      <c r="B616" s="45"/>
      <c r="C616" s="45"/>
      <c r="D616" s="45"/>
      <c r="E616" s="45"/>
      <c r="F616" s="45"/>
      <c r="G616" s="45"/>
      <c r="H616" s="45"/>
      <c r="I616" s="45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ht="14.25" customHeight="1">
      <c r="A617" s="45"/>
      <c r="B617" s="45"/>
      <c r="C617" s="45"/>
      <c r="D617" s="45"/>
      <c r="E617" s="45"/>
      <c r="F617" s="45"/>
      <c r="G617" s="45"/>
      <c r="H617" s="45"/>
      <c r="I617" s="45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ht="14.25" customHeight="1">
      <c r="A618" s="45"/>
      <c r="B618" s="45"/>
      <c r="C618" s="45"/>
      <c r="D618" s="45"/>
      <c r="E618" s="45"/>
      <c r="F618" s="45"/>
      <c r="G618" s="45"/>
      <c r="H618" s="45"/>
      <c r="I618" s="45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ht="14.25" customHeight="1">
      <c r="A619" s="45"/>
      <c r="B619" s="45"/>
      <c r="C619" s="45"/>
      <c r="D619" s="45"/>
      <c r="E619" s="45"/>
      <c r="F619" s="45"/>
      <c r="G619" s="45"/>
      <c r="H619" s="45"/>
      <c r="I619" s="45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ht="14.25" customHeight="1">
      <c r="A620" s="45"/>
      <c r="B620" s="45"/>
      <c r="C620" s="45"/>
      <c r="D620" s="45"/>
      <c r="E620" s="45"/>
      <c r="F620" s="45"/>
      <c r="G620" s="45"/>
      <c r="H620" s="45"/>
      <c r="I620" s="45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ht="14.25" customHeight="1">
      <c r="A621" s="45"/>
      <c r="B621" s="45"/>
      <c r="C621" s="45"/>
      <c r="D621" s="45"/>
      <c r="E621" s="45"/>
      <c r="F621" s="45"/>
      <c r="G621" s="45"/>
      <c r="H621" s="45"/>
      <c r="I621" s="45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ht="14.25" customHeight="1">
      <c r="A622" s="45"/>
      <c r="B622" s="45"/>
      <c r="C622" s="45"/>
      <c r="D622" s="45"/>
      <c r="E622" s="45"/>
      <c r="F622" s="45"/>
      <c r="G622" s="45"/>
      <c r="H622" s="45"/>
      <c r="I622" s="45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ht="14.25" customHeight="1">
      <c r="A623" s="45"/>
      <c r="B623" s="45"/>
      <c r="C623" s="45"/>
      <c r="D623" s="45"/>
      <c r="E623" s="45"/>
      <c r="F623" s="45"/>
      <c r="G623" s="45"/>
      <c r="H623" s="45"/>
      <c r="I623" s="45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ht="14.25" customHeight="1">
      <c r="A624" s="45"/>
      <c r="B624" s="45"/>
      <c r="C624" s="45"/>
      <c r="D624" s="45"/>
      <c r="E624" s="45"/>
      <c r="F624" s="45"/>
      <c r="G624" s="45"/>
      <c r="H624" s="45"/>
      <c r="I624" s="45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ht="14.25" customHeight="1">
      <c r="A625" s="45"/>
      <c r="B625" s="45"/>
      <c r="C625" s="45"/>
      <c r="D625" s="45"/>
      <c r="E625" s="45"/>
      <c r="F625" s="45"/>
      <c r="G625" s="45"/>
      <c r="H625" s="45"/>
      <c r="I625" s="45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ht="14.25" customHeight="1">
      <c r="A626" s="45"/>
      <c r="B626" s="45"/>
      <c r="C626" s="45"/>
      <c r="D626" s="45"/>
      <c r="E626" s="45"/>
      <c r="F626" s="45"/>
      <c r="G626" s="45"/>
      <c r="H626" s="45"/>
      <c r="I626" s="45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ht="14.25" customHeight="1">
      <c r="A627" s="45"/>
      <c r="B627" s="45"/>
      <c r="C627" s="45"/>
      <c r="D627" s="45"/>
      <c r="E627" s="45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ht="14.25" customHeight="1">
      <c r="A628" s="45"/>
      <c r="B628" s="45"/>
      <c r="C628" s="45"/>
      <c r="D628" s="45"/>
      <c r="E628" s="45"/>
      <c r="F628" s="45"/>
      <c r="G628" s="45"/>
      <c r="H628" s="45"/>
      <c r="I628" s="45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ht="14.25" customHeight="1">
      <c r="A629" s="45"/>
      <c r="B629" s="45"/>
      <c r="C629" s="45"/>
      <c r="D629" s="45"/>
      <c r="E629" s="45"/>
      <c r="F629" s="45"/>
      <c r="G629" s="45"/>
      <c r="H629" s="45"/>
      <c r="I629" s="45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ht="14.25" customHeight="1">
      <c r="A630" s="45"/>
      <c r="B630" s="45"/>
      <c r="C630" s="45"/>
      <c r="D630" s="45"/>
      <c r="E630" s="45"/>
      <c r="F630" s="45"/>
      <c r="G630" s="45"/>
      <c r="H630" s="45"/>
      <c r="I630" s="45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ht="14.25" customHeight="1">
      <c r="A631" s="45"/>
      <c r="B631" s="45"/>
      <c r="C631" s="45"/>
      <c r="D631" s="45"/>
      <c r="E631" s="45"/>
      <c r="F631" s="45"/>
      <c r="G631" s="45"/>
      <c r="H631" s="45"/>
      <c r="I631" s="45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ht="14.25" customHeight="1">
      <c r="A632" s="45"/>
      <c r="B632" s="45"/>
      <c r="C632" s="45"/>
      <c r="D632" s="45"/>
      <c r="E632" s="45"/>
      <c r="F632" s="45"/>
      <c r="G632" s="45"/>
      <c r="H632" s="45"/>
      <c r="I632" s="45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ht="14.25" customHeight="1">
      <c r="A633" s="45"/>
      <c r="B633" s="45"/>
      <c r="C633" s="45"/>
      <c r="D633" s="45"/>
      <c r="E633" s="45"/>
      <c r="F633" s="45"/>
      <c r="G633" s="45"/>
      <c r="H633" s="45"/>
      <c r="I633" s="45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ht="14.25" customHeight="1">
      <c r="A634" s="45"/>
      <c r="B634" s="45"/>
      <c r="C634" s="45"/>
      <c r="D634" s="45"/>
      <c r="E634" s="45"/>
      <c r="F634" s="45"/>
      <c r="G634" s="45"/>
      <c r="H634" s="45"/>
      <c r="I634" s="45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ht="14.25" customHeight="1">
      <c r="A635" s="45"/>
      <c r="B635" s="45"/>
      <c r="C635" s="45"/>
      <c r="D635" s="45"/>
      <c r="E635" s="45"/>
      <c r="F635" s="45"/>
      <c r="G635" s="45"/>
      <c r="H635" s="45"/>
      <c r="I635" s="45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ht="14.25" customHeight="1">
      <c r="A636" s="45"/>
      <c r="B636" s="45"/>
      <c r="C636" s="45"/>
      <c r="D636" s="45"/>
      <c r="E636" s="45"/>
      <c r="F636" s="45"/>
      <c r="G636" s="45"/>
      <c r="H636" s="45"/>
      <c r="I636" s="45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ht="14.25" customHeight="1">
      <c r="A637" s="45"/>
      <c r="B637" s="45"/>
      <c r="C637" s="45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ht="14.25" customHeight="1">
      <c r="A638" s="45"/>
      <c r="B638" s="45"/>
      <c r="C638" s="45"/>
      <c r="D638" s="45"/>
      <c r="E638" s="45"/>
      <c r="F638" s="45"/>
      <c r="G638" s="45"/>
      <c r="H638" s="45"/>
      <c r="I638" s="45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ht="14.25" customHeight="1">
      <c r="A639" s="45"/>
      <c r="B639" s="45"/>
      <c r="C639" s="45"/>
      <c r="D639" s="45"/>
      <c r="E639" s="45"/>
      <c r="F639" s="45"/>
      <c r="G639" s="45"/>
      <c r="H639" s="45"/>
      <c r="I639" s="45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ht="14.25" customHeight="1">
      <c r="A640" s="45"/>
      <c r="B640" s="45"/>
      <c r="C640" s="45"/>
      <c r="D640" s="45"/>
      <c r="E640" s="45"/>
      <c r="F640" s="45"/>
      <c r="G640" s="45"/>
      <c r="H640" s="45"/>
      <c r="I640" s="45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ht="14.25" customHeight="1">
      <c r="A641" s="45"/>
      <c r="B641" s="45"/>
      <c r="C641" s="45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ht="14.25" customHeight="1">
      <c r="A642" s="45"/>
      <c r="B642" s="45"/>
      <c r="C642" s="45"/>
      <c r="D642" s="45"/>
      <c r="E642" s="45"/>
      <c r="F642" s="45"/>
      <c r="G642" s="45"/>
      <c r="H642" s="45"/>
      <c r="I642" s="45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ht="14.25" customHeight="1">
      <c r="A643" s="45"/>
      <c r="B643" s="45"/>
      <c r="C643" s="45"/>
      <c r="D643" s="45"/>
      <c r="E643" s="45"/>
      <c r="F643" s="45"/>
      <c r="G643" s="45"/>
      <c r="H643" s="45"/>
      <c r="I643" s="45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ht="14.25" customHeight="1">
      <c r="A644" s="45"/>
      <c r="B644" s="45"/>
      <c r="C644" s="45"/>
      <c r="D644" s="45"/>
      <c r="E644" s="45"/>
      <c r="F644" s="45"/>
      <c r="G644" s="45"/>
      <c r="H644" s="45"/>
      <c r="I644" s="45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ht="14.25" customHeight="1">
      <c r="A645" s="45"/>
      <c r="B645" s="45"/>
      <c r="C645" s="45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ht="14.25" customHeight="1">
      <c r="A646" s="45"/>
      <c r="B646" s="45"/>
      <c r="C646" s="45"/>
      <c r="D646" s="45"/>
      <c r="E646" s="45"/>
      <c r="F646" s="45"/>
      <c r="G646" s="45"/>
      <c r="H646" s="45"/>
      <c r="I646" s="45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ht="14.25" customHeight="1">
      <c r="A647" s="45"/>
      <c r="B647" s="45"/>
      <c r="C647" s="45"/>
      <c r="D647" s="45"/>
      <c r="E647" s="45"/>
      <c r="F647" s="45"/>
      <c r="G647" s="45"/>
      <c r="H647" s="45"/>
      <c r="I647" s="45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ht="14.25" customHeight="1">
      <c r="A648" s="45"/>
      <c r="B648" s="45"/>
      <c r="C648" s="45"/>
      <c r="D648" s="45"/>
      <c r="E648" s="45"/>
      <c r="F648" s="45"/>
      <c r="G648" s="45"/>
      <c r="H648" s="45"/>
      <c r="I648" s="45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ht="14.25" customHeight="1">
      <c r="A649" s="45"/>
      <c r="B649" s="45"/>
      <c r="C649" s="45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ht="14.25" customHeight="1">
      <c r="A650" s="45"/>
      <c r="B650" s="45"/>
      <c r="C650" s="45"/>
      <c r="D650" s="45"/>
      <c r="E650" s="45"/>
      <c r="F650" s="45"/>
      <c r="G650" s="45"/>
      <c r="H650" s="45"/>
      <c r="I650" s="45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ht="14.25" customHeight="1">
      <c r="A651" s="45"/>
      <c r="B651" s="45"/>
      <c r="C651" s="45"/>
      <c r="D651" s="45"/>
      <c r="E651" s="45"/>
      <c r="F651" s="45"/>
      <c r="G651" s="45"/>
      <c r="H651" s="45"/>
      <c r="I651" s="45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ht="14.25" customHeight="1">
      <c r="A652" s="45"/>
      <c r="B652" s="45"/>
      <c r="C652" s="45"/>
      <c r="D652" s="45"/>
      <c r="E652" s="45"/>
      <c r="F652" s="45"/>
      <c r="G652" s="45"/>
      <c r="H652" s="45"/>
      <c r="I652" s="45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ht="14.25" customHeight="1">
      <c r="A653" s="45"/>
      <c r="B653" s="45"/>
      <c r="C653" s="45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ht="14.25" customHeight="1">
      <c r="A654" s="45"/>
      <c r="B654" s="45"/>
      <c r="C654" s="45"/>
      <c r="D654" s="45"/>
      <c r="E654" s="45"/>
      <c r="F654" s="45"/>
      <c r="G654" s="45"/>
      <c r="H654" s="45"/>
      <c r="I654" s="45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ht="14.25" customHeight="1">
      <c r="A655" s="45"/>
      <c r="B655" s="45"/>
      <c r="C655" s="45"/>
      <c r="D655" s="45"/>
      <c r="E655" s="45"/>
      <c r="F655" s="45"/>
      <c r="G655" s="45"/>
      <c r="H655" s="45"/>
      <c r="I655" s="45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ht="14.25" customHeight="1">
      <c r="A656" s="45"/>
      <c r="B656" s="45"/>
      <c r="C656" s="45"/>
      <c r="D656" s="45"/>
      <c r="E656" s="45"/>
      <c r="F656" s="45"/>
      <c r="G656" s="45"/>
      <c r="H656" s="45"/>
      <c r="I656" s="45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ht="14.25" customHeight="1">
      <c r="A657" s="45"/>
      <c r="B657" s="45"/>
      <c r="C657" s="45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ht="14.25" customHeight="1">
      <c r="A658" s="45"/>
      <c r="B658" s="45"/>
      <c r="C658" s="45"/>
      <c r="D658" s="45"/>
      <c r="E658" s="45"/>
      <c r="F658" s="45"/>
      <c r="G658" s="45"/>
      <c r="H658" s="45"/>
      <c r="I658" s="45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ht="14.25" customHeight="1">
      <c r="A659" s="45"/>
      <c r="B659" s="45"/>
      <c r="C659" s="45"/>
      <c r="D659" s="45"/>
      <c r="E659" s="45"/>
      <c r="F659" s="45"/>
      <c r="G659" s="45"/>
      <c r="H659" s="45"/>
      <c r="I659" s="45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ht="14.25" customHeight="1">
      <c r="A660" s="45"/>
      <c r="B660" s="45"/>
      <c r="C660" s="45"/>
      <c r="D660" s="45"/>
      <c r="E660" s="45"/>
      <c r="F660" s="45"/>
      <c r="G660" s="45"/>
      <c r="H660" s="45"/>
      <c r="I660" s="45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ht="14.25" customHeight="1">
      <c r="A661" s="45"/>
      <c r="B661" s="45"/>
      <c r="C661" s="45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ht="14.25" customHeight="1">
      <c r="A662" s="45"/>
      <c r="B662" s="45"/>
      <c r="C662" s="45"/>
      <c r="D662" s="45"/>
      <c r="E662" s="45"/>
      <c r="F662" s="45"/>
      <c r="G662" s="45"/>
      <c r="H662" s="45"/>
      <c r="I662" s="45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ht="14.25" customHeight="1">
      <c r="A663" s="45"/>
      <c r="B663" s="45"/>
      <c r="C663" s="45"/>
      <c r="D663" s="45"/>
      <c r="E663" s="45"/>
      <c r="F663" s="45"/>
      <c r="G663" s="45"/>
      <c r="H663" s="45"/>
      <c r="I663" s="45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ht="14.25" customHeight="1">
      <c r="A664" s="45"/>
      <c r="B664" s="45"/>
      <c r="C664" s="45"/>
      <c r="D664" s="45"/>
      <c r="E664" s="45"/>
      <c r="F664" s="45"/>
      <c r="G664" s="45"/>
      <c r="H664" s="45"/>
      <c r="I664" s="45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ht="14.25" customHeight="1">
      <c r="A665" s="45"/>
      <c r="B665" s="45"/>
      <c r="C665" s="45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ht="14.25" customHeight="1">
      <c r="A666" s="45"/>
      <c r="B666" s="45"/>
      <c r="C666" s="45"/>
      <c r="D666" s="45"/>
      <c r="E666" s="45"/>
      <c r="F666" s="45"/>
      <c r="G666" s="45"/>
      <c r="H666" s="45"/>
      <c r="I666" s="45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ht="14.25" customHeight="1">
      <c r="A667" s="45"/>
      <c r="B667" s="45"/>
      <c r="C667" s="45"/>
      <c r="D667" s="45"/>
      <c r="E667" s="45"/>
      <c r="F667" s="45"/>
      <c r="G667" s="45"/>
      <c r="H667" s="45"/>
      <c r="I667" s="45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ht="14.25" customHeight="1">
      <c r="A668" s="45"/>
      <c r="B668" s="45"/>
      <c r="C668" s="45"/>
      <c r="D668" s="45"/>
      <c r="E668" s="45"/>
      <c r="F668" s="45"/>
      <c r="G668" s="45"/>
      <c r="H668" s="45"/>
      <c r="I668" s="45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ht="14.25" customHeight="1">
      <c r="A669" s="45"/>
      <c r="B669" s="45"/>
      <c r="C669" s="45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ht="14.25" customHeight="1">
      <c r="A670" s="45"/>
      <c r="B670" s="45"/>
      <c r="C670" s="45"/>
      <c r="D670" s="45"/>
      <c r="E670" s="45"/>
      <c r="F670" s="45"/>
      <c r="G670" s="45"/>
      <c r="H670" s="45"/>
      <c r="I670" s="45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ht="14.25" customHeight="1">
      <c r="A671" s="45"/>
      <c r="B671" s="45"/>
      <c r="C671" s="45"/>
      <c r="D671" s="45"/>
      <c r="E671" s="45"/>
      <c r="F671" s="45"/>
      <c r="G671" s="45"/>
      <c r="H671" s="45"/>
      <c r="I671" s="45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ht="14.25" customHeight="1">
      <c r="A672" s="45"/>
      <c r="B672" s="45"/>
      <c r="C672" s="45"/>
      <c r="D672" s="45"/>
      <c r="E672" s="45"/>
      <c r="F672" s="45"/>
      <c r="G672" s="45"/>
      <c r="H672" s="45"/>
      <c r="I672" s="45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ht="14.25" customHeight="1">
      <c r="A673" s="45"/>
      <c r="B673" s="45"/>
      <c r="C673" s="45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ht="14.25" customHeight="1">
      <c r="A674" s="45"/>
      <c r="B674" s="45"/>
      <c r="C674" s="45"/>
      <c r="D674" s="45"/>
      <c r="E674" s="45"/>
      <c r="F674" s="45"/>
      <c r="G674" s="45"/>
      <c r="H674" s="45"/>
      <c r="I674" s="45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ht="14.25" customHeight="1">
      <c r="A675" s="45"/>
      <c r="B675" s="45"/>
      <c r="C675" s="45"/>
      <c r="D675" s="45"/>
      <c r="E675" s="45"/>
      <c r="F675" s="45"/>
      <c r="G675" s="45"/>
      <c r="H675" s="45"/>
      <c r="I675" s="45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ht="14.25" customHeight="1">
      <c r="A676" s="45"/>
      <c r="B676" s="45"/>
      <c r="C676" s="45"/>
      <c r="D676" s="45"/>
      <c r="E676" s="45"/>
      <c r="F676" s="45"/>
      <c r="G676" s="45"/>
      <c r="H676" s="45"/>
      <c r="I676" s="45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ht="14.25" customHeight="1">
      <c r="A677" s="45"/>
      <c r="B677" s="45"/>
      <c r="C677" s="45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ht="14.25" customHeight="1">
      <c r="A678" s="45"/>
      <c r="B678" s="45"/>
      <c r="C678" s="45"/>
      <c r="D678" s="45"/>
      <c r="E678" s="45"/>
      <c r="F678" s="45"/>
      <c r="G678" s="45"/>
      <c r="H678" s="45"/>
      <c r="I678" s="45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ht="14.25" customHeight="1">
      <c r="A679" s="45"/>
      <c r="B679" s="45"/>
      <c r="C679" s="45"/>
      <c r="D679" s="45"/>
      <c r="E679" s="45"/>
      <c r="F679" s="45"/>
      <c r="G679" s="45"/>
      <c r="H679" s="45"/>
      <c r="I679" s="45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ht="14.25" customHeight="1">
      <c r="A680" s="45"/>
      <c r="B680" s="45"/>
      <c r="C680" s="45"/>
      <c r="D680" s="45"/>
      <c r="E680" s="45"/>
      <c r="F680" s="45"/>
      <c r="G680" s="45"/>
      <c r="H680" s="45"/>
      <c r="I680" s="45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ht="14.25" customHeight="1">
      <c r="A681" s="45"/>
      <c r="B681" s="45"/>
      <c r="C681" s="45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ht="14.25" customHeight="1">
      <c r="A682" s="45"/>
      <c r="B682" s="45"/>
      <c r="C682" s="45"/>
      <c r="D682" s="45"/>
      <c r="E682" s="45"/>
      <c r="F682" s="45"/>
      <c r="G682" s="45"/>
      <c r="H682" s="45"/>
      <c r="I682" s="45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ht="14.25" customHeight="1">
      <c r="A683" s="45"/>
      <c r="B683" s="45"/>
      <c r="C683" s="45"/>
      <c r="D683" s="45"/>
      <c r="E683" s="45"/>
      <c r="F683" s="45"/>
      <c r="G683" s="45"/>
      <c r="H683" s="45"/>
      <c r="I683" s="45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ht="14.25" customHeight="1">
      <c r="A684" s="45"/>
      <c r="B684" s="45"/>
      <c r="C684" s="45"/>
      <c r="D684" s="45"/>
      <c r="E684" s="45"/>
      <c r="F684" s="45"/>
      <c r="G684" s="45"/>
      <c r="H684" s="45"/>
      <c r="I684" s="45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ht="14.25" customHeight="1">
      <c r="A685" s="45"/>
      <c r="B685" s="45"/>
      <c r="C685" s="45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ht="14.25" customHeight="1">
      <c r="A686" s="45"/>
      <c r="B686" s="45"/>
      <c r="C686" s="45"/>
      <c r="D686" s="45"/>
      <c r="E686" s="45"/>
      <c r="F686" s="45"/>
      <c r="G686" s="45"/>
      <c r="H686" s="45"/>
      <c r="I686" s="45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ht="14.25" customHeight="1">
      <c r="A687" s="45"/>
      <c r="B687" s="45"/>
      <c r="C687" s="45"/>
      <c r="D687" s="45"/>
      <c r="E687" s="45"/>
      <c r="F687" s="45"/>
      <c r="G687" s="45"/>
      <c r="H687" s="45"/>
      <c r="I687" s="45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ht="14.25" customHeight="1">
      <c r="A688" s="45"/>
      <c r="B688" s="45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ht="14.25" customHeight="1">
      <c r="A689" s="45"/>
      <c r="B689" s="45"/>
      <c r="C689" s="45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ht="14.25" customHeight="1">
      <c r="A690" s="45"/>
      <c r="B690" s="45"/>
      <c r="C690" s="45"/>
      <c r="D690" s="45"/>
      <c r="E690" s="45"/>
      <c r="F690" s="45"/>
      <c r="G690" s="45"/>
      <c r="H690" s="45"/>
      <c r="I690" s="45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ht="14.25" customHeight="1">
      <c r="A691" s="45"/>
      <c r="B691" s="45"/>
      <c r="C691" s="45"/>
      <c r="D691" s="45"/>
      <c r="E691" s="45"/>
      <c r="F691" s="45"/>
      <c r="G691" s="45"/>
      <c r="H691" s="45"/>
      <c r="I691" s="45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ht="14.25" customHeight="1">
      <c r="A692" s="45"/>
      <c r="B692" s="45"/>
      <c r="C692" s="45"/>
      <c r="D692" s="45"/>
      <c r="E692" s="45"/>
      <c r="F692" s="45"/>
      <c r="G692" s="45"/>
      <c r="H692" s="45"/>
      <c r="I692" s="45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ht="14.25" customHeight="1">
      <c r="A693" s="4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ht="14.25" customHeight="1">
      <c r="A694" s="45"/>
      <c r="B694" s="45"/>
      <c r="C694" s="45"/>
      <c r="D694" s="45"/>
      <c r="E694" s="45"/>
      <c r="F694" s="45"/>
      <c r="G694" s="45"/>
      <c r="H694" s="45"/>
      <c r="I694" s="45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ht="14.25" customHeight="1">
      <c r="A695" s="45"/>
      <c r="B695" s="45"/>
      <c r="C695" s="45"/>
      <c r="D695" s="45"/>
      <c r="E695" s="45"/>
      <c r="F695" s="45"/>
      <c r="G695" s="45"/>
      <c r="H695" s="45"/>
      <c r="I695" s="45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ht="14.25" customHeight="1">
      <c r="A696" s="45"/>
      <c r="B696" s="45"/>
      <c r="C696" s="45"/>
      <c r="D696" s="45"/>
      <c r="E696" s="45"/>
      <c r="F696" s="45"/>
      <c r="G696" s="45"/>
      <c r="H696" s="45"/>
      <c r="I696" s="45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ht="14.25" customHeight="1">
      <c r="A697" s="45"/>
      <c r="B697" s="45"/>
      <c r="C697" s="45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ht="14.25" customHeight="1">
      <c r="A698" s="45"/>
      <c r="B698" s="45"/>
      <c r="C698" s="45"/>
      <c r="D698" s="45"/>
      <c r="E698" s="45"/>
      <c r="F698" s="45"/>
      <c r="G698" s="45"/>
      <c r="H698" s="45"/>
      <c r="I698" s="45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ht="14.25" customHeight="1">
      <c r="A699" s="45"/>
      <c r="B699" s="45"/>
      <c r="C699" s="45"/>
      <c r="D699" s="45"/>
      <c r="E699" s="45"/>
      <c r="F699" s="45"/>
      <c r="G699" s="45"/>
      <c r="H699" s="45"/>
      <c r="I699" s="45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ht="14.25" customHeight="1">
      <c r="A700" s="45"/>
      <c r="B700" s="45"/>
      <c r="C700" s="45"/>
      <c r="D700" s="45"/>
      <c r="E700" s="45"/>
      <c r="F700" s="45"/>
      <c r="G700" s="45"/>
      <c r="H700" s="45"/>
      <c r="I700" s="45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ht="14.25" customHeight="1">
      <c r="A701" s="45"/>
      <c r="B701" s="45"/>
      <c r="C701" s="45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ht="14.25" customHeight="1">
      <c r="A702" s="45"/>
      <c r="B702" s="45"/>
      <c r="C702" s="45"/>
      <c r="D702" s="45"/>
      <c r="E702" s="45"/>
      <c r="F702" s="45"/>
      <c r="G702" s="45"/>
      <c r="H702" s="45"/>
      <c r="I702" s="45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ht="14.25" customHeight="1">
      <c r="A703" s="45"/>
      <c r="B703" s="45"/>
      <c r="C703" s="45"/>
      <c r="D703" s="45"/>
      <c r="E703" s="45"/>
      <c r="F703" s="45"/>
      <c r="G703" s="45"/>
      <c r="H703" s="45"/>
      <c r="I703" s="45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ht="14.25" customHeight="1">
      <c r="A704" s="45"/>
      <c r="B704" s="45"/>
      <c r="C704" s="45"/>
      <c r="D704" s="45"/>
      <c r="E704" s="45"/>
      <c r="F704" s="45"/>
      <c r="G704" s="45"/>
      <c r="H704" s="45"/>
      <c r="I704" s="45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ht="14.25" customHeight="1">
      <c r="A705" s="45"/>
      <c r="B705" s="45"/>
      <c r="C705" s="45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ht="14.25" customHeight="1">
      <c r="A706" s="45"/>
      <c r="B706" s="45"/>
      <c r="C706" s="45"/>
      <c r="D706" s="45"/>
      <c r="E706" s="45"/>
      <c r="F706" s="45"/>
      <c r="G706" s="45"/>
      <c r="H706" s="45"/>
      <c r="I706" s="45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ht="14.25" customHeight="1">
      <c r="A707" s="45"/>
      <c r="B707" s="45"/>
      <c r="C707" s="45"/>
      <c r="D707" s="45"/>
      <c r="E707" s="45"/>
      <c r="F707" s="45"/>
      <c r="G707" s="45"/>
      <c r="H707" s="45"/>
      <c r="I707" s="45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ht="14.25" customHeight="1">
      <c r="A708" s="45"/>
      <c r="B708" s="45"/>
      <c r="C708" s="45"/>
      <c r="D708" s="45"/>
      <c r="E708" s="45"/>
      <c r="F708" s="45"/>
      <c r="G708" s="45"/>
      <c r="H708" s="45"/>
      <c r="I708" s="45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ht="14.25" customHeight="1">
      <c r="A709" s="45"/>
      <c r="B709" s="45"/>
      <c r="C709" s="45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ht="14.25" customHeight="1">
      <c r="A710" s="45"/>
      <c r="B710" s="45"/>
      <c r="C710" s="45"/>
      <c r="D710" s="45"/>
      <c r="E710" s="45"/>
      <c r="F710" s="45"/>
      <c r="G710" s="45"/>
      <c r="H710" s="45"/>
      <c r="I710" s="45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ht="14.25" customHeight="1">
      <c r="A711" s="45"/>
      <c r="B711" s="45"/>
      <c r="C711" s="45"/>
      <c r="D711" s="45"/>
      <c r="E711" s="45"/>
      <c r="F711" s="45"/>
      <c r="G711" s="45"/>
      <c r="H711" s="45"/>
      <c r="I711" s="45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ht="14.25" customHeight="1">
      <c r="A712" s="45"/>
      <c r="B712" s="45"/>
      <c r="C712" s="45"/>
      <c r="D712" s="45"/>
      <c r="E712" s="45"/>
      <c r="F712" s="45"/>
      <c r="G712" s="45"/>
      <c r="H712" s="45"/>
      <c r="I712" s="45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ht="14.25" customHeight="1">
      <c r="A713" s="45"/>
      <c r="B713" s="45"/>
      <c r="C713" s="45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ht="14.25" customHeight="1">
      <c r="A714" s="45"/>
      <c r="B714" s="45"/>
      <c r="C714" s="45"/>
      <c r="D714" s="45"/>
      <c r="E714" s="45"/>
      <c r="F714" s="45"/>
      <c r="G714" s="45"/>
      <c r="H714" s="45"/>
      <c r="I714" s="45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ht="14.25" customHeight="1">
      <c r="A715" s="45"/>
      <c r="B715" s="45"/>
      <c r="C715" s="45"/>
      <c r="D715" s="45"/>
      <c r="E715" s="45"/>
      <c r="F715" s="45"/>
      <c r="G715" s="45"/>
      <c r="H715" s="45"/>
      <c r="I715" s="45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ht="14.25" customHeight="1">
      <c r="A716" s="45"/>
      <c r="B716" s="45"/>
      <c r="C716" s="45"/>
      <c r="D716" s="45"/>
      <c r="E716" s="45"/>
      <c r="F716" s="45"/>
      <c r="G716" s="45"/>
      <c r="H716" s="45"/>
      <c r="I716" s="45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ht="14.25" customHeight="1">
      <c r="A717" s="45"/>
      <c r="B717" s="45"/>
      <c r="C717" s="45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ht="14.25" customHeight="1">
      <c r="A718" s="45"/>
      <c r="B718" s="45"/>
      <c r="C718" s="45"/>
      <c r="D718" s="45"/>
      <c r="E718" s="45"/>
      <c r="F718" s="45"/>
      <c r="G718" s="45"/>
      <c r="H718" s="45"/>
      <c r="I718" s="45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ht="14.25" customHeight="1">
      <c r="A719" s="45"/>
      <c r="B719" s="45"/>
      <c r="C719" s="45"/>
      <c r="D719" s="45"/>
      <c r="E719" s="45"/>
      <c r="F719" s="45"/>
      <c r="G719" s="45"/>
      <c r="H719" s="45"/>
      <c r="I719" s="45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ht="14.25" customHeight="1">
      <c r="A720" s="45"/>
      <c r="B720" s="45"/>
      <c r="C720" s="45"/>
      <c r="D720" s="45"/>
      <c r="E720" s="45"/>
      <c r="F720" s="45"/>
      <c r="G720" s="45"/>
      <c r="H720" s="45"/>
      <c r="I720" s="45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ht="14.25" customHeight="1">
      <c r="A721" s="45"/>
      <c r="B721" s="45"/>
      <c r="C721" s="45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ht="14.25" customHeight="1">
      <c r="A722" s="45"/>
      <c r="B722" s="45"/>
      <c r="C722" s="45"/>
      <c r="D722" s="45"/>
      <c r="E722" s="45"/>
      <c r="F722" s="45"/>
      <c r="G722" s="45"/>
      <c r="H722" s="45"/>
      <c r="I722" s="45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ht="14.25" customHeight="1">
      <c r="A723" s="45"/>
      <c r="B723" s="45"/>
      <c r="C723" s="45"/>
      <c r="D723" s="45"/>
      <c r="E723" s="45"/>
      <c r="F723" s="45"/>
      <c r="G723" s="45"/>
      <c r="H723" s="45"/>
      <c r="I723" s="45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ht="14.25" customHeight="1">
      <c r="A724" s="45"/>
      <c r="B724" s="45"/>
      <c r="C724" s="45"/>
      <c r="D724" s="45"/>
      <c r="E724" s="45"/>
      <c r="F724" s="45"/>
      <c r="G724" s="45"/>
      <c r="H724" s="45"/>
      <c r="I724" s="45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ht="14.25" customHeight="1">
      <c r="A725" s="45"/>
      <c r="B725" s="45"/>
      <c r="C725" s="45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ht="14.25" customHeight="1">
      <c r="A726" s="45"/>
      <c r="B726" s="45"/>
      <c r="C726" s="45"/>
      <c r="D726" s="45"/>
      <c r="E726" s="45"/>
      <c r="F726" s="45"/>
      <c r="G726" s="45"/>
      <c r="H726" s="45"/>
      <c r="I726" s="45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ht="14.25" customHeight="1">
      <c r="A727" s="45"/>
      <c r="B727" s="45"/>
      <c r="C727" s="45"/>
      <c r="D727" s="45"/>
      <c r="E727" s="45"/>
      <c r="F727" s="45"/>
      <c r="G727" s="45"/>
      <c r="H727" s="45"/>
      <c r="I727" s="45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ht="14.25" customHeight="1">
      <c r="A728" s="45"/>
      <c r="B728" s="45"/>
      <c r="C728" s="45"/>
      <c r="D728" s="45"/>
      <c r="E728" s="45"/>
      <c r="F728" s="45"/>
      <c r="G728" s="45"/>
      <c r="H728" s="45"/>
      <c r="I728" s="45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ht="14.25" customHeight="1">
      <c r="A729" s="45"/>
      <c r="B729" s="45"/>
      <c r="C729" s="45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ht="14.25" customHeight="1">
      <c r="A730" s="45"/>
      <c r="B730" s="45"/>
      <c r="C730" s="45"/>
      <c r="D730" s="45"/>
      <c r="E730" s="45"/>
      <c r="F730" s="45"/>
      <c r="G730" s="45"/>
      <c r="H730" s="45"/>
      <c r="I730" s="45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ht="14.25" customHeight="1">
      <c r="A731" s="45"/>
      <c r="B731" s="45"/>
      <c r="C731" s="45"/>
      <c r="D731" s="45"/>
      <c r="E731" s="45"/>
      <c r="F731" s="45"/>
      <c r="G731" s="45"/>
      <c r="H731" s="45"/>
      <c r="I731" s="45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ht="14.25" customHeight="1">
      <c r="A732" s="45"/>
      <c r="B732" s="45"/>
      <c r="C732" s="45"/>
      <c r="D732" s="45"/>
      <c r="E732" s="45"/>
      <c r="F732" s="45"/>
      <c r="G732" s="45"/>
      <c r="H732" s="45"/>
      <c r="I732" s="45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ht="14.25" customHeight="1">
      <c r="A733" s="45"/>
      <c r="B733" s="45"/>
      <c r="C733" s="45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ht="14.25" customHeight="1">
      <c r="A734" s="45"/>
      <c r="B734" s="45"/>
      <c r="C734" s="45"/>
      <c r="D734" s="45"/>
      <c r="E734" s="45"/>
      <c r="F734" s="45"/>
      <c r="G734" s="45"/>
      <c r="H734" s="45"/>
      <c r="I734" s="45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ht="14.25" customHeight="1">
      <c r="A735" s="45"/>
      <c r="B735" s="45"/>
      <c r="C735" s="45"/>
      <c r="D735" s="45"/>
      <c r="E735" s="45"/>
      <c r="F735" s="45"/>
      <c r="G735" s="45"/>
      <c r="H735" s="45"/>
      <c r="I735" s="45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ht="14.25" customHeight="1">
      <c r="A736" s="45"/>
      <c r="B736" s="45"/>
      <c r="C736" s="45"/>
      <c r="D736" s="45"/>
      <c r="E736" s="45"/>
      <c r="F736" s="45"/>
      <c r="G736" s="45"/>
      <c r="H736" s="45"/>
      <c r="I736" s="45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ht="14.25" customHeight="1">
      <c r="A737" s="45"/>
      <c r="B737" s="45"/>
      <c r="C737" s="45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ht="14.25" customHeight="1">
      <c r="A738" s="45"/>
      <c r="B738" s="45"/>
      <c r="C738" s="45"/>
      <c r="D738" s="45"/>
      <c r="E738" s="45"/>
      <c r="F738" s="45"/>
      <c r="G738" s="45"/>
      <c r="H738" s="45"/>
      <c r="I738" s="45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ht="14.25" customHeight="1">
      <c r="A739" s="45"/>
      <c r="B739" s="45"/>
      <c r="C739" s="45"/>
      <c r="D739" s="45"/>
      <c r="E739" s="45"/>
      <c r="F739" s="45"/>
      <c r="G739" s="45"/>
      <c r="H739" s="45"/>
      <c r="I739" s="45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ht="14.25" customHeight="1">
      <c r="A740" s="45"/>
      <c r="B740" s="45"/>
      <c r="C740" s="45"/>
      <c r="D740" s="45"/>
      <c r="E740" s="45"/>
      <c r="F740" s="45"/>
      <c r="G740" s="45"/>
      <c r="H740" s="45"/>
      <c r="I740" s="45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ht="14.25" customHeight="1">
      <c r="A741" s="45"/>
      <c r="B741" s="45"/>
      <c r="C741" s="45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ht="14.25" customHeight="1">
      <c r="A742" s="45"/>
      <c r="B742" s="45"/>
      <c r="C742" s="45"/>
      <c r="D742" s="45"/>
      <c r="E742" s="45"/>
      <c r="F742" s="45"/>
      <c r="G742" s="45"/>
      <c r="H742" s="45"/>
      <c r="I742" s="45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ht="14.25" customHeight="1">
      <c r="A743" s="45"/>
      <c r="B743" s="45"/>
      <c r="C743" s="45"/>
      <c r="D743" s="45"/>
      <c r="E743" s="45"/>
      <c r="F743" s="45"/>
      <c r="G743" s="45"/>
      <c r="H743" s="45"/>
      <c r="I743" s="45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ht="14.25" customHeight="1">
      <c r="A744" s="45"/>
      <c r="B744" s="45"/>
      <c r="C744" s="45"/>
      <c r="D744" s="45"/>
      <c r="E744" s="45"/>
      <c r="F744" s="45"/>
      <c r="G744" s="45"/>
      <c r="H744" s="45"/>
      <c r="I744" s="45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ht="14.25" customHeight="1">
      <c r="A745" s="45"/>
      <c r="B745" s="45"/>
      <c r="C745" s="45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ht="14.25" customHeight="1">
      <c r="A746" s="45"/>
      <c r="B746" s="45"/>
      <c r="C746" s="45"/>
      <c r="D746" s="45"/>
      <c r="E746" s="45"/>
      <c r="F746" s="45"/>
      <c r="G746" s="45"/>
      <c r="H746" s="45"/>
      <c r="I746" s="45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ht="14.25" customHeight="1">
      <c r="A747" s="45"/>
      <c r="B747" s="45"/>
      <c r="C747" s="45"/>
      <c r="D747" s="45"/>
      <c r="E747" s="45"/>
      <c r="F747" s="45"/>
      <c r="G747" s="45"/>
      <c r="H747" s="45"/>
      <c r="I747" s="45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ht="14.25" customHeight="1">
      <c r="A748" s="45"/>
      <c r="B748" s="45"/>
      <c r="C748" s="45"/>
      <c r="D748" s="45"/>
      <c r="E748" s="45"/>
      <c r="F748" s="45"/>
      <c r="G748" s="45"/>
      <c r="H748" s="45"/>
      <c r="I748" s="45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ht="14.25" customHeight="1">
      <c r="A749" s="45"/>
      <c r="B749" s="45"/>
      <c r="C749" s="45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ht="14.25" customHeight="1">
      <c r="A750" s="45"/>
      <c r="B750" s="45"/>
      <c r="C750" s="45"/>
      <c r="D750" s="45"/>
      <c r="E750" s="45"/>
      <c r="F750" s="45"/>
      <c r="G750" s="45"/>
      <c r="H750" s="45"/>
      <c r="I750" s="45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ht="14.25" customHeight="1">
      <c r="A751" s="45"/>
      <c r="B751" s="45"/>
      <c r="C751" s="45"/>
      <c r="D751" s="45"/>
      <c r="E751" s="45"/>
      <c r="F751" s="45"/>
      <c r="G751" s="45"/>
      <c r="H751" s="45"/>
      <c r="I751" s="45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ht="14.25" customHeight="1">
      <c r="A752" s="45"/>
      <c r="B752" s="45"/>
      <c r="C752" s="45"/>
      <c r="D752" s="45"/>
      <c r="E752" s="45"/>
      <c r="F752" s="45"/>
      <c r="G752" s="45"/>
      <c r="H752" s="45"/>
      <c r="I752" s="45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ht="14.25" customHeight="1">
      <c r="A753" s="45"/>
      <c r="B753" s="45"/>
      <c r="C753" s="45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ht="14.25" customHeight="1">
      <c r="A754" s="45"/>
      <c r="B754" s="45"/>
      <c r="C754" s="45"/>
      <c r="D754" s="45"/>
      <c r="E754" s="45"/>
      <c r="F754" s="45"/>
      <c r="G754" s="45"/>
      <c r="H754" s="45"/>
      <c r="I754" s="45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ht="14.25" customHeight="1">
      <c r="A755" s="45"/>
      <c r="B755" s="45"/>
      <c r="C755" s="45"/>
      <c r="D755" s="45"/>
      <c r="E755" s="45"/>
      <c r="F755" s="45"/>
      <c r="G755" s="45"/>
      <c r="H755" s="45"/>
      <c r="I755" s="45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ht="14.25" customHeight="1">
      <c r="A756" s="45"/>
      <c r="B756" s="45"/>
      <c r="C756" s="45"/>
      <c r="D756" s="45"/>
      <c r="E756" s="45"/>
      <c r="F756" s="45"/>
      <c r="G756" s="45"/>
      <c r="H756" s="45"/>
      <c r="I756" s="45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ht="14.25" customHeight="1">
      <c r="A757" s="45"/>
      <c r="B757" s="45"/>
      <c r="C757" s="45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ht="14.25" customHeight="1">
      <c r="A758" s="45"/>
      <c r="B758" s="45"/>
      <c r="C758" s="45"/>
      <c r="D758" s="45"/>
      <c r="E758" s="45"/>
      <c r="F758" s="45"/>
      <c r="G758" s="45"/>
      <c r="H758" s="45"/>
      <c r="I758" s="45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ht="14.25" customHeight="1">
      <c r="A759" s="45"/>
      <c r="B759" s="45"/>
      <c r="C759" s="45"/>
      <c r="D759" s="45"/>
      <c r="E759" s="45"/>
      <c r="F759" s="45"/>
      <c r="G759" s="45"/>
      <c r="H759" s="45"/>
      <c r="I759" s="45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ht="14.25" customHeight="1">
      <c r="A760" s="45"/>
      <c r="B760" s="45"/>
      <c r="C760" s="45"/>
      <c r="D760" s="45"/>
      <c r="E760" s="45"/>
      <c r="F760" s="45"/>
      <c r="G760" s="45"/>
      <c r="H760" s="45"/>
      <c r="I760" s="45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ht="14.25" customHeight="1">
      <c r="A761" s="45"/>
      <c r="B761" s="45"/>
      <c r="C761" s="45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ht="14.25" customHeight="1">
      <c r="A762" s="45"/>
      <c r="B762" s="45"/>
      <c r="C762" s="45"/>
      <c r="D762" s="45"/>
      <c r="E762" s="45"/>
      <c r="F762" s="45"/>
      <c r="G762" s="45"/>
      <c r="H762" s="45"/>
      <c r="I762" s="45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ht="14.25" customHeight="1">
      <c r="A763" s="45"/>
      <c r="B763" s="45"/>
      <c r="C763" s="45"/>
      <c r="D763" s="45"/>
      <c r="E763" s="45"/>
      <c r="F763" s="45"/>
      <c r="G763" s="45"/>
      <c r="H763" s="45"/>
      <c r="I763" s="45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ht="14.25" customHeight="1">
      <c r="A764" s="45"/>
      <c r="B764" s="45"/>
      <c r="C764" s="45"/>
      <c r="D764" s="45"/>
      <c r="E764" s="45"/>
      <c r="F764" s="45"/>
      <c r="G764" s="45"/>
      <c r="H764" s="45"/>
      <c r="I764" s="45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ht="14.25" customHeight="1">
      <c r="A765" s="45"/>
      <c r="B765" s="45"/>
      <c r="C765" s="45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ht="14.25" customHeight="1">
      <c r="A766" s="45"/>
      <c r="B766" s="45"/>
      <c r="C766" s="45"/>
      <c r="D766" s="45"/>
      <c r="E766" s="45"/>
      <c r="F766" s="45"/>
      <c r="G766" s="45"/>
      <c r="H766" s="45"/>
      <c r="I766" s="45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ht="14.25" customHeight="1">
      <c r="A767" s="45"/>
      <c r="B767" s="45"/>
      <c r="C767" s="45"/>
      <c r="D767" s="45"/>
      <c r="E767" s="45"/>
      <c r="F767" s="45"/>
      <c r="G767" s="45"/>
      <c r="H767" s="45"/>
      <c r="I767" s="45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ht="14.25" customHeight="1">
      <c r="A768" s="45"/>
      <c r="B768" s="45"/>
      <c r="C768" s="45"/>
      <c r="D768" s="45"/>
      <c r="E768" s="45"/>
      <c r="F768" s="45"/>
      <c r="G768" s="45"/>
      <c r="H768" s="45"/>
      <c r="I768" s="45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ht="14.25" customHeight="1">
      <c r="A769" s="45"/>
      <c r="B769" s="45"/>
      <c r="C769" s="45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ht="14.25" customHeight="1">
      <c r="A770" s="45"/>
      <c r="B770" s="45"/>
      <c r="C770" s="45"/>
      <c r="D770" s="45"/>
      <c r="E770" s="45"/>
      <c r="F770" s="45"/>
      <c r="G770" s="45"/>
      <c r="H770" s="45"/>
      <c r="I770" s="45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ht="14.25" customHeight="1">
      <c r="A771" s="45"/>
      <c r="B771" s="45"/>
      <c r="C771" s="45"/>
      <c r="D771" s="45"/>
      <c r="E771" s="45"/>
      <c r="F771" s="45"/>
      <c r="G771" s="45"/>
      <c r="H771" s="45"/>
      <c r="I771" s="45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ht="14.25" customHeight="1">
      <c r="A772" s="45"/>
      <c r="B772" s="45"/>
      <c r="C772" s="45"/>
      <c r="D772" s="45"/>
      <c r="E772" s="45"/>
      <c r="F772" s="45"/>
      <c r="G772" s="45"/>
      <c r="H772" s="45"/>
      <c r="I772" s="45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ht="14.25" customHeight="1">
      <c r="A773" s="45"/>
      <c r="B773" s="45"/>
      <c r="C773" s="45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ht="14.25" customHeight="1">
      <c r="A774" s="45"/>
      <c r="B774" s="45"/>
      <c r="C774" s="45"/>
      <c r="D774" s="45"/>
      <c r="E774" s="45"/>
      <c r="F774" s="45"/>
      <c r="G774" s="45"/>
      <c r="H774" s="45"/>
      <c r="I774" s="45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ht="14.25" customHeight="1">
      <c r="A775" s="45"/>
      <c r="B775" s="45"/>
      <c r="C775" s="45"/>
      <c r="D775" s="45"/>
      <c r="E775" s="45"/>
      <c r="F775" s="45"/>
      <c r="G775" s="45"/>
      <c r="H775" s="45"/>
      <c r="I775" s="45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ht="14.25" customHeight="1">
      <c r="A776" s="45"/>
      <c r="B776" s="45"/>
      <c r="C776" s="45"/>
      <c r="D776" s="45"/>
      <c r="E776" s="45"/>
      <c r="F776" s="45"/>
      <c r="G776" s="45"/>
      <c r="H776" s="45"/>
      <c r="I776" s="45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ht="14.25" customHeight="1">
      <c r="A777" s="45"/>
      <c r="B777" s="45"/>
      <c r="C777" s="45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ht="14.25" customHeight="1">
      <c r="A778" s="45"/>
      <c r="B778" s="45"/>
      <c r="C778" s="45"/>
      <c r="D778" s="45"/>
      <c r="E778" s="45"/>
      <c r="F778" s="45"/>
      <c r="G778" s="45"/>
      <c r="H778" s="45"/>
      <c r="I778" s="45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ht="14.25" customHeight="1">
      <c r="A779" s="45"/>
      <c r="B779" s="45"/>
      <c r="C779" s="45"/>
      <c r="D779" s="45"/>
      <c r="E779" s="45"/>
      <c r="F779" s="45"/>
      <c r="G779" s="45"/>
      <c r="H779" s="45"/>
      <c r="I779" s="45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ht="14.25" customHeight="1">
      <c r="A780" s="45"/>
      <c r="B780" s="45"/>
      <c r="C780" s="45"/>
      <c r="D780" s="45"/>
      <c r="E780" s="45"/>
      <c r="F780" s="45"/>
      <c r="G780" s="45"/>
      <c r="H780" s="45"/>
      <c r="I780" s="45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ht="14.25" customHeight="1">
      <c r="A781" s="45"/>
      <c r="B781" s="45"/>
      <c r="C781" s="45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ht="14.25" customHeight="1">
      <c r="A782" s="45"/>
      <c r="B782" s="45"/>
      <c r="C782" s="45"/>
      <c r="D782" s="45"/>
      <c r="E782" s="45"/>
      <c r="F782" s="45"/>
      <c r="G782" s="45"/>
      <c r="H782" s="45"/>
      <c r="I782" s="45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ht="14.25" customHeight="1">
      <c r="A783" s="45"/>
      <c r="B783" s="45"/>
      <c r="C783" s="45"/>
      <c r="D783" s="45"/>
      <c r="E783" s="45"/>
      <c r="F783" s="45"/>
      <c r="G783" s="45"/>
      <c r="H783" s="45"/>
      <c r="I783" s="45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ht="14.25" customHeight="1">
      <c r="A784" s="45"/>
      <c r="B784" s="45"/>
      <c r="C784" s="45"/>
      <c r="D784" s="45"/>
      <c r="E784" s="45"/>
      <c r="F784" s="45"/>
      <c r="G784" s="45"/>
      <c r="H784" s="45"/>
      <c r="I784" s="45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ht="14.25" customHeight="1">
      <c r="A785" s="45"/>
      <c r="B785" s="45"/>
      <c r="C785" s="45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ht="14.25" customHeight="1">
      <c r="A786" s="45"/>
      <c r="B786" s="45"/>
      <c r="C786" s="45"/>
      <c r="D786" s="45"/>
      <c r="E786" s="45"/>
      <c r="F786" s="45"/>
      <c r="G786" s="45"/>
      <c r="H786" s="45"/>
      <c r="I786" s="45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ht="14.25" customHeight="1">
      <c r="A787" s="45"/>
      <c r="B787" s="45"/>
      <c r="C787" s="45"/>
      <c r="D787" s="45"/>
      <c r="E787" s="45"/>
      <c r="F787" s="45"/>
      <c r="G787" s="45"/>
      <c r="H787" s="45"/>
      <c r="I787" s="45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ht="14.25" customHeight="1">
      <c r="A788" s="45"/>
      <c r="B788" s="45"/>
      <c r="C788" s="45"/>
      <c r="D788" s="45"/>
      <c r="E788" s="45"/>
      <c r="F788" s="45"/>
      <c r="G788" s="45"/>
      <c r="H788" s="45"/>
      <c r="I788" s="45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ht="14.25" customHeight="1">
      <c r="A789" s="45"/>
      <c r="B789" s="45"/>
      <c r="C789" s="45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ht="14.25" customHeight="1">
      <c r="A790" s="45"/>
      <c r="B790" s="45"/>
      <c r="C790" s="45"/>
      <c r="D790" s="45"/>
      <c r="E790" s="45"/>
      <c r="F790" s="45"/>
      <c r="G790" s="45"/>
      <c r="H790" s="45"/>
      <c r="I790" s="45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ht="14.25" customHeight="1">
      <c r="A791" s="45"/>
      <c r="B791" s="45"/>
      <c r="C791" s="45"/>
      <c r="D791" s="45"/>
      <c r="E791" s="45"/>
      <c r="F791" s="45"/>
      <c r="G791" s="45"/>
      <c r="H791" s="45"/>
      <c r="I791" s="45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ht="14.25" customHeight="1">
      <c r="A792" s="45"/>
      <c r="B792" s="45"/>
      <c r="C792" s="45"/>
      <c r="D792" s="45"/>
      <c r="E792" s="45"/>
      <c r="F792" s="45"/>
      <c r="G792" s="45"/>
      <c r="H792" s="45"/>
      <c r="I792" s="45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ht="14.25" customHeight="1">
      <c r="A793" s="45"/>
      <c r="B793" s="45"/>
      <c r="C793" s="45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ht="14.25" customHeight="1">
      <c r="A794" s="45"/>
      <c r="B794" s="45"/>
      <c r="C794" s="45"/>
      <c r="D794" s="45"/>
      <c r="E794" s="45"/>
      <c r="F794" s="45"/>
      <c r="G794" s="45"/>
      <c r="H794" s="45"/>
      <c r="I794" s="45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ht="14.25" customHeight="1">
      <c r="A795" s="45"/>
      <c r="B795" s="45"/>
      <c r="C795" s="45"/>
      <c r="D795" s="45"/>
      <c r="E795" s="45"/>
      <c r="F795" s="45"/>
      <c r="G795" s="45"/>
      <c r="H795" s="45"/>
      <c r="I795" s="45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ht="14.25" customHeight="1">
      <c r="A796" s="45"/>
      <c r="B796" s="45"/>
      <c r="C796" s="45"/>
      <c r="D796" s="45"/>
      <c r="E796" s="45"/>
      <c r="F796" s="45"/>
      <c r="G796" s="45"/>
      <c r="H796" s="45"/>
      <c r="I796" s="45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ht="14.25" customHeight="1">
      <c r="A797" s="45"/>
      <c r="B797" s="45"/>
      <c r="C797" s="45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ht="14.25" customHeight="1">
      <c r="A798" s="45"/>
      <c r="B798" s="45"/>
      <c r="C798" s="45"/>
      <c r="D798" s="45"/>
      <c r="E798" s="45"/>
      <c r="F798" s="45"/>
      <c r="G798" s="45"/>
      <c r="H798" s="45"/>
      <c r="I798" s="45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ht="14.25" customHeight="1">
      <c r="A799" s="45"/>
      <c r="B799" s="45"/>
      <c r="C799" s="45"/>
      <c r="D799" s="45"/>
      <c r="E799" s="45"/>
      <c r="F799" s="45"/>
      <c r="G799" s="45"/>
      <c r="H799" s="45"/>
      <c r="I799" s="45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ht="14.25" customHeight="1">
      <c r="A800" s="45"/>
      <c r="B800" s="45"/>
      <c r="C800" s="45"/>
      <c r="D800" s="45"/>
      <c r="E800" s="45"/>
      <c r="F800" s="45"/>
      <c r="G800" s="45"/>
      <c r="H800" s="45"/>
      <c r="I800" s="45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ht="14.25" customHeight="1">
      <c r="A801" s="45"/>
      <c r="B801" s="45"/>
      <c r="C801" s="45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ht="14.25" customHeight="1">
      <c r="A802" s="45"/>
      <c r="B802" s="45"/>
      <c r="C802" s="45"/>
      <c r="D802" s="45"/>
      <c r="E802" s="45"/>
      <c r="F802" s="45"/>
      <c r="G802" s="45"/>
      <c r="H802" s="45"/>
      <c r="I802" s="45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ht="14.25" customHeight="1">
      <c r="A803" s="45"/>
      <c r="B803" s="45"/>
      <c r="C803" s="45"/>
      <c r="D803" s="45"/>
      <c r="E803" s="45"/>
      <c r="F803" s="45"/>
      <c r="G803" s="45"/>
      <c r="H803" s="45"/>
      <c r="I803" s="45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ht="14.25" customHeight="1">
      <c r="A804" s="45"/>
      <c r="B804" s="45"/>
      <c r="C804" s="45"/>
      <c r="D804" s="45"/>
      <c r="E804" s="45"/>
      <c r="F804" s="45"/>
      <c r="G804" s="45"/>
      <c r="H804" s="45"/>
      <c r="I804" s="45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ht="14.25" customHeight="1">
      <c r="A805" s="45"/>
      <c r="B805" s="45"/>
      <c r="C805" s="45"/>
      <c r="D805" s="45"/>
      <c r="E805" s="45"/>
      <c r="F805" s="45"/>
      <c r="G805" s="45"/>
      <c r="H805" s="45"/>
      <c r="I805" s="45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ht="14.25" customHeight="1">
      <c r="A806" s="45"/>
      <c r="B806" s="45"/>
      <c r="C806" s="45"/>
      <c r="D806" s="45"/>
      <c r="E806" s="45"/>
      <c r="F806" s="45"/>
      <c r="G806" s="45"/>
      <c r="H806" s="45"/>
      <c r="I806" s="45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ht="14.25" customHeight="1">
      <c r="A807" s="45"/>
      <c r="B807" s="45"/>
      <c r="C807" s="45"/>
      <c r="D807" s="45"/>
      <c r="E807" s="45"/>
      <c r="F807" s="45"/>
      <c r="G807" s="45"/>
      <c r="H807" s="45"/>
      <c r="I807" s="45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ht="14.25" customHeight="1">
      <c r="A808" s="45"/>
      <c r="B808" s="45"/>
      <c r="C808" s="45"/>
      <c r="D808" s="45"/>
      <c r="E808" s="45"/>
      <c r="F808" s="45"/>
      <c r="G808" s="45"/>
      <c r="H808" s="45"/>
      <c r="I808" s="45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ht="14.25" customHeight="1">
      <c r="A809" s="45"/>
      <c r="B809" s="45"/>
      <c r="C809" s="45"/>
      <c r="D809" s="45"/>
      <c r="E809" s="45"/>
      <c r="F809" s="45"/>
      <c r="G809" s="45"/>
      <c r="H809" s="45"/>
      <c r="I809" s="45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ht="14.25" customHeight="1">
      <c r="A810" s="45"/>
      <c r="B810" s="45"/>
      <c r="C810" s="45"/>
      <c r="D810" s="45"/>
      <c r="E810" s="45"/>
      <c r="F810" s="45"/>
      <c r="G810" s="45"/>
      <c r="H810" s="45"/>
      <c r="I810" s="45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ht="14.25" customHeight="1">
      <c r="A811" s="45"/>
      <c r="B811" s="45"/>
      <c r="C811" s="45"/>
      <c r="D811" s="45"/>
      <c r="E811" s="45"/>
      <c r="F811" s="45"/>
      <c r="G811" s="45"/>
      <c r="H811" s="45"/>
      <c r="I811" s="45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ht="14.25" customHeight="1">
      <c r="A812" s="45"/>
      <c r="B812" s="45"/>
      <c r="C812" s="45"/>
      <c r="D812" s="45"/>
      <c r="E812" s="45"/>
      <c r="F812" s="45"/>
      <c r="G812" s="45"/>
      <c r="H812" s="45"/>
      <c r="I812" s="45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ht="14.25" customHeight="1">
      <c r="A813" s="45"/>
      <c r="B813" s="45"/>
      <c r="C813" s="45"/>
      <c r="D813" s="45"/>
      <c r="E813" s="45"/>
      <c r="F813" s="45"/>
      <c r="G813" s="45"/>
      <c r="H813" s="45"/>
      <c r="I813" s="45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ht="14.25" customHeight="1">
      <c r="A814" s="45"/>
      <c r="B814" s="45"/>
      <c r="C814" s="45"/>
      <c r="D814" s="45"/>
      <c r="E814" s="45"/>
      <c r="F814" s="45"/>
      <c r="G814" s="45"/>
      <c r="H814" s="45"/>
      <c r="I814" s="45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ht="14.25" customHeight="1">
      <c r="A815" s="45"/>
      <c r="B815" s="45"/>
      <c r="C815" s="45"/>
      <c r="D815" s="45"/>
      <c r="E815" s="45"/>
      <c r="F815" s="45"/>
      <c r="G815" s="45"/>
      <c r="H815" s="45"/>
      <c r="I815" s="45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ht="14.25" customHeight="1">
      <c r="A816" s="45"/>
      <c r="B816" s="45"/>
      <c r="C816" s="45"/>
      <c r="D816" s="45"/>
      <c r="E816" s="45"/>
      <c r="F816" s="45"/>
      <c r="G816" s="45"/>
      <c r="H816" s="45"/>
      <c r="I816" s="45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ht="14.25" customHeight="1">
      <c r="A817" s="45"/>
      <c r="B817" s="45"/>
      <c r="C817" s="45"/>
      <c r="D817" s="45"/>
      <c r="E817" s="45"/>
      <c r="F817" s="45"/>
      <c r="G817" s="45"/>
      <c r="H817" s="45"/>
      <c r="I817" s="45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ht="14.25" customHeight="1">
      <c r="A818" s="45"/>
      <c r="B818" s="45"/>
      <c r="C818" s="45"/>
      <c r="D818" s="45"/>
      <c r="E818" s="45"/>
      <c r="F818" s="45"/>
      <c r="G818" s="45"/>
      <c r="H818" s="45"/>
      <c r="I818" s="45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ht="14.25" customHeight="1">
      <c r="A819" s="45"/>
      <c r="B819" s="45"/>
      <c r="C819" s="45"/>
      <c r="D819" s="45"/>
      <c r="E819" s="45"/>
      <c r="F819" s="45"/>
      <c r="G819" s="45"/>
      <c r="H819" s="45"/>
      <c r="I819" s="45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ht="14.25" customHeight="1">
      <c r="A820" s="45"/>
      <c r="B820" s="45"/>
      <c r="C820" s="45"/>
      <c r="D820" s="45"/>
      <c r="E820" s="45"/>
      <c r="F820" s="45"/>
      <c r="G820" s="45"/>
      <c r="H820" s="45"/>
      <c r="I820" s="45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ht="14.25" customHeight="1">
      <c r="A821" s="45"/>
      <c r="B821" s="45"/>
      <c r="C821" s="45"/>
      <c r="D821" s="45"/>
      <c r="E821" s="45"/>
      <c r="F821" s="45"/>
      <c r="G821" s="45"/>
      <c r="H821" s="45"/>
      <c r="I821" s="45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ht="14.25" customHeight="1">
      <c r="A822" s="45"/>
      <c r="B822" s="45"/>
      <c r="C822" s="45"/>
      <c r="D822" s="45"/>
      <c r="E822" s="45"/>
      <c r="F822" s="45"/>
      <c r="G822" s="45"/>
      <c r="H822" s="45"/>
      <c r="I822" s="45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ht="14.25" customHeight="1">
      <c r="A823" s="45"/>
      <c r="B823" s="45"/>
      <c r="C823" s="45"/>
      <c r="D823" s="45"/>
      <c r="E823" s="45"/>
      <c r="F823" s="45"/>
      <c r="G823" s="45"/>
      <c r="H823" s="45"/>
      <c r="I823" s="45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ht="14.25" customHeight="1">
      <c r="A824" s="45"/>
      <c r="B824" s="45"/>
      <c r="C824" s="45"/>
      <c r="D824" s="45"/>
      <c r="E824" s="45"/>
      <c r="F824" s="45"/>
      <c r="G824" s="45"/>
      <c r="H824" s="45"/>
      <c r="I824" s="45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ht="14.25" customHeight="1">
      <c r="A825" s="45"/>
      <c r="B825" s="45"/>
      <c r="C825" s="45"/>
      <c r="D825" s="45"/>
      <c r="E825" s="45"/>
      <c r="F825" s="45"/>
      <c r="G825" s="45"/>
      <c r="H825" s="45"/>
      <c r="I825" s="45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ht="14.25" customHeight="1">
      <c r="A826" s="45"/>
      <c r="B826" s="45"/>
      <c r="C826" s="45"/>
      <c r="D826" s="45"/>
      <c r="E826" s="45"/>
      <c r="F826" s="45"/>
      <c r="G826" s="45"/>
      <c r="H826" s="45"/>
      <c r="I826" s="45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ht="14.25" customHeight="1">
      <c r="A827" s="45"/>
      <c r="B827" s="45"/>
      <c r="C827" s="45"/>
      <c r="D827" s="45"/>
      <c r="E827" s="45"/>
      <c r="F827" s="45"/>
      <c r="G827" s="45"/>
      <c r="H827" s="45"/>
      <c r="I827" s="45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ht="14.25" customHeight="1">
      <c r="A828" s="45"/>
      <c r="B828" s="45"/>
      <c r="C828" s="45"/>
      <c r="D828" s="45"/>
      <c r="E828" s="45"/>
      <c r="F828" s="45"/>
      <c r="G828" s="45"/>
      <c r="H828" s="45"/>
      <c r="I828" s="45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ht="14.25" customHeight="1">
      <c r="A829" s="45"/>
      <c r="B829" s="45"/>
      <c r="C829" s="45"/>
      <c r="D829" s="45"/>
      <c r="E829" s="45"/>
      <c r="F829" s="45"/>
      <c r="G829" s="45"/>
      <c r="H829" s="45"/>
      <c r="I829" s="45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ht="14.25" customHeight="1">
      <c r="A830" s="45"/>
      <c r="B830" s="45"/>
      <c r="C830" s="45"/>
      <c r="D830" s="45"/>
      <c r="E830" s="45"/>
      <c r="F830" s="45"/>
      <c r="G830" s="45"/>
      <c r="H830" s="45"/>
      <c r="I830" s="45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ht="14.25" customHeight="1">
      <c r="A831" s="45"/>
      <c r="B831" s="45"/>
      <c r="C831" s="45"/>
      <c r="D831" s="45"/>
      <c r="E831" s="45"/>
      <c r="F831" s="45"/>
      <c r="G831" s="45"/>
      <c r="H831" s="45"/>
      <c r="I831" s="45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ht="14.25" customHeight="1">
      <c r="A832" s="45"/>
      <c r="B832" s="45"/>
      <c r="C832" s="45"/>
      <c r="D832" s="45"/>
      <c r="E832" s="45"/>
      <c r="F832" s="45"/>
      <c r="G832" s="45"/>
      <c r="H832" s="45"/>
      <c r="I832" s="45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ht="14.25" customHeight="1">
      <c r="A833" s="45"/>
      <c r="B833" s="45"/>
      <c r="C833" s="45"/>
      <c r="D833" s="45"/>
      <c r="E833" s="45"/>
      <c r="F833" s="45"/>
      <c r="G833" s="45"/>
      <c r="H833" s="45"/>
      <c r="I833" s="45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ht="14.25" customHeight="1">
      <c r="A834" s="45"/>
      <c r="B834" s="45"/>
      <c r="C834" s="45"/>
      <c r="D834" s="45"/>
      <c r="E834" s="45"/>
      <c r="F834" s="45"/>
      <c r="G834" s="45"/>
      <c r="H834" s="45"/>
      <c r="I834" s="45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ht="14.25" customHeight="1">
      <c r="A835" s="45"/>
      <c r="B835" s="45"/>
      <c r="C835" s="45"/>
      <c r="D835" s="45"/>
      <c r="E835" s="45"/>
      <c r="F835" s="45"/>
      <c r="G835" s="45"/>
      <c r="H835" s="45"/>
      <c r="I835" s="45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ht="14.25" customHeight="1">
      <c r="A836" s="45"/>
      <c r="B836" s="45"/>
      <c r="C836" s="45"/>
      <c r="D836" s="45"/>
      <c r="E836" s="45"/>
      <c r="F836" s="45"/>
      <c r="G836" s="45"/>
      <c r="H836" s="45"/>
      <c r="I836" s="45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ht="14.25" customHeight="1">
      <c r="A837" s="45"/>
      <c r="B837" s="45"/>
      <c r="C837" s="45"/>
      <c r="D837" s="45"/>
      <c r="E837" s="45"/>
      <c r="F837" s="45"/>
      <c r="G837" s="45"/>
      <c r="H837" s="45"/>
      <c r="I837" s="45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ht="14.25" customHeight="1">
      <c r="A838" s="45"/>
      <c r="B838" s="45"/>
      <c r="C838" s="45"/>
      <c r="D838" s="45"/>
      <c r="E838" s="45"/>
      <c r="F838" s="45"/>
      <c r="G838" s="45"/>
      <c r="H838" s="45"/>
      <c r="I838" s="45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ht="14.25" customHeight="1">
      <c r="A839" s="45"/>
      <c r="B839" s="45"/>
      <c r="C839" s="45"/>
      <c r="D839" s="45"/>
      <c r="E839" s="45"/>
      <c r="F839" s="45"/>
      <c r="G839" s="45"/>
      <c r="H839" s="45"/>
      <c r="I839" s="45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ht="14.25" customHeight="1">
      <c r="A840" s="45"/>
      <c r="B840" s="45"/>
      <c r="C840" s="45"/>
      <c r="D840" s="45"/>
      <c r="E840" s="45"/>
      <c r="F840" s="45"/>
      <c r="G840" s="45"/>
      <c r="H840" s="45"/>
      <c r="I840" s="45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ht="14.25" customHeight="1">
      <c r="A841" s="45"/>
      <c r="B841" s="45"/>
      <c r="C841" s="45"/>
      <c r="D841" s="45"/>
      <c r="E841" s="45"/>
      <c r="F841" s="45"/>
      <c r="G841" s="45"/>
      <c r="H841" s="45"/>
      <c r="I841" s="45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ht="14.25" customHeight="1">
      <c r="A842" s="45"/>
      <c r="B842" s="45"/>
      <c r="C842" s="45"/>
      <c r="D842" s="45"/>
      <c r="E842" s="45"/>
      <c r="F842" s="45"/>
      <c r="G842" s="45"/>
      <c r="H842" s="45"/>
      <c r="I842" s="45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ht="14.25" customHeight="1">
      <c r="A843" s="45"/>
      <c r="B843" s="45"/>
      <c r="C843" s="45"/>
      <c r="D843" s="45"/>
      <c r="E843" s="45"/>
      <c r="F843" s="45"/>
      <c r="G843" s="45"/>
      <c r="H843" s="45"/>
      <c r="I843" s="45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ht="14.25" customHeight="1">
      <c r="A844" s="45"/>
      <c r="B844" s="45"/>
      <c r="C844" s="45"/>
      <c r="D844" s="45"/>
      <c r="E844" s="45"/>
      <c r="F844" s="45"/>
      <c r="G844" s="45"/>
      <c r="H844" s="45"/>
      <c r="I844" s="45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ht="14.25" customHeight="1">
      <c r="A845" s="45"/>
      <c r="B845" s="45"/>
      <c r="C845" s="45"/>
      <c r="D845" s="45"/>
      <c r="E845" s="45"/>
      <c r="F845" s="45"/>
      <c r="G845" s="45"/>
      <c r="H845" s="45"/>
      <c r="I845" s="45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ht="14.25" customHeight="1">
      <c r="A846" s="45"/>
      <c r="B846" s="45"/>
      <c r="C846" s="45"/>
      <c r="D846" s="45"/>
      <c r="E846" s="45"/>
      <c r="F846" s="45"/>
      <c r="G846" s="45"/>
      <c r="H846" s="45"/>
      <c r="I846" s="45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ht="14.25" customHeight="1">
      <c r="A847" s="45"/>
      <c r="B847" s="45"/>
      <c r="C847" s="45"/>
      <c r="D847" s="45"/>
      <c r="E847" s="45"/>
      <c r="F847" s="45"/>
      <c r="G847" s="45"/>
      <c r="H847" s="45"/>
      <c r="I847" s="45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ht="14.25" customHeight="1">
      <c r="A848" s="45"/>
      <c r="B848" s="45"/>
      <c r="C848" s="45"/>
      <c r="D848" s="45"/>
      <c r="E848" s="45"/>
      <c r="F848" s="45"/>
      <c r="G848" s="45"/>
      <c r="H848" s="45"/>
      <c r="I848" s="45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ht="14.25" customHeight="1">
      <c r="A849" s="45"/>
      <c r="B849" s="45"/>
      <c r="C849" s="45"/>
      <c r="D849" s="45"/>
      <c r="E849" s="45"/>
      <c r="F849" s="45"/>
      <c r="G849" s="45"/>
      <c r="H849" s="45"/>
      <c r="I849" s="45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ht="14.25" customHeight="1">
      <c r="A850" s="4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ht="14.25" customHeight="1">
      <c r="A851" s="45"/>
      <c r="B851" s="45"/>
      <c r="C851" s="45"/>
      <c r="D851" s="45"/>
      <c r="E851" s="45"/>
      <c r="F851" s="45"/>
      <c r="G851" s="45"/>
      <c r="H851" s="45"/>
      <c r="I851" s="45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ht="14.25" customHeight="1">
      <c r="A852" s="45"/>
      <c r="B852" s="45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ht="14.25" customHeight="1">
      <c r="A853" s="45"/>
      <c r="B853" s="45"/>
      <c r="C853" s="45"/>
      <c r="D853" s="45"/>
      <c r="E853" s="45"/>
      <c r="F853" s="45"/>
      <c r="G853" s="45"/>
      <c r="H853" s="45"/>
      <c r="I853" s="45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ht="14.25" customHeight="1">
      <c r="A854" s="45"/>
      <c r="B854" s="45"/>
      <c r="C854" s="45"/>
      <c r="D854" s="45"/>
      <c r="E854" s="45"/>
      <c r="F854" s="45"/>
      <c r="G854" s="45"/>
      <c r="H854" s="45"/>
      <c r="I854" s="45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ht="14.25" customHeight="1">
      <c r="A855" s="45"/>
      <c r="B855" s="45"/>
      <c r="C855" s="45"/>
      <c r="D855" s="45"/>
      <c r="E855" s="45"/>
      <c r="F855" s="45"/>
      <c r="G855" s="45"/>
      <c r="H855" s="45"/>
      <c r="I855" s="45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ht="14.25" customHeight="1">
      <c r="A856" s="45"/>
      <c r="B856" s="45"/>
      <c r="C856" s="45"/>
      <c r="D856" s="45"/>
      <c r="E856" s="45"/>
      <c r="F856" s="45"/>
      <c r="G856" s="45"/>
      <c r="H856" s="45"/>
      <c r="I856" s="45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ht="14.25" customHeight="1">
      <c r="A857" s="45"/>
      <c r="B857" s="45"/>
      <c r="C857" s="45"/>
      <c r="D857" s="45"/>
      <c r="E857" s="45"/>
      <c r="F857" s="45"/>
      <c r="G857" s="45"/>
      <c r="H857" s="45"/>
      <c r="I857" s="45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ht="14.25" customHeight="1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ht="14.25" customHeight="1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ht="14.25" customHeight="1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ht="14.25" customHeight="1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ht="14.25" customHeight="1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ht="14.25" customHeight="1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ht="14.25" customHeight="1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ht="14.25" customHeight="1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ht="14.25" customHeight="1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ht="14.25" customHeight="1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ht="14.25" customHeight="1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ht="14.25" customHeight="1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ht="14.25" customHeight="1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ht="14.25" customHeight="1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ht="14.25" customHeight="1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ht="14.25" customHeight="1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ht="14.25" customHeight="1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ht="14.25" customHeight="1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ht="14.25" customHeight="1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ht="14.25" customHeight="1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ht="14.25" customHeight="1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ht="14.25" customHeight="1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ht="14.25" customHeight="1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ht="14.25" customHeight="1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ht="14.25" customHeight="1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ht="14.25" customHeight="1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ht="14.25" customHeight="1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ht="14.25" customHeight="1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ht="14.25" customHeight="1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ht="14.25" customHeight="1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ht="14.25" customHeight="1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ht="14.25" customHeight="1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ht="14.25" customHeight="1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ht="14.25" customHeight="1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ht="14.25" customHeight="1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ht="14.25" customHeight="1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ht="14.25" customHeight="1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ht="14.25" customHeight="1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ht="14.25" customHeight="1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ht="14.25" customHeight="1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ht="14.25" customHeight="1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ht="14.25" customHeight="1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ht="14.25" customHeight="1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ht="14.25" customHeight="1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ht="14.25" customHeight="1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ht="14.25" customHeight="1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ht="14.25" customHeight="1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ht="14.25" customHeight="1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ht="14.25" customHeight="1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ht="14.25" customHeight="1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ht="14.25" customHeight="1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ht="14.25" customHeight="1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ht="14.25" customHeight="1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ht="14.25" customHeight="1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ht="14.25" customHeight="1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ht="14.25" customHeight="1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ht="14.25" customHeight="1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ht="14.25" customHeight="1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ht="14.25" customHeight="1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ht="14.25" customHeight="1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ht="14.25" customHeight="1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ht="14.25" customHeight="1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ht="14.25" customHeight="1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ht="14.25" customHeight="1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ht="14.25" customHeight="1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ht="14.25" customHeight="1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ht="14.25" customHeight="1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ht="14.25" customHeight="1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ht="14.25" customHeight="1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ht="14.25" customHeight="1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ht="14.25" customHeight="1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ht="14.25" customHeight="1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ht="14.25" customHeight="1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ht="14.25" customHeight="1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ht="14.25" customHeight="1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ht="14.25" customHeight="1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ht="14.25" customHeight="1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ht="14.25" customHeight="1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ht="14.25" customHeight="1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ht="14.25" customHeight="1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ht="14.25" customHeight="1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ht="14.25" customHeight="1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ht="14.25" customHeight="1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ht="14.25" customHeight="1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ht="14.25" customHeight="1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ht="14.25" customHeight="1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ht="14.25" customHeight="1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ht="14.25" customHeight="1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ht="14.25" customHeight="1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ht="14.25" customHeight="1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ht="14.25" customHeight="1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ht="14.25" customHeight="1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ht="14.25" customHeight="1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ht="14.25" customHeight="1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ht="14.25" customHeight="1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ht="14.25" customHeight="1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ht="14.25" customHeight="1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ht="14.25" customHeight="1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ht="14.25" customHeight="1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ht="14.25" customHeight="1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ht="14.25" customHeight="1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ht="14.25" customHeight="1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ht="14.25" customHeight="1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ht="14.25" customHeight="1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ht="14.25" customHeight="1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ht="14.25" customHeight="1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ht="14.25" customHeight="1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ht="14.25" customHeight="1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ht="14.25" customHeight="1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ht="14.25" customHeight="1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ht="14.25" customHeight="1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ht="14.25" customHeight="1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ht="14.25" customHeight="1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ht="14.25" customHeight="1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ht="14.25" customHeight="1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ht="14.25" customHeight="1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ht="14.25" customHeight="1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ht="14.25" customHeight="1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ht="14.25" customHeight="1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ht="14.25" customHeight="1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ht="14.25" customHeight="1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ht="14.25" customHeight="1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ht="14.25" customHeight="1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ht="14.25" customHeight="1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ht="14.25" customHeight="1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ht="14.25" customHeight="1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ht="14.25" customHeight="1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ht="14.25" customHeight="1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ht="14.25" customHeight="1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ht="14.25" customHeight="1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ht="14.25" customHeight="1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ht="14.25" customHeight="1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ht="14.25" customHeight="1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ht="14.25" customHeight="1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ht="14.25" customHeight="1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ht="14.25" customHeight="1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ht="14.25" customHeight="1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ht="14.25" customHeight="1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ht="14.25" customHeight="1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ht="14.25" customHeight="1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ht="14.25" customHeight="1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ht="14.25" customHeight="1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ht="14.25" customHeight="1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mergeCells count="5">
    <mergeCell ref="B1:D1"/>
    <mergeCell ref="E1:E2"/>
    <mergeCell ref="F1:G2"/>
    <mergeCell ref="B2:D2"/>
    <mergeCell ref="A3:G3"/>
  </mergeCells>
  <conditionalFormatting sqref="G5:G54">
    <cfRule type="cellIs" dxfId="0" priority="1" operator="equal">
      <formula>"N.C."</formula>
    </cfRule>
  </conditionalFormatting>
  <conditionalFormatting sqref="G5:G54">
    <cfRule type="cellIs" dxfId="1" priority="2" operator="equal">
      <formula>"N.C."</formula>
    </cfRule>
  </conditionalFormatting>
  <conditionalFormatting sqref="G5:G54">
    <cfRule type="cellIs" dxfId="2" priority="3" operator="equal">
      <formula>"OK"</formula>
    </cfRule>
  </conditionalFormatting>
  <printOptions horizontalCentered="1" verticalCentered="1"/>
  <pageMargins bottom="0.7874015748031497" footer="0.0" header="0.0" left="0.7874015748031497" right="0.5118110236220472" top="1.3779527559055118"/>
  <pageSetup paperSize="9" scale="90" orientation="landscape"/>
  <headerFooter>
    <oddHead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20.71"/>
    <col customWidth="1" min="3" max="3" width="17.0"/>
    <col customWidth="1" min="4" max="4" width="13.0"/>
    <col customWidth="1" min="5" max="6" width="11.71"/>
    <col customWidth="1" min="7" max="7" width="19.14"/>
    <col customWidth="1" min="8" max="20" width="9.14"/>
    <col customWidth="1" min="21" max="21" width="10.0"/>
    <col customWidth="1" min="22" max="26" width="8.71"/>
  </cols>
  <sheetData>
    <row r="1" ht="22.5" customHeight="1">
      <c r="A1" s="61" t="s">
        <v>82</v>
      </c>
      <c r="B1" s="37"/>
      <c r="C1" s="37"/>
      <c r="D1" s="62"/>
      <c r="E1" s="63" t="str">
        <f>'Capa '!$P$3</f>
        <v>0000-1/2025.0</v>
      </c>
      <c r="F1" s="64"/>
      <c r="G1" s="65"/>
      <c r="H1" s="66"/>
      <c r="I1" s="67" t="s">
        <v>83</v>
      </c>
      <c r="L1" s="68" t="s">
        <v>84</v>
      </c>
      <c r="M1" s="68"/>
      <c r="N1" s="68"/>
      <c r="O1" s="66"/>
      <c r="P1" s="69" t="s">
        <v>85</v>
      </c>
      <c r="Q1" s="69" t="s">
        <v>86</v>
      </c>
      <c r="R1" s="69"/>
      <c r="S1" s="69"/>
      <c r="T1" s="66"/>
      <c r="U1" s="66" t="s">
        <v>87</v>
      </c>
      <c r="V1" s="66"/>
      <c r="W1" s="66"/>
      <c r="X1" s="66"/>
      <c r="Y1" s="66"/>
      <c r="Z1" s="66"/>
    </row>
    <row r="2" ht="18.75" customHeight="1">
      <c r="A2" s="70" t="s">
        <v>88</v>
      </c>
      <c r="B2" s="71" t="str">
        <f>'Capa '!$M$18</f>
        <v>Componel Industria e Comércio Ltda</v>
      </c>
      <c r="G2" s="72"/>
      <c r="H2" s="66"/>
      <c r="I2" s="73" t="s">
        <v>89</v>
      </c>
      <c r="J2" s="66"/>
      <c r="K2" s="66"/>
      <c r="L2" s="74" t="s">
        <v>90</v>
      </c>
      <c r="O2" s="66"/>
      <c r="P2" s="69" t="s">
        <v>85</v>
      </c>
      <c r="Q2" s="69" t="s">
        <v>91</v>
      </c>
      <c r="R2" s="69"/>
      <c r="S2" s="69"/>
      <c r="T2" s="66"/>
      <c r="U2" s="66" t="s">
        <v>92</v>
      </c>
      <c r="V2" s="66"/>
      <c r="W2" s="66"/>
      <c r="X2" s="66"/>
      <c r="Y2" s="66"/>
      <c r="Z2" s="66"/>
    </row>
    <row r="3" ht="18.75" customHeight="1">
      <c r="A3" s="75" t="s">
        <v>55</v>
      </c>
      <c r="B3" s="71" t="str">
        <f>'Capa '!$M$19</f>
        <v>#REF!</v>
      </c>
      <c r="G3" s="72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  <c r="T3" s="66"/>
      <c r="U3" s="66" t="s">
        <v>93</v>
      </c>
      <c r="V3" s="66"/>
      <c r="W3" s="66"/>
      <c r="X3" s="66"/>
      <c r="Y3" s="66"/>
      <c r="Z3" s="66"/>
    </row>
    <row r="4" ht="18.75" customHeight="1">
      <c r="A4" s="76" t="s">
        <v>94</v>
      </c>
      <c r="B4" s="77" t="s">
        <v>95</v>
      </c>
      <c r="C4" s="78"/>
      <c r="D4" s="78"/>
      <c r="E4" s="78"/>
      <c r="F4" s="78"/>
      <c r="G4" s="48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 t="s">
        <v>96</v>
      </c>
      <c r="V4" s="66"/>
      <c r="W4" s="66"/>
      <c r="X4" s="66"/>
      <c r="Y4" s="66"/>
      <c r="Z4" s="66"/>
    </row>
    <row r="5" ht="18.75" customHeight="1">
      <c r="A5" s="79" t="s">
        <v>97</v>
      </c>
      <c r="B5" s="37"/>
      <c r="C5" s="37"/>
      <c r="D5" s="37"/>
      <c r="E5" s="37"/>
      <c r="F5" s="37"/>
      <c r="G5" s="35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</row>
    <row r="6" ht="18.75" customHeight="1">
      <c r="A6" s="80" t="s">
        <v>98</v>
      </c>
      <c r="B6" s="81"/>
      <c r="G6" s="72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ht="18.75" customHeight="1">
      <c r="A7" s="80" t="s">
        <v>99</v>
      </c>
      <c r="B7" s="81"/>
      <c r="D7" s="82" t="s">
        <v>100</v>
      </c>
      <c r="E7" s="83"/>
      <c r="G7" s="72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</row>
    <row r="8" ht="18.75" customHeight="1">
      <c r="A8" s="80" t="s">
        <v>101</v>
      </c>
      <c r="B8" s="81"/>
      <c r="D8" s="82" t="s">
        <v>102</v>
      </c>
      <c r="E8" s="83"/>
      <c r="G8" s="72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18.75" customHeight="1">
      <c r="A9" s="84" t="s">
        <v>103</v>
      </c>
      <c r="B9" s="85"/>
      <c r="C9" s="78"/>
      <c r="D9" s="86" t="s">
        <v>104</v>
      </c>
      <c r="E9" s="78"/>
      <c r="F9" s="87" t="s">
        <v>105</v>
      </c>
      <c r="G9" s="48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18.75" customHeight="1">
      <c r="A10" s="88" t="s">
        <v>106</v>
      </c>
      <c r="B10" s="37"/>
      <c r="C10" s="37"/>
      <c r="D10" s="37"/>
      <c r="E10" s="37"/>
      <c r="F10" s="37"/>
      <c r="G10" s="35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</row>
    <row r="11" ht="18.75" customHeight="1">
      <c r="A11" s="89" t="s">
        <v>107</v>
      </c>
      <c r="B11" s="90">
        <v>45819.0</v>
      </c>
      <c r="C11" s="91" t="s">
        <v>89</v>
      </c>
      <c r="D11" s="37"/>
      <c r="E11" s="37"/>
      <c r="F11" s="92" t="str">
        <f>$L$2</f>
        <v>Técnico de Campo</v>
      </c>
      <c r="G11" s="44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</row>
    <row r="12" ht="18.75" customHeight="1">
      <c r="A12" s="88" t="s">
        <v>108</v>
      </c>
      <c r="B12" s="37"/>
      <c r="C12" s="37"/>
      <c r="D12" s="37"/>
      <c r="E12" s="37"/>
      <c r="F12" s="37"/>
      <c r="G12" s="35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ht="15.75" customHeight="1">
      <c r="A13" s="93" t="s">
        <v>109</v>
      </c>
      <c r="B13" s="37"/>
      <c r="C13" s="37"/>
      <c r="D13" s="37"/>
      <c r="E13" s="37"/>
      <c r="F13" s="37"/>
      <c r="G13" s="35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ht="25.5" customHeight="1">
      <c r="A14" s="94"/>
      <c r="B14" s="37"/>
      <c r="C14" s="37"/>
      <c r="D14" s="37"/>
      <c r="E14" s="37"/>
      <c r="F14" s="37"/>
      <c r="G14" s="35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ht="15.75" customHeight="1">
      <c r="A15" s="93" t="s">
        <v>110</v>
      </c>
      <c r="B15" s="37"/>
      <c r="C15" s="37"/>
      <c r="D15" s="37"/>
      <c r="E15" s="37"/>
      <c r="F15" s="37"/>
      <c r="G15" s="35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ht="25.5" customHeight="1">
      <c r="A16" s="95" t="s">
        <v>111</v>
      </c>
      <c r="B16" s="37"/>
      <c r="C16" s="37"/>
      <c r="D16" s="37"/>
      <c r="E16" s="37"/>
      <c r="F16" s="37"/>
      <c r="G16" s="35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</row>
    <row r="17" ht="15.75" customHeight="1">
      <c r="A17" s="96" t="s">
        <v>112</v>
      </c>
      <c r="B17" s="37"/>
      <c r="C17" s="37"/>
      <c r="D17" s="37"/>
      <c r="E17" s="37"/>
      <c r="F17" s="37"/>
      <c r="G17" s="35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ht="25.5" customHeight="1">
      <c r="A18" s="97" t="s">
        <v>113</v>
      </c>
      <c r="B18" s="98"/>
      <c r="C18" s="98"/>
      <c r="D18" s="98"/>
      <c r="E18" s="98"/>
      <c r="F18" s="98"/>
      <c r="G18" s="99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</row>
    <row r="19" ht="18.75" customHeight="1">
      <c r="A19" s="88" t="s">
        <v>114</v>
      </c>
      <c r="B19" s="37"/>
      <c r="C19" s="37"/>
      <c r="D19" s="37"/>
      <c r="E19" s="37"/>
      <c r="F19" s="37"/>
      <c r="G19" s="35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</row>
    <row r="20" ht="33.75" customHeight="1">
      <c r="A20" s="100" t="s">
        <v>115</v>
      </c>
      <c r="B20" s="37"/>
      <c r="C20" s="37"/>
      <c r="D20" s="37"/>
      <c r="E20" s="37"/>
      <c r="F20" s="37"/>
      <c r="G20" s="35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ht="18.75" customHeight="1">
      <c r="A21" s="88" t="s">
        <v>116</v>
      </c>
      <c r="B21" s="37"/>
      <c r="C21" s="37"/>
      <c r="D21" s="37"/>
      <c r="E21" s="37"/>
      <c r="F21" s="37"/>
      <c r="G21" s="35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ht="33.75" customHeight="1">
      <c r="A22" s="100" t="s">
        <v>117</v>
      </c>
      <c r="B22" s="37"/>
      <c r="C22" s="37"/>
      <c r="D22" s="37"/>
      <c r="E22" s="37"/>
      <c r="F22" s="37"/>
      <c r="G22" s="35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ht="17.25" customHeight="1">
      <c r="A23" s="88" t="s">
        <v>118</v>
      </c>
      <c r="B23" s="37"/>
      <c r="C23" s="37"/>
      <c r="D23" s="37"/>
      <c r="E23" s="37"/>
      <c r="F23" s="37"/>
      <c r="G23" s="35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ht="17.25" customHeight="1">
      <c r="A24" s="101" t="s">
        <v>119</v>
      </c>
      <c r="B24" s="37"/>
      <c r="C24" s="102">
        <v>114.0</v>
      </c>
      <c r="D24" s="103" t="s">
        <v>120</v>
      </c>
      <c r="E24" s="37"/>
      <c r="F24" s="104">
        <v>114.0</v>
      </c>
      <c r="G24" s="35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ht="18.75" customHeight="1">
      <c r="A25" s="105" t="s">
        <v>121</v>
      </c>
      <c r="B25" s="37"/>
      <c r="C25" s="37"/>
      <c r="D25" s="37"/>
      <c r="E25" s="37"/>
      <c r="F25" s="37"/>
      <c r="G25" s="35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</row>
    <row r="26" ht="24.0" customHeight="1">
      <c r="A26" s="93" t="s">
        <v>122</v>
      </c>
      <c r="B26" s="37"/>
      <c r="C26" s="37"/>
      <c r="D26" s="37"/>
      <c r="E26" s="37"/>
      <c r="F26" s="37"/>
      <c r="G26" s="35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ht="18.75" customHeight="1">
      <c r="A27" s="88" t="s">
        <v>123</v>
      </c>
      <c r="B27" s="37"/>
      <c r="C27" s="37"/>
      <c r="D27" s="37"/>
      <c r="E27" s="37"/>
      <c r="F27" s="37"/>
      <c r="G27" s="35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ht="57.75" customHeight="1">
      <c r="A28" s="49" t="s">
        <v>124</v>
      </c>
      <c r="B28" s="35"/>
      <c r="C28" s="49" t="s">
        <v>125</v>
      </c>
      <c r="D28" s="35"/>
      <c r="E28" s="106" t="s">
        <v>126</v>
      </c>
      <c r="F28" s="35"/>
      <c r="G28" s="107" t="s">
        <v>127</v>
      </c>
      <c r="H28" s="66"/>
      <c r="I28" s="108" t="s">
        <v>128</v>
      </c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ht="18.75" customHeight="1">
      <c r="A29" s="96" t="s">
        <v>129</v>
      </c>
      <c r="B29" s="35"/>
      <c r="C29" s="109"/>
      <c r="D29" s="35"/>
      <c r="E29" s="110" t="s">
        <v>130</v>
      </c>
      <c r="F29" s="44"/>
      <c r="G29" s="111" t="s">
        <v>131</v>
      </c>
      <c r="H29" s="66"/>
      <c r="I29" s="73" t="str">
        <f>IF($C$30&lt;=85,"ABAIXO",IF($C$30&gt;=85,"ACIMA"))</f>
        <v>ABAIXO</v>
      </c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ht="18.75" customHeight="1">
      <c r="A30" s="96" t="s">
        <v>132</v>
      </c>
      <c r="B30" s="35"/>
      <c r="C30" s="109"/>
      <c r="D30" s="35"/>
      <c r="E30" s="112"/>
      <c r="F30" s="72"/>
      <c r="G30" s="113"/>
      <c r="H30" s="66"/>
      <c r="I30" s="114">
        <v>1.0</v>
      </c>
      <c r="J30" s="114" t="s">
        <v>133</v>
      </c>
      <c r="K30" s="66" t="s">
        <v>134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ht="18.75" customHeight="1">
      <c r="A31" s="96" t="s">
        <v>135</v>
      </c>
      <c r="B31" s="35"/>
      <c r="C31" s="109"/>
      <c r="D31" s="35"/>
      <c r="E31" s="112"/>
      <c r="F31" s="72"/>
      <c r="G31" s="113"/>
      <c r="H31" s="66"/>
      <c r="I31" s="114">
        <v>2.0</v>
      </c>
      <c r="J31" s="114" t="s">
        <v>136</v>
      </c>
      <c r="K31" s="66" t="s">
        <v>137</v>
      </c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ht="18.75" customHeight="1">
      <c r="A32" s="96" t="s">
        <v>138</v>
      </c>
      <c r="B32" s="35"/>
      <c r="C32" s="115"/>
      <c r="D32" s="35"/>
      <c r="E32" s="47"/>
      <c r="F32" s="48"/>
      <c r="G32" s="4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ht="18.75" customHeight="1">
      <c r="A33" s="88" t="s">
        <v>139</v>
      </c>
      <c r="B33" s="37"/>
      <c r="C33" s="37"/>
      <c r="D33" s="37"/>
      <c r="E33" s="37"/>
      <c r="F33" s="37"/>
      <c r="G33" s="35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ht="64.5" customHeight="1">
      <c r="A34" s="100" t="str">
        <f>VLOOKUP(I29,$J$30:$K$32,2,FALSE)</f>
        <v>O nível equivalente de ruído está dentro do limite de tolerância estabelecido no Anexo 1 da NR 15 para uma jornada de 8 horas diárias, não caracterizando exposição excessiva. No entanto, é recomendável manter medidas preventivas para reduzir riscos auditivos e garantir a conformidade com as normas de segurança.</v>
      </c>
      <c r="B34" s="37"/>
      <c r="C34" s="37"/>
      <c r="D34" s="37"/>
      <c r="E34" s="37"/>
      <c r="F34" s="37"/>
      <c r="G34" s="35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ht="22.5" customHeight="1">
      <c r="A35" s="66"/>
      <c r="B35" s="66"/>
      <c r="C35" s="66"/>
      <c r="D35" s="66"/>
      <c r="E35" s="66"/>
      <c r="F35" s="66"/>
      <c r="G35" s="66"/>
      <c r="H35" s="66"/>
      <c r="I35" s="66"/>
      <c r="J35" s="114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ht="18.75" customHeight="1">
      <c r="A36" s="116" t="str">
        <f>$L$1</f>
        <v>Manaus, 00 de mês de 2025.</v>
      </c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ht="18.75" customHeight="1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ht="18.75" customHeight="1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ht="18.75" customHeight="1">
      <c r="A39" s="114" t="s">
        <v>140</v>
      </c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ht="18.75" customHeight="1">
      <c r="A40" s="114" t="s">
        <v>141</v>
      </c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ht="18.75" customHeight="1">
      <c r="A41" s="114" t="s">
        <v>142</v>
      </c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ht="18.75" customHeight="1">
      <c r="A42" s="66"/>
      <c r="B42" s="66"/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ht="18.75" customHeight="1">
      <c r="A43" s="66"/>
      <c r="B43" s="66"/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ht="18.75" customHeight="1">
      <c r="A44" s="66"/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ht="18.75" customHeight="1">
      <c r="A45" s="66"/>
      <c r="B45" s="66"/>
      <c r="C45" s="66"/>
      <c r="D45" s="66"/>
      <c r="E45" s="66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ht="18.75" customHeight="1">
      <c r="A46" s="66"/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ht="18.75" customHeight="1">
      <c r="A47" s="66"/>
      <c r="B47" s="66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ht="18.75" customHeight="1">
      <c r="A48" s="66"/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ht="18.75" customHeight="1">
      <c r="A49" s="66"/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ht="18.75" customHeight="1">
      <c r="A50" s="66"/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ht="18.75" customHeight="1">
      <c r="A51" s="66"/>
      <c r="B51" s="66"/>
      <c r="C51" s="66"/>
      <c r="D51" s="66"/>
      <c r="E51" s="66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ht="18.75" customHeight="1">
      <c r="A52" s="66"/>
      <c r="B52" s="66"/>
      <c r="C52" s="66"/>
      <c r="D52" s="66"/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ht="18.75" customHeight="1">
      <c r="A53" s="66"/>
      <c r="B53" s="66"/>
      <c r="C53" s="66"/>
      <c r="D53" s="66"/>
      <c r="E53" s="66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ht="18.75" customHeight="1">
      <c r="A54" s="66"/>
      <c r="B54" s="66"/>
      <c r="C54" s="66"/>
      <c r="D54" s="66"/>
      <c r="E54" s="66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ht="18.75" customHeight="1">
      <c r="A55" s="66"/>
      <c r="B55" s="66"/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ht="18.75" customHeight="1">
      <c r="A56" s="66"/>
      <c r="B56" s="66"/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ht="18.75" customHeight="1">
      <c r="A57" s="66"/>
      <c r="B57" s="66"/>
      <c r="C57" s="66"/>
      <c r="D57" s="66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ht="18.75" customHeight="1">
      <c r="A58" s="66"/>
      <c r="B58" s="66"/>
      <c r="C58" s="66"/>
      <c r="D58" s="66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ht="18.75" customHeight="1">
      <c r="A59" s="66"/>
      <c r="B59" s="66"/>
      <c r="C59" s="66"/>
      <c r="D59" s="66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ht="18.75" customHeight="1">
      <c r="A60" s="66"/>
      <c r="B60" s="66"/>
      <c r="C60" s="66"/>
      <c r="D60" s="66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ht="18.75" customHeight="1">
      <c r="A61" s="66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ht="18.75" customHeight="1">
      <c r="A62" s="66"/>
      <c r="B62" s="66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ht="18.75" customHeight="1">
      <c r="A63" s="66"/>
      <c r="B63" s="66"/>
      <c r="C63" s="66"/>
      <c r="D63" s="66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ht="18.7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ht="18.75" customHeight="1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ht="18.75" customHeight="1">
      <c r="A66" s="66"/>
      <c r="B66" s="66"/>
      <c r="C66" s="66"/>
      <c r="D66" s="66"/>
      <c r="E66" s="66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ht="18.75" customHeight="1">
      <c r="A67" s="66"/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ht="18.75" customHeight="1">
      <c r="A68" s="66"/>
      <c r="B68" s="66"/>
      <c r="C68" s="66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ht="18.75" customHeight="1">
      <c r="A69" s="66"/>
      <c r="B69" s="66"/>
      <c r="C69" s="66"/>
      <c r="D69" s="66"/>
      <c r="E69" s="66"/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ht="18.75" customHeight="1">
      <c r="A70" s="66"/>
      <c r="B70" s="66"/>
      <c r="C70" s="66"/>
      <c r="D70" s="66"/>
      <c r="E70" s="66"/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ht="18.75" customHeight="1">
      <c r="A71" s="66"/>
      <c r="B71" s="66"/>
      <c r="C71" s="66"/>
      <c r="D71" s="66"/>
      <c r="E71" s="66"/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ht="18.75" customHeight="1">
      <c r="A72" s="66"/>
      <c r="B72" s="66"/>
      <c r="C72" s="66"/>
      <c r="D72" s="66"/>
      <c r="E72" s="66"/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ht="18.75" customHeight="1">
      <c r="A73" s="66"/>
      <c r="B73" s="66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ht="18.75" customHeight="1">
      <c r="A74" s="66"/>
      <c r="B74" s="66"/>
      <c r="C74" s="66"/>
      <c r="D74" s="66"/>
      <c r="E74" s="66"/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ht="18.75" customHeight="1">
      <c r="A75" s="66"/>
      <c r="B75" s="66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ht="18.75" customHeight="1">
      <c r="A76" s="66"/>
      <c r="B76" s="66"/>
      <c r="C76" s="66"/>
      <c r="D76" s="66"/>
      <c r="E76" s="66"/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ht="18.75" customHeight="1">
      <c r="A77" s="66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ht="18.75" customHeight="1">
      <c r="A78" s="66"/>
      <c r="B78" s="66"/>
      <c r="C78" s="66"/>
      <c r="D78" s="66"/>
      <c r="E78" s="66"/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ht="18.75" customHeight="1">
      <c r="A79" s="66"/>
      <c r="B79" s="66"/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ht="18.75" customHeight="1">
      <c r="A80" s="66"/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ht="18.75" customHeight="1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ht="18.75" customHeight="1">
      <c r="A82" s="66"/>
      <c r="B82" s="66"/>
      <c r="C82" s="66"/>
      <c r="D82" s="66"/>
      <c r="E82" s="66"/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ht="18.75" customHeight="1">
      <c r="A83" s="66"/>
      <c r="B83" s="66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ht="18.75" customHeight="1">
      <c r="A84" s="66"/>
      <c r="B84" s="66"/>
      <c r="C84" s="66"/>
      <c r="D84" s="66"/>
      <c r="E84" s="66"/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ht="18.75" customHeight="1">
      <c r="A85" s="66"/>
      <c r="B85" s="66"/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ht="18.75" customHeight="1">
      <c r="A86" s="66"/>
      <c r="B86" s="66"/>
      <c r="C86" s="66"/>
      <c r="D86" s="66"/>
      <c r="E86" s="66"/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ht="18.75" customHeight="1">
      <c r="A87" s="66"/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ht="18.75" customHeight="1">
      <c r="A88" s="66"/>
      <c r="B88" s="66"/>
      <c r="C88" s="66"/>
      <c r="D88" s="66"/>
      <c r="E88" s="66"/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ht="18.75" customHeight="1">
      <c r="A89" s="66"/>
      <c r="B89" s="66"/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ht="18.75" customHeight="1">
      <c r="A90" s="66"/>
      <c r="B90" s="66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ht="18.75" customHeight="1">
      <c r="A91" s="66"/>
      <c r="B91" s="66"/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ht="18.75" customHeight="1">
      <c r="A92" s="66"/>
      <c r="B92" s="66"/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ht="18.75" customHeight="1">
      <c r="A93" s="66"/>
      <c r="B93" s="66"/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ht="18.75" customHeight="1">
      <c r="A94" s="66"/>
      <c r="B94" s="66"/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ht="18.75" customHeight="1">
      <c r="A95" s="66"/>
      <c r="B95" s="66"/>
      <c r="C95" s="66"/>
      <c r="D95" s="66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ht="18.75" customHeight="1">
      <c r="A96" s="66"/>
      <c r="B96" s="66"/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ht="18.75" customHeight="1">
      <c r="A97" s="66"/>
      <c r="B97" s="66"/>
      <c r="C97" s="66"/>
      <c r="D97" s="66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ht="18.75" customHeight="1">
      <c r="A98" s="66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ht="18.75" customHeight="1">
      <c r="A99" s="66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ht="18.75" customHeight="1">
      <c r="A100" s="66"/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ht="18.75" customHeight="1">
      <c r="A101" s="66"/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ht="18.75" customHeight="1">
      <c r="A102" s="66"/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ht="18.75" customHeight="1">
      <c r="A103" s="66"/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ht="18.75" customHeight="1">
      <c r="A104" s="66"/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ht="18.75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ht="18.75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ht="18.75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ht="18.75" customHeight="1">
      <c r="A108" s="66"/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ht="18.75" customHeight="1">
      <c r="A109" s="66"/>
      <c r="B109" s="66"/>
      <c r="C109" s="66"/>
      <c r="D109" s="66"/>
      <c r="E109" s="66"/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ht="18.75" customHeight="1">
      <c r="A110" s="66"/>
      <c r="B110" s="66"/>
      <c r="C110" s="66"/>
      <c r="D110" s="66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ht="18.75" customHeight="1">
      <c r="A111" s="66"/>
      <c r="B111" s="66"/>
      <c r="C111" s="66"/>
      <c r="D111" s="66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ht="18.75" customHeight="1">
      <c r="A112" s="66"/>
      <c r="B112" s="66"/>
      <c r="C112" s="66"/>
      <c r="D112" s="66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ht="18.75" customHeight="1">
      <c r="A113" s="66"/>
      <c r="B113" s="66"/>
      <c r="C113" s="66"/>
      <c r="D113" s="66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ht="18.75" customHeight="1">
      <c r="A114" s="66"/>
      <c r="B114" s="66"/>
      <c r="C114" s="66"/>
      <c r="D114" s="66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ht="18.75" customHeight="1">
      <c r="A115" s="66"/>
      <c r="B115" s="66"/>
      <c r="C115" s="66"/>
      <c r="D115" s="66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ht="18.75" customHeight="1">
      <c r="A116" s="66"/>
      <c r="B116" s="66"/>
      <c r="C116" s="66"/>
      <c r="D116" s="66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ht="18.75" customHeight="1">
      <c r="A117" s="66"/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ht="18.75" customHeight="1">
      <c r="A118" s="66"/>
      <c r="B118" s="66"/>
      <c r="C118" s="66"/>
      <c r="D118" s="66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ht="18.75" customHeight="1">
      <c r="A119" s="66"/>
      <c r="B119" s="66"/>
      <c r="C119" s="66"/>
      <c r="D119" s="66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ht="18.75" customHeight="1">
      <c r="A120" s="66"/>
      <c r="B120" s="66"/>
      <c r="C120" s="66"/>
      <c r="D120" s="66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ht="18.75" customHeight="1">
      <c r="A121" s="66"/>
      <c r="B121" s="66"/>
      <c r="C121" s="66"/>
      <c r="D121" s="66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ht="18.75" customHeight="1">
      <c r="A122" s="66"/>
      <c r="B122" s="66"/>
      <c r="C122" s="66"/>
      <c r="D122" s="66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ht="18.75" customHeight="1">
      <c r="A123" s="66"/>
      <c r="B123" s="66"/>
      <c r="C123" s="66"/>
      <c r="D123" s="66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ht="18.75" customHeight="1">
      <c r="A124" s="66"/>
      <c r="B124" s="66"/>
      <c r="C124" s="66"/>
      <c r="D124" s="66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ht="18.75" customHeight="1">
      <c r="A125" s="66"/>
      <c r="B125" s="66"/>
      <c r="C125" s="66"/>
      <c r="D125" s="66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ht="18.75" customHeight="1">
      <c r="A126" s="66"/>
      <c r="B126" s="66"/>
      <c r="C126" s="66"/>
      <c r="D126" s="66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ht="18.75" customHeight="1">
      <c r="A127" s="66"/>
      <c r="B127" s="66"/>
      <c r="C127" s="66"/>
      <c r="D127" s="66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ht="18.75" customHeight="1">
      <c r="A128" s="66"/>
      <c r="B128" s="66"/>
      <c r="C128" s="66"/>
      <c r="D128" s="66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ht="18.75" customHeight="1">
      <c r="A129" s="66"/>
      <c r="B129" s="66"/>
      <c r="C129" s="66"/>
      <c r="D129" s="66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ht="18.75" customHeight="1">
      <c r="A130" s="66"/>
      <c r="B130" s="66"/>
      <c r="C130" s="66"/>
      <c r="D130" s="66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ht="18.75" customHeight="1">
      <c r="A131" s="66"/>
      <c r="B131" s="66"/>
      <c r="C131" s="66"/>
      <c r="D131" s="66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ht="18.75" customHeight="1">
      <c r="A132" s="66"/>
      <c r="B132" s="66"/>
      <c r="C132" s="66"/>
      <c r="D132" s="66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ht="18.75" customHeight="1">
      <c r="A133" s="66"/>
      <c r="B133" s="66"/>
      <c r="C133" s="66"/>
      <c r="D133" s="66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ht="18.75" customHeight="1">
      <c r="A134" s="66"/>
      <c r="B134" s="66"/>
      <c r="C134" s="66"/>
      <c r="D134" s="66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ht="18.75" customHeight="1">
      <c r="A135" s="66"/>
      <c r="B135" s="66"/>
      <c r="C135" s="66"/>
      <c r="D135" s="66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ht="18.75" customHeight="1">
      <c r="A136" s="66"/>
      <c r="B136" s="66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ht="18.75" customHeight="1">
      <c r="A137" s="66"/>
      <c r="B137" s="66"/>
      <c r="C137" s="66"/>
      <c r="D137" s="66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ht="18.75" customHeight="1">
      <c r="A138" s="66"/>
      <c r="B138" s="66"/>
      <c r="C138" s="66"/>
      <c r="D138" s="66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ht="18.75" customHeight="1">
      <c r="A139" s="66"/>
      <c r="B139" s="66"/>
      <c r="C139" s="66"/>
      <c r="D139" s="66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ht="18.75" customHeight="1">
      <c r="A140" s="66"/>
      <c r="B140" s="66"/>
      <c r="C140" s="66"/>
      <c r="D140" s="66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ht="18.75" customHeight="1">
      <c r="A141" s="66"/>
      <c r="B141" s="66"/>
      <c r="C141" s="66"/>
      <c r="D141" s="66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ht="18.75" customHeight="1">
      <c r="A142" s="66"/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ht="18.75" customHeight="1">
      <c r="A143" s="66"/>
      <c r="B143" s="66"/>
      <c r="C143" s="66"/>
      <c r="D143" s="66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ht="18.75" customHeight="1">
      <c r="A144" s="66"/>
      <c r="B144" s="66"/>
      <c r="C144" s="66"/>
      <c r="D144" s="66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ht="18.75" customHeight="1">
      <c r="A145" s="66"/>
      <c r="B145" s="66"/>
      <c r="C145" s="66"/>
      <c r="D145" s="66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ht="18.75" customHeight="1">
      <c r="A146" s="66"/>
      <c r="B146" s="66"/>
      <c r="C146" s="66"/>
      <c r="D146" s="66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ht="18.75" customHeight="1">
      <c r="A147" s="66"/>
      <c r="B147" s="66"/>
      <c r="C147" s="66"/>
      <c r="D147" s="66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ht="18.75" customHeight="1">
      <c r="A148" s="66"/>
      <c r="B148" s="66"/>
      <c r="C148" s="66"/>
      <c r="D148" s="66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ht="18.75" customHeight="1">
      <c r="A149" s="66"/>
      <c r="B149" s="66"/>
      <c r="C149" s="66"/>
      <c r="D149" s="66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ht="18.75" customHeight="1">
      <c r="A150" s="66"/>
      <c r="B150" s="66"/>
      <c r="C150" s="66"/>
      <c r="D150" s="66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ht="18.75" customHeight="1">
      <c r="A151" s="66"/>
      <c r="B151" s="66"/>
      <c r="C151" s="66"/>
      <c r="D151" s="66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ht="18.75" customHeight="1">
      <c r="A152" s="66"/>
      <c r="B152" s="66"/>
      <c r="C152" s="66"/>
      <c r="D152" s="66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ht="18.75" customHeight="1">
      <c r="A153" s="66"/>
      <c r="B153" s="66"/>
      <c r="C153" s="66"/>
      <c r="D153" s="66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ht="18.75" customHeight="1">
      <c r="A154" s="66"/>
      <c r="B154" s="66"/>
      <c r="C154" s="66"/>
      <c r="D154" s="66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ht="18.75" customHeight="1">
      <c r="A155" s="66"/>
      <c r="B155" s="66"/>
      <c r="C155" s="66"/>
      <c r="D155" s="66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ht="18.75" customHeight="1">
      <c r="A156" s="66"/>
      <c r="B156" s="66"/>
      <c r="C156" s="66"/>
      <c r="D156" s="66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ht="18.75" customHeight="1">
      <c r="A157" s="66"/>
      <c r="B157" s="66"/>
      <c r="C157" s="66"/>
      <c r="D157" s="66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ht="18.75" customHeight="1">
      <c r="A158" s="66"/>
      <c r="B158" s="66"/>
      <c r="C158" s="66"/>
      <c r="D158" s="66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ht="18.75" customHeight="1">
      <c r="A159" s="66"/>
      <c r="B159" s="66"/>
      <c r="C159" s="66"/>
      <c r="D159" s="66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ht="18.75" customHeight="1">
      <c r="A160" s="66"/>
      <c r="B160" s="66"/>
      <c r="C160" s="66"/>
      <c r="D160" s="66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ht="18.75" customHeight="1">
      <c r="A161" s="66"/>
      <c r="B161" s="66"/>
      <c r="C161" s="66"/>
      <c r="D161" s="66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ht="18.75" customHeight="1">
      <c r="A162" s="66"/>
      <c r="B162" s="66"/>
      <c r="C162" s="66"/>
      <c r="D162" s="66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ht="18.75" customHeight="1">
      <c r="A163" s="66"/>
      <c r="B163" s="66"/>
      <c r="C163" s="66"/>
      <c r="D163" s="66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ht="18.75" customHeight="1">
      <c r="A164" s="66"/>
      <c r="B164" s="66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ht="18.75" customHeight="1">
      <c r="A165" s="66"/>
      <c r="B165" s="66"/>
      <c r="C165" s="66"/>
      <c r="D165" s="66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ht="18.75" customHeight="1">
      <c r="A166" s="66"/>
      <c r="B166" s="66"/>
      <c r="C166" s="66"/>
      <c r="D166" s="66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ht="18.75" customHeight="1">
      <c r="A167" s="66"/>
      <c r="B167" s="66"/>
      <c r="C167" s="66"/>
      <c r="D167" s="66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ht="18.75" customHeight="1">
      <c r="A168" s="66"/>
      <c r="B168" s="66"/>
      <c r="C168" s="66"/>
      <c r="D168" s="66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ht="18.75" customHeight="1">
      <c r="A169" s="66"/>
      <c r="B169" s="66"/>
      <c r="C169" s="66"/>
      <c r="D169" s="66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ht="18.75" customHeight="1">
      <c r="A170" s="66"/>
      <c r="B170" s="66"/>
      <c r="C170" s="66"/>
      <c r="D170" s="66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ht="18.75" customHeight="1">
      <c r="A171" s="66"/>
      <c r="B171" s="66"/>
      <c r="C171" s="66"/>
      <c r="D171" s="66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ht="18.75" customHeight="1">
      <c r="A172" s="66"/>
      <c r="B172" s="66"/>
      <c r="C172" s="66"/>
      <c r="D172" s="66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ht="18.75" customHeight="1">
      <c r="A173" s="66"/>
      <c r="B173" s="66"/>
      <c r="C173" s="66"/>
      <c r="D173" s="66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ht="18.75" customHeight="1">
      <c r="A174" s="66"/>
      <c r="B174" s="66"/>
      <c r="C174" s="66"/>
      <c r="D174" s="66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ht="18.75" customHeight="1">
      <c r="A175" s="66"/>
      <c r="B175" s="66"/>
      <c r="C175" s="66"/>
      <c r="D175" s="66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ht="18.75" customHeight="1">
      <c r="A176" s="66"/>
      <c r="B176" s="66"/>
      <c r="C176" s="66"/>
      <c r="D176" s="66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ht="18.75" customHeight="1">
      <c r="A177" s="66"/>
      <c r="B177" s="66"/>
      <c r="C177" s="66"/>
      <c r="D177" s="66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ht="18.75" customHeight="1">
      <c r="A178" s="66"/>
      <c r="B178" s="66"/>
      <c r="C178" s="66"/>
      <c r="D178" s="66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ht="18.75" customHeight="1">
      <c r="A179" s="66"/>
      <c r="B179" s="66"/>
      <c r="C179" s="66"/>
      <c r="D179" s="66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ht="18.75" customHeight="1">
      <c r="A180" s="66"/>
      <c r="B180" s="66"/>
      <c r="C180" s="66"/>
      <c r="D180" s="66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ht="18.75" customHeight="1">
      <c r="A181" s="66"/>
      <c r="B181" s="66"/>
      <c r="C181" s="66"/>
      <c r="D181" s="66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ht="18.75" customHeight="1">
      <c r="A182" s="66"/>
      <c r="B182" s="66"/>
      <c r="C182" s="66"/>
      <c r="D182" s="66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ht="18.75" customHeight="1">
      <c r="A183" s="66"/>
      <c r="B183" s="66"/>
      <c r="C183" s="66"/>
      <c r="D183" s="66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ht="18.75" customHeight="1">
      <c r="A184" s="66"/>
      <c r="B184" s="66"/>
      <c r="C184" s="66"/>
      <c r="D184" s="66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ht="18.75" customHeight="1">
      <c r="A185" s="66"/>
      <c r="B185" s="66"/>
      <c r="C185" s="66"/>
      <c r="D185" s="66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ht="18.75" customHeight="1">
      <c r="A186" s="66"/>
      <c r="B186" s="66"/>
      <c r="C186" s="66"/>
      <c r="D186" s="66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ht="18.75" customHeight="1">
      <c r="A187" s="66"/>
      <c r="B187" s="66"/>
      <c r="C187" s="66"/>
      <c r="D187" s="66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ht="18.75" customHeight="1">
      <c r="A188" s="66"/>
      <c r="B188" s="66"/>
      <c r="C188" s="66"/>
      <c r="D188" s="66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ht="18.75" customHeight="1">
      <c r="A189" s="66"/>
      <c r="B189" s="66"/>
      <c r="C189" s="66"/>
      <c r="D189" s="66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ht="18.75" customHeight="1">
      <c r="A190" s="66"/>
      <c r="B190" s="66"/>
      <c r="C190" s="66"/>
      <c r="D190" s="66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ht="18.75" customHeight="1">
      <c r="A191" s="66"/>
      <c r="B191" s="66"/>
      <c r="C191" s="66"/>
      <c r="D191" s="66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ht="18.75" customHeight="1">
      <c r="A192" s="66"/>
      <c r="B192" s="66"/>
      <c r="C192" s="66"/>
      <c r="D192" s="66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ht="18.75" customHeight="1">
      <c r="A193" s="66"/>
      <c r="B193" s="66"/>
      <c r="C193" s="66"/>
      <c r="D193" s="66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ht="18.75" customHeight="1">
      <c r="A194" s="66"/>
      <c r="B194" s="66"/>
      <c r="C194" s="66"/>
      <c r="D194" s="66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ht="18.75" customHeight="1">
      <c r="A195" s="66"/>
      <c r="B195" s="66"/>
      <c r="C195" s="66"/>
      <c r="D195" s="66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ht="18.75" customHeight="1">
      <c r="A196" s="66"/>
      <c r="B196" s="66"/>
      <c r="C196" s="66"/>
      <c r="D196" s="66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ht="18.75" customHeight="1">
      <c r="A197" s="66"/>
      <c r="B197" s="66"/>
      <c r="C197" s="66"/>
      <c r="D197" s="66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ht="18.75" customHeight="1">
      <c r="A198" s="66"/>
      <c r="B198" s="66"/>
      <c r="C198" s="66"/>
      <c r="D198" s="66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ht="18.75" customHeight="1">
      <c r="A199" s="66"/>
      <c r="B199" s="66"/>
      <c r="C199" s="66"/>
      <c r="D199" s="66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ht="18.75" customHeight="1">
      <c r="A200" s="66"/>
      <c r="B200" s="66"/>
      <c r="C200" s="66"/>
      <c r="D200" s="66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ht="18.75" customHeight="1">
      <c r="A201" s="66"/>
      <c r="B201" s="66"/>
      <c r="C201" s="66"/>
      <c r="D201" s="66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ht="18.75" customHeight="1">
      <c r="A202" s="66"/>
      <c r="B202" s="66"/>
      <c r="C202" s="66"/>
      <c r="D202" s="66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ht="18.75" customHeight="1">
      <c r="A203" s="66"/>
      <c r="B203" s="66"/>
      <c r="C203" s="66"/>
      <c r="D203" s="66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ht="18.75" customHeight="1">
      <c r="A204" s="66"/>
      <c r="B204" s="66"/>
      <c r="C204" s="66"/>
      <c r="D204" s="66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ht="18.75" customHeight="1">
      <c r="A205" s="66"/>
      <c r="B205" s="66"/>
      <c r="C205" s="66"/>
      <c r="D205" s="66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ht="18.75" customHeight="1">
      <c r="A206" s="66"/>
      <c r="B206" s="66"/>
      <c r="C206" s="66"/>
      <c r="D206" s="66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ht="18.75" customHeight="1">
      <c r="A207" s="66"/>
      <c r="B207" s="66"/>
      <c r="C207" s="66"/>
      <c r="D207" s="66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ht="18.75" customHeight="1">
      <c r="A208" s="66"/>
      <c r="B208" s="66"/>
      <c r="C208" s="66"/>
      <c r="D208" s="66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ht="18.75" customHeight="1">
      <c r="A209" s="66"/>
      <c r="B209" s="66"/>
      <c r="C209" s="66"/>
      <c r="D209" s="66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ht="18.75" customHeight="1">
      <c r="A210" s="66"/>
      <c r="B210" s="66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ht="18.75" customHeight="1">
      <c r="A211" s="66"/>
      <c r="B211" s="66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ht="18.75" customHeight="1">
      <c r="A212" s="66"/>
      <c r="B212" s="66"/>
      <c r="C212" s="66"/>
      <c r="D212" s="66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ht="18.75" customHeight="1">
      <c r="A213" s="66"/>
      <c r="B213" s="66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ht="18.75" customHeight="1">
      <c r="A214" s="66"/>
      <c r="B214" s="66"/>
      <c r="C214" s="66"/>
      <c r="D214" s="66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ht="18.75" customHeight="1">
      <c r="A215" s="66"/>
      <c r="B215" s="66"/>
      <c r="C215" s="66"/>
      <c r="D215" s="66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ht="18.75" customHeight="1">
      <c r="A216" s="66"/>
      <c r="B216" s="66"/>
      <c r="C216" s="66"/>
      <c r="D216" s="66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ht="18.75" customHeight="1">
      <c r="A217" s="66"/>
      <c r="B217" s="66"/>
      <c r="C217" s="66"/>
      <c r="D217" s="66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ht="18.75" customHeight="1">
      <c r="A218" s="66"/>
      <c r="B218" s="66"/>
      <c r="C218" s="66"/>
      <c r="D218" s="66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ht="18.75" customHeight="1">
      <c r="A219" s="66"/>
      <c r="B219" s="66"/>
      <c r="C219" s="66"/>
      <c r="D219" s="66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ht="18.75" customHeight="1">
      <c r="A220" s="66"/>
      <c r="B220" s="66"/>
      <c r="C220" s="66"/>
      <c r="D220" s="66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ht="18.75" customHeight="1">
      <c r="A221" s="66"/>
      <c r="B221" s="66"/>
      <c r="C221" s="66"/>
      <c r="D221" s="66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ht="18.75" customHeight="1">
      <c r="A222" s="66"/>
      <c r="B222" s="66"/>
      <c r="C222" s="66"/>
      <c r="D222" s="66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ht="18.75" customHeight="1">
      <c r="A223" s="66"/>
      <c r="B223" s="66"/>
      <c r="C223" s="66"/>
      <c r="D223" s="66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ht="18.75" customHeight="1">
      <c r="A224" s="66"/>
      <c r="B224" s="66"/>
      <c r="C224" s="66"/>
      <c r="D224" s="66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ht="18.75" customHeight="1">
      <c r="A225" s="66"/>
      <c r="B225" s="66"/>
      <c r="C225" s="66"/>
      <c r="D225" s="66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ht="18.75" customHeight="1">
      <c r="A226" s="66"/>
      <c r="B226" s="66"/>
      <c r="C226" s="66"/>
      <c r="D226" s="66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ht="18.75" customHeight="1">
      <c r="A227" s="66"/>
      <c r="B227" s="66"/>
      <c r="C227" s="66"/>
      <c r="D227" s="66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ht="18.75" customHeight="1">
      <c r="A228" s="66"/>
      <c r="B228" s="66"/>
      <c r="C228" s="66"/>
      <c r="D228" s="66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ht="18.75" customHeight="1">
      <c r="A229" s="66"/>
      <c r="B229" s="66"/>
      <c r="C229" s="66"/>
      <c r="D229" s="66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ht="18.75" customHeight="1">
      <c r="A230" s="66"/>
      <c r="B230" s="66"/>
      <c r="C230" s="66"/>
      <c r="D230" s="66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ht="18.75" customHeight="1">
      <c r="A231" s="66"/>
      <c r="B231" s="66"/>
      <c r="C231" s="66"/>
      <c r="D231" s="66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ht="18.75" customHeight="1">
      <c r="A232" s="66"/>
      <c r="B232" s="66"/>
      <c r="C232" s="66"/>
      <c r="D232" s="66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ht="18.75" customHeight="1">
      <c r="A233" s="66"/>
      <c r="B233" s="66"/>
      <c r="C233" s="66"/>
      <c r="D233" s="66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ht="18.75" customHeight="1">
      <c r="A234" s="66"/>
      <c r="B234" s="66"/>
      <c r="C234" s="66"/>
      <c r="D234" s="66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ht="18.75" customHeight="1">
      <c r="A235" s="66"/>
      <c r="B235" s="66"/>
      <c r="C235" s="66"/>
      <c r="D235" s="66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ht="18.75" customHeight="1">
      <c r="A236" s="66"/>
      <c r="B236" s="66"/>
      <c r="C236" s="66"/>
      <c r="D236" s="66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ht="18.75" customHeight="1">
      <c r="A237" s="66"/>
      <c r="B237" s="66"/>
      <c r="C237" s="66"/>
      <c r="D237" s="66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ht="18.75" customHeight="1">
      <c r="A238" s="66"/>
      <c r="B238" s="66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ht="18.75" customHeight="1">
      <c r="A239" s="66"/>
      <c r="B239" s="66"/>
      <c r="C239" s="66"/>
      <c r="D239" s="66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ht="18.75" customHeight="1">
      <c r="A240" s="66"/>
      <c r="B240" s="66"/>
      <c r="C240" s="66"/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ht="18.75" customHeight="1">
      <c r="A241" s="66"/>
      <c r="B241" s="66"/>
      <c r="C241" s="66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ht="18.75" customHeight="1">
      <c r="A242" s="66"/>
      <c r="B242" s="66"/>
      <c r="C242" s="66"/>
      <c r="D242" s="66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ht="18.75" customHeight="1">
      <c r="A243" s="66"/>
      <c r="B243" s="66"/>
      <c r="C243" s="66"/>
      <c r="D243" s="66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ht="18.75" customHeight="1">
      <c r="A244" s="66"/>
      <c r="B244" s="66"/>
      <c r="C244" s="66"/>
      <c r="D244" s="66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ht="18.75" customHeight="1">
      <c r="A245" s="66"/>
      <c r="B245" s="66"/>
      <c r="C245" s="66"/>
      <c r="D245" s="66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ht="18.75" customHeight="1">
      <c r="A246" s="66"/>
      <c r="B246" s="66"/>
      <c r="C246" s="66"/>
      <c r="D246" s="66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ht="18.75" customHeight="1">
      <c r="A247" s="66"/>
      <c r="B247" s="66"/>
      <c r="C247" s="66"/>
      <c r="D247" s="66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ht="18.75" customHeight="1">
      <c r="A248" s="66"/>
      <c r="B248" s="66"/>
      <c r="C248" s="66"/>
      <c r="D248" s="66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ht="18.75" customHeight="1">
      <c r="A249" s="66"/>
      <c r="B249" s="66"/>
      <c r="C249" s="66"/>
      <c r="D249" s="66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ht="18.75" customHeight="1">
      <c r="A250" s="66"/>
      <c r="B250" s="66"/>
      <c r="C250" s="66"/>
      <c r="D250" s="66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ht="18.75" customHeight="1">
      <c r="A251" s="66"/>
      <c r="B251" s="66"/>
      <c r="C251" s="66"/>
      <c r="D251" s="66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ht="18.75" customHeight="1">
      <c r="A252" s="66"/>
      <c r="B252" s="66"/>
      <c r="C252" s="66"/>
      <c r="D252" s="66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ht="18.75" customHeight="1">
      <c r="A253" s="66"/>
      <c r="B253" s="66"/>
      <c r="C253" s="66"/>
      <c r="D253" s="66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ht="18.75" customHeight="1">
      <c r="A254" s="66"/>
      <c r="B254" s="66"/>
      <c r="C254" s="66"/>
      <c r="D254" s="66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ht="18.75" customHeight="1">
      <c r="A255" s="66"/>
      <c r="B255" s="66"/>
      <c r="C255" s="66"/>
      <c r="D255" s="66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ht="18.75" customHeight="1">
      <c r="A256" s="66"/>
      <c r="B256" s="66"/>
      <c r="C256" s="66"/>
      <c r="D256" s="66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ht="18.75" customHeight="1">
      <c r="A257" s="66"/>
      <c r="B257" s="66"/>
      <c r="C257" s="66"/>
      <c r="D257" s="66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ht="18.75" customHeight="1">
      <c r="A258" s="66"/>
      <c r="B258" s="66"/>
      <c r="C258" s="66"/>
      <c r="D258" s="66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ht="18.75" customHeight="1">
      <c r="A259" s="66"/>
      <c r="B259" s="66"/>
      <c r="C259" s="66"/>
      <c r="D259" s="66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ht="18.75" customHeight="1">
      <c r="A260" s="66"/>
      <c r="B260" s="66"/>
      <c r="C260" s="66"/>
      <c r="D260" s="66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ht="18.75" customHeight="1">
      <c r="A261" s="66"/>
      <c r="B261" s="66"/>
      <c r="C261" s="66"/>
      <c r="D261" s="66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ht="18.75" customHeight="1">
      <c r="A262" s="66"/>
      <c r="B262" s="66"/>
      <c r="C262" s="66"/>
      <c r="D262" s="66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ht="18.75" customHeight="1">
      <c r="A263" s="66"/>
      <c r="B263" s="66"/>
      <c r="C263" s="66"/>
      <c r="D263" s="66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ht="18.75" customHeight="1">
      <c r="A264" s="66"/>
      <c r="B264" s="66"/>
      <c r="C264" s="66"/>
      <c r="D264" s="66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ht="18.75" customHeight="1">
      <c r="A265" s="66"/>
      <c r="B265" s="66"/>
      <c r="C265" s="66"/>
      <c r="D265" s="66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ht="18.75" customHeight="1">
      <c r="A266" s="66"/>
      <c r="B266" s="66"/>
      <c r="C266" s="66"/>
      <c r="D266" s="66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ht="18.75" customHeight="1">
      <c r="A267" s="66"/>
      <c r="B267" s="66"/>
      <c r="C267" s="66"/>
      <c r="D267" s="66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ht="18.75" customHeight="1">
      <c r="A268" s="66"/>
      <c r="B268" s="66"/>
      <c r="C268" s="66"/>
      <c r="D268" s="66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ht="18.75" customHeight="1">
      <c r="A269" s="66"/>
      <c r="B269" s="66"/>
      <c r="C269" s="66"/>
      <c r="D269" s="66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ht="18.75" customHeight="1">
      <c r="A270" s="66"/>
      <c r="B270" s="66"/>
      <c r="C270" s="66"/>
      <c r="D270" s="66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ht="18.75" customHeight="1">
      <c r="A271" s="66"/>
      <c r="B271" s="66"/>
      <c r="C271" s="66"/>
      <c r="D271" s="66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ht="18.75" customHeight="1">
      <c r="A272" s="66"/>
      <c r="B272" s="66"/>
      <c r="C272" s="66"/>
      <c r="D272" s="66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ht="18.75" customHeight="1">
      <c r="A273" s="66"/>
      <c r="B273" s="66"/>
      <c r="C273" s="66"/>
      <c r="D273" s="66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ht="18.75" customHeight="1">
      <c r="A274" s="66"/>
      <c r="B274" s="66"/>
      <c r="C274" s="66"/>
      <c r="D274" s="66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ht="18.75" customHeight="1">
      <c r="A275" s="66"/>
      <c r="B275" s="66"/>
      <c r="C275" s="66"/>
      <c r="D275" s="66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ht="18.75" customHeight="1">
      <c r="A276" s="66"/>
      <c r="B276" s="66"/>
      <c r="C276" s="66"/>
      <c r="D276" s="66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ht="18.75" customHeight="1">
      <c r="A277" s="66"/>
      <c r="B277" s="66"/>
      <c r="C277" s="66"/>
      <c r="D277" s="66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ht="18.75" customHeight="1">
      <c r="A278" s="66"/>
      <c r="B278" s="66"/>
      <c r="C278" s="66"/>
      <c r="D278" s="66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ht="18.75" customHeight="1">
      <c r="A279" s="66"/>
      <c r="B279" s="66"/>
      <c r="C279" s="66"/>
      <c r="D279" s="66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ht="18.75" customHeight="1">
      <c r="A280" s="66"/>
      <c r="B280" s="66"/>
      <c r="C280" s="66"/>
      <c r="D280" s="66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ht="18.75" customHeight="1">
      <c r="A281" s="66"/>
      <c r="B281" s="66"/>
      <c r="C281" s="66"/>
      <c r="D281" s="66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ht="18.75" customHeight="1">
      <c r="A282" s="66"/>
      <c r="B282" s="66"/>
      <c r="C282" s="66"/>
      <c r="D282" s="66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ht="18.75" customHeight="1">
      <c r="A283" s="66"/>
      <c r="B283" s="66"/>
      <c r="C283" s="66"/>
      <c r="D283" s="66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ht="18.75" customHeight="1">
      <c r="A284" s="66"/>
      <c r="B284" s="66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ht="18.75" customHeight="1">
      <c r="A285" s="66"/>
      <c r="B285" s="66"/>
      <c r="C285" s="66"/>
      <c r="D285" s="66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ht="18.75" customHeight="1">
      <c r="A286" s="66"/>
      <c r="B286" s="66"/>
      <c r="C286" s="66"/>
      <c r="D286" s="66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ht="18.75" customHeight="1">
      <c r="A287" s="66"/>
      <c r="B287" s="66"/>
      <c r="C287" s="66"/>
      <c r="D287" s="66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ht="18.75" customHeight="1">
      <c r="A288" s="66"/>
      <c r="B288" s="66"/>
      <c r="C288" s="66"/>
      <c r="D288" s="66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ht="18.75" customHeight="1">
      <c r="A289" s="66"/>
      <c r="B289" s="66"/>
      <c r="C289" s="66"/>
      <c r="D289" s="66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ht="18.75" customHeight="1">
      <c r="A290" s="66"/>
      <c r="B290" s="66"/>
      <c r="C290" s="66"/>
      <c r="D290" s="66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ht="18.75" customHeight="1">
      <c r="A291" s="66"/>
      <c r="B291" s="66"/>
      <c r="C291" s="66"/>
      <c r="D291" s="66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ht="18.75" customHeight="1">
      <c r="A292" s="66"/>
      <c r="B292" s="66"/>
      <c r="C292" s="66"/>
      <c r="D292" s="66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ht="18.75" customHeight="1">
      <c r="A293" s="66"/>
      <c r="B293" s="66"/>
      <c r="C293" s="66"/>
      <c r="D293" s="66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ht="18.75" customHeight="1">
      <c r="A294" s="66"/>
      <c r="B294" s="66"/>
      <c r="C294" s="66"/>
      <c r="D294" s="66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ht="18.75" customHeight="1">
      <c r="A295" s="66"/>
      <c r="B295" s="66"/>
      <c r="C295" s="66"/>
      <c r="D295" s="66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ht="18.75" customHeight="1">
      <c r="A296" s="66"/>
      <c r="B296" s="66"/>
      <c r="C296" s="66"/>
      <c r="D296" s="66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ht="18.75" customHeight="1">
      <c r="A297" s="66"/>
      <c r="B297" s="66"/>
      <c r="C297" s="66"/>
      <c r="D297" s="66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ht="18.75" customHeight="1">
      <c r="A298" s="66"/>
      <c r="B298" s="66"/>
      <c r="C298" s="66"/>
      <c r="D298" s="66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ht="18.75" customHeight="1">
      <c r="A299" s="66"/>
      <c r="B299" s="66"/>
      <c r="C299" s="66"/>
      <c r="D299" s="66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ht="18.75" customHeight="1">
      <c r="A300" s="66"/>
      <c r="B300" s="66"/>
      <c r="C300" s="66"/>
      <c r="D300" s="66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ht="18.75" customHeight="1">
      <c r="A301" s="66"/>
      <c r="B301" s="66"/>
      <c r="C301" s="66"/>
      <c r="D301" s="66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ht="18.75" customHeight="1">
      <c r="A302" s="66"/>
      <c r="B302" s="66"/>
      <c r="C302" s="66"/>
      <c r="D302" s="66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ht="18.75" customHeight="1">
      <c r="A303" s="66"/>
      <c r="B303" s="66"/>
      <c r="C303" s="66"/>
      <c r="D303" s="66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ht="18.75" customHeight="1">
      <c r="A304" s="66"/>
      <c r="B304" s="66"/>
      <c r="C304" s="66"/>
      <c r="D304" s="66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ht="18.75" customHeight="1">
      <c r="A305" s="66"/>
      <c r="B305" s="66"/>
      <c r="C305" s="66"/>
      <c r="D305" s="66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ht="18.75" customHeight="1">
      <c r="A306" s="66"/>
      <c r="B306" s="66"/>
      <c r="C306" s="66"/>
      <c r="D306" s="66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ht="18.75" customHeight="1">
      <c r="A307" s="66"/>
      <c r="B307" s="66"/>
      <c r="C307" s="66"/>
      <c r="D307" s="66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ht="18.75" customHeight="1">
      <c r="A308" s="66"/>
      <c r="B308" s="66"/>
      <c r="C308" s="66"/>
      <c r="D308" s="66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ht="18.75" customHeight="1">
      <c r="A309" s="66"/>
      <c r="B309" s="66"/>
      <c r="C309" s="66"/>
      <c r="D309" s="66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ht="18.75" customHeight="1">
      <c r="A310" s="66"/>
      <c r="B310" s="66"/>
      <c r="C310" s="66"/>
      <c r="D310" s="66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ht="18.75" customHeight="1">
      <c r="A311" s="66"/>
      <c r="B311" s="66"/>
      <c r="C311" s="66"/>
      <c r="D311" s="66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ht="18.75" customHeight="1">
      <c r="A312" s="66"/>
      <c r="B312" s="66"/>
      <c r="C312" s="66"/>
      <c r="D312" s="66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ht="18.75" customHeight="1">
      <c r="A313" s="66"/>
      <c r="B313" s="66"/>
      <c r="C313" s="66"/>
      <c r="D313" s="66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ht="18.75" customHeight="1">
      <c r="A314" s="66"/>
      <c r="B314" s="66"/>
      <c r="C314" s="66"/>
      <c r="D314" s="66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8.75" customHeight="1">
      <c r="A315" s="66"/>
      <c r="B315" s="66"/>
      <c r="C315" s="66"/>
      <c r="D315" s="66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ht="18.75" customHeight="1">
      <c r="A316" s="66"/>
      <c r="B316" s="66"/>
      <c r="C316" s="66"/>
      <c r="D316" s="66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ht="18.75" customHeight="1">
      <c r="A317" s="66"/>
      <c r="B317" s="66"/>
      <c r="C317" s="66"/>
      <c r="D317" s="66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ht="18.75" customHeight="1">
      <c r="A318" s="66"/>
      <c r="B318" s="66"/>
      <c r="C318" s="66"/>
      <c r="D318" s="66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ht="18.75" customHeight="1">
      <c r="A319" s="66"/>
      <c r="B319" s="66"/>
      <c r="C319" s="66"/>
      <c r="D319" s="66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ht="18.75" customHeight="1">
      <c r="A320" s="66"/>
      <c r="B320" s="66"/>
      <c r="C320" s="66"/>
      <c r="D320" s="66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ht="18.75" customHeight="1">
      <c r="A321" s="66"/>
      <c r="B321" s="66"/>
      <c r="C321" s="66"/>
      <c r="D321" s="66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ht="18.75" customHeight="1">
      <c r="A322" s="66"/>
      <c r="B322" s="66"/>
      <c r="C322" s="66"/>
      <c r="D322" s="66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ht="18.75" customHeight="1">
      <c r="A323" s="66"/>
      <c r="B323" s="66"/>
      <c r="C323" s="66"/>
      <c r="D323" s="66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ht="18.75" customHeight="1">
      <c r="A324" s="66"/>
      <c r="B324" s="66"/>
      <c r="C324" s="66"/>
      <c r="D324" s="66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ht="18.75" customHeight="1">
      <c r="A325" s="66"/>
      <c r="B325" s="66"/>
      <c r="C325" s="66"/>
      <c r="D325" s="66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ht="18.75" customHeight="1">
      <c r="A326" s="66"/>
      <c r="B326" s="66"/>
      <c r="C326" s="66"/>
      <c r="D326" s="66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ht="18.75" customHeight="1">
      <c r="A327" s="66"/>
      <c r="B327" s="66"/>
      <c r="C327" s="66"/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ht="18.75" customHeight="1">
      <c r="A328" s="66"/>
      <c r="B328" s="66"/>
      <c r="C328" s="66"/>
      <c r="D328" s="66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ht="18.75" customHeight="1">
      <c r="A329" s="66"/>
      <c r="B329" s="66"/>
      <c r="C329" s="66"/>
      <c r="D329" s="66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ht="18.75" customHeight="1">
      <c r="A330" s="66"/>
      <c r="B330" s="66"/>
      <c r="C330" s="66"/>
      <c r="D330" s="66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ht="18.75" customHeight="1">
      <c r="A331" s="66"/>
      <c r="B331" s="66"/>
      <c r="C331" s="66"/>
      <c r="D331" s="66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ht="18.75" customHeight="1">
      <c r="A332" s="66"/>
      <c r="B332" s="66"/>
      <c r="C332" s="66"/>
      <c r="D332" s="66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ht="18.75" customHeight="1">
      <c r="A333" s="66"/>
      <c r="B333" s="66"/>
      <c r="C333" s="66"/>
      <c r="D333" s="66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ht="18.75" customHeight="1">
      <c r="A334" s="66"/>
      <c r="B334" s="66"/>
      <c r="C334" s="66"/>
      <c r="D334" s="66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ht="18.75" customHeight="1">
      <c r="A335" s="66"/>
      <c r="B335" s="66"/>
      <c r="C335" s="66"/>
      <c r="D335" s="66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ht="18.75" customHeight="1">
      <c r="A336" s="66"/>
      <c r="B336" s="66"/>
      <c r="C336" s="66"/>
      <c r="D336" s="66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ht="18.75" customHeight="1">
      <c r="A337" s="66"/>
      <c r="B337" s="66"/>
      <c r="C337" s="66"/>
      <c r="D337" s="66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ht="18.75" customHeight="1">
      <c r="A338" s="66"/>
      <c r="B338" s="66"/>
      <c r="C338" s="66"/>
      <c r="D338" s="66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ht="18.75" customHeight="1">
      <c r="A339" s="66"/>
      <c r="B339" s="66"/>
      <c r="C339" s="66"/>
      <c r="D339" s="66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ht="18.75" customHeight="1">
      <c r="A340" s="66"/>
      <c r="B340" s="66"/>
      <c r="C340" s="66"/>
      <c r="D340" s="66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ht="18.75" customHeight="1">
      <c r="A341" s="66"/>
      <c r="B341" s="66"/>
      <c r="C341" s="66"/>
      <c r="D341" s="66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ht="18.75" customHeight="1">
      <c r="A342" s="66"/>
      <c r="B342" s="66"/>
      <c r="C342" s="66"/>
      <c r="D342" s="66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ht="18.75" customHeight="1">
      <c r="A343" s="66"/>
      <c r="B343" s="66"/>
      <c r="C343" s="66"/>
      <c r="D343" s="66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ht="18.75" customHeight="1">
      <c r="A344" s="66"/>
      <c r="B344" s="66"/>
      <c r="C344" s="66"/>
      <c r="D344" s="66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ht="18.75" customHeight="1">
      <c r="A345" s="66"/>
      <c r="B345" s="66"/>
      <c r="C345" s="66"/>
      <c r="D345" s="66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ht="18.75" customHeight="1">
      <c r="A346" s="66"/>
      <c r="B346" s="66"/>
      <c r="C346" s="66"/>
      <c r="D346" s="66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ht="18.75" customHeight="1">
      <c r="A347" s="66"/>
      <c r="B347" s="66"/>
      <c r="C347" s="66"/>
      <c r="D347" s="66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ht="18.75" customHeight="1">
      <c r="A348" s="66"/>
      <c r="B348" s="66"/>
      <c r="C348" s="66"/>
      <c r="D348" s="66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ht="18.75" customHeight="1">
      <c r="A349" s="66"/>
      <c r="B349" s="66"/>
      <c r="C349" s="66"/>
      <c r="D349" s="66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ht="18.75" customHeight="1">
      <c r="A350" s="66"/>
      <c r="B350" s="66"/>
      <c r="C350" s="66"/>
      <c r="D350" s="66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ht="18.75" customHeight="1">
      <c r="A351" s="66"/>
      <c r="B351" s="66"/>
      <c r="C351" s="66"/>
      <c r="D351" s="66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ht="18.75" customHeight="1">
      <c r="A352" s="66"/>
      <c r="B352" s="66"/>
      <c r="C352" s="66"/>
      <c r="D352" s="66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ht="18.75" customHeight="1">
      <c r="A353" s="66"/>
      <c r="B353" s="66"/>
      <c r="C353" s="66"/>
      <c r="D353" s="66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ht="18.75" customHeight="1">
      <c r="A354" s="66"/>
      <c r="B354" s="66"/>
      <c r="C354" s="66"/>
      <c r="D354" s="66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ht="18.75" customHeight="1">
      <c r="A355" s="66"/>
      <c r="B355" s="66"/>
      <c r="C355" s="66"/>
      <c r="D355" s="66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ht="18.75" customHeight="1">
      <c r="A356" s="66"/>
      <c r="B356" s="66"/>
      <c r="C356" s="66"/>
      <c r="D356" s="66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ht="18.75" customHeight="1">
      <c r="A357" s="66"/>
      <c r="B357" s="66"/>
      <c r="C357" s="66"/>
      <c r="D357" s="66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ht="18.75" customHeight="1">
      <c r="A358" s="66"/>
      <c r="B358" s="66"/>
      <c r="C358" s="66"/>
      <c r="D358" s="66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ht="18.75" customHeight="1">
      <c r="A359" s="66"/>
      <c r="B359" s="66"/>
      <c r="C359" s="66"/>
      <c r="D359" s="66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ht="18.75" customHeight="1">
      <c r="A360" s="66"/>
      <c r="B360" s="66"/>
      <c r="C360" s="66"/>
      <c r="D360" s="66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ht="18.75" customHeight="1">
      <c r="A361" s="66"/>
      <c r="B361" s="66"/>
      <c r="C361" s="66"/>
      <c r="D361" s="66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ht="18.75" customHeight="1">
      <c r="A362" s="66"/>
      <c r="B362" s="66"/>
      <c r="C362" s="66"/>
      <c r="D362" s="66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ht="18.75" customHeight="1">
      <c r="A363" s="66"/>
      <c r="B363" s="66"/>
      <c r="C363" s="66"/>
      <c r="D363" s="66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ht="18.75" customHeight="1">
      <c r="A364" s="66"/>
      <c r="B364" s="66"/>
      <c r="C364" s="66"/>
      <c r="D364" s="66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ht="18.75" customHeight="1">
      <c r="A365" s="66"/>
      <c r="B365" s="66"/>
      <c r="C365" s="66"/>
      <c r="D365" s="66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ht="18.75" customHeight="1">
      <c r="A366" s="66"/>
      <c r="B366" s="66"/>
      <c r="C366" s="66"/>
      <c r="D366" s="66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ht="18.75" customHeight="1">
      <c r="A367" s="66"/>
      <c r="B367" s="66"/>
      <c r="C367" s="66"/>
      <c r="D367" s="66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ht="18.75" customHeight="1">
      <c r="A368" s="66"/>
      <c r="B368" s="66"/>
      <c r="C368" s="66"/>
      <c r="D368" s="66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ht="18.75" customHeight="1">
      <c r="A369" s="66"/>
      <c r="B369" s="66"/>
      <c r="C369" s="66"/>
      <c r="D369" s="66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ht="18.75" customHeight="1">
      <c r="A370" s="66"/>
      <c r="B370" s="66"/>
      <c r="C370" s="66"/>
      <c r="D370" s="66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ht="18.75" customHeight="1">
      <c r="A371" s="66"/>
      <c r="B371" s="66"/>
      <c r="C371" s="66"/>
      <c r="D371" s="66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ht="18.75" customHeight="1">
      <c r="A372" s="66"/>
      <c r="B372" s="66"/>
      <c r="C372" s="66"/>
      <c r="D372" s="66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ht="18.75" customHeight="1">
      <c r="A373" s="66"/>
      <c r="B373" s="66"/>
      <c r="C373" s="66"/>
      <c r="D373" s="66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ht="18.75" customHeight="1">
      <c r="A374" s="66"/>
      <c r="B374" s="66"/>
      <c r="C374" s="66"/>
      <c r="D374" s="66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ht="18.75" customHeight="1">
      <c r="A375" s="66"/>
      <c r="B375" s="66"/>
      <c r="C375" s="66"/>
      <c r="D375" s="66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ht="18.75" customHeight="1">
      <c r="A376" s="66"/>
      <c r="B376" s="66"/>
      <c r="C376" s="66"/>
      <c r="D376" s="66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ht="18.75" customHeight="1">
      <c r="A377" s="66"/>
      <c r="B377" s="66"/>
      <c r="C377" s="66"/>
      <c r="D377" s="66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ht="18.75" customHeight="1">
      <c r="A378" s="66"/>
      <c r="B378" s="66"/>
      <c r="C378" s="66"/>
      <c r="D378" s="66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ht="18.75" customHeight="1">
      <c r="A379" s="66"/>
      <c r="B379" s="66"/>
      <c r="C379" s="66"/>
      <c r="D379" s="66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ht="18.75" customHeight="1">
      <c r="A380" s="66"/>
      <c r="B380" s="66"/>
      <c r="C380" s="66"/>
      <c r="D380" s="66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ht="18.75" customHeight="1">
      <c r="A381" s="66"/>
      <c r="B381" s="66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ht="18.75" customHeight="1">
      <c r="A382" s="66"/>
      <c r="B382" s="66"/>
      <c r="C382" s="66"/>
      <c r="D382" s="66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ht="18.75" customHeight="1">
      <c r="A383" s="66"/>
      <c r="B383" s="66"/>
      <c r="C383" s="66"/>
      <c r="D383" s="66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ht="18.75" customHeight="1">
      <c r="A384" s="66"/>
      <c r="B384" s="66"/>
      <c r="C384" s="66"/>
      <c r="D384" s="66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ht="18.75" customHeight="1">
      <c r="A385" s="66"/>
      <c r="B385" s="66"/>
      <c r="C385" s="66"/>
      <c r="D385" s="66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ht="18.75" customHeight="1">
      <c r="A386" s="66"/>
      <c r="B386" s="66"/>
      <c r="C386" s="66"/>
      <c r="D386" s="66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ht="18.75" customHeight="1">
      <c r="A387" s="66"/>
      <c r="B387" s="66"/>
      <c r="C387" s="66"/>
      <c r="D387" s="66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ht="18.75" customHeight="1">
      <c r="A388" s="66"/>
      <c r="B388" s="66"/>
      <c r="C388" s="66"/>
      <c r="D388" s="66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ht="18.75" customHeight="1">
      <c r="A389" s="66"/>
      <c r="B389" s="66"/>
      <c r="C389" s="66"/>
      <c r="D389" s="66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ht="18.75" customHeight="1">
      <c r="A390" s="66"/>
      <c r="B390" s="66"/>
      <c r="C390" s="66"/>
      <c r="D390" s="66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ht="18.75" customHeight="1">
      <c r="A391" s="66"/>
      <c r="B391" s="66"/>
      <c r="C391" s="66"/>
      <c r="D391" s="66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ht="18.75" customHeight="1">
      <c r="A392" s="66"/>
      <c r="B392" s="66"/>
      <c r="C392" s="66"/>
      <c r="D392" s="66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ht="18.75" customHeight="1">
      <c r="A393" s="66"/>
      <c r="B393" s="66"/>
      <c r="C393" s="66"/>
      <c r="D393" s="66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ht="18.75" customHeight="1">
      <c r="A394" s="66"/>
      <c r="B394" s="66"/>
      <c r="C394" s="66"/>
      <c r="D394" s="66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ht="18.75" customHeight="1">
      <c r="A395" s="66"/>
      <c r="B395" s="66"/>
      <c r="C395" s="66"/>
      <c r="D395" s="66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ht="18.75" customHeight="1">
      <c r="A396" s="66"/>
      <c r="B396" s="66"/>
      <c r="C396" s="66"/>
      <c r="D396" s="66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ht="18.75" customHeight="1">
      <c r="A397" s="66"/>
      <c r="B397" s="66"/>
      <c r="C397" s="66"/>
      <c r="D397" s="66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ht="18.75" customHeight="1">
      <c r="A398" s="66"/>
      <c r="B398" s="66"/>
      <c r="C398" s="66"/>
      <c r="D398" s="66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ht="18.75" customHeight="1">
      <c r="A399" s="66"/>
      <c r="B399" s="66"/>
      <c r="C399" s="66"/>
      <c r="D399" s="66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ht="18.75" customHeight="1">
      <c r="A400" s="66"/>
      <c r="B400" s="66"/>
      <c r="C400" s="66"/>
      <c r="D400" s="66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ht="18.75" customHeight="1">
      <c r="A401" s="66"/>
      <c r="B401" s="66"/>
      <c r="C401" s="66"/>
      <c r="D401" s="66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ht="18.75" customHeight="1">
      <c r="A402" s="66"/>
      <c r="B402" s="66"/>
      <c r="C402" s="66"/>
      <c r="D402" s="66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ht="18.75" customHeight="1">
      <c r="A403" s="66"/>
      <c r="B403" s="66"/>
      <c r="C403" s="66"/>
      <c r="D403" s="66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ht="18.75" customHeight="1">
      <c r="A404" s="66"/>
      <c r="B404" s="66"/>
      <c r="C404" s="66"/>
      <c r="D404" s="66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ht="18.75" customHeight="1">
      <c r="A405" s="66"/>
      <c r="B405" s="66"/>
      <c r="C405" s="66"/>
      <c r="D405" s="66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ht="18.75" customHeight="1">
      <c r="A406" s="66"/>
      <c r="B406" s="66"/>
      <c r="C406" s="66"/>
      <c r="D406" s="66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ht="18.75" customHeight="1">
      <c r="A407" s="66"/>
      <c r="B407" s="66"/>
      <c r="C407" s="66"/>
      <c r="D407" s="66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ht="18.75" customHeight="1">
      <c r="A408" s="66"/>
      <c r="B408" s="66"/>
      <c r="C408" s="66"/>
      <c r="D408" s="66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ht="18.75" customHeight="1">
      <c r="A409" s="66"/>
      <c r="B409" s="66"/>
      <c r="C409" s="66"/>
      <c r="D409" s="66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ht="18.75" customHeight="1">
      <c r="A410" s="66"/>
      <c r="B410" s="66"/>
      <c r="C410" s="66"/>
      <c r="D410" s="66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ht="18.75" customHeight="1">
      <c r="A411" s="66"/>
      <c r="B411" s="66"/>
      <c r="C411" s="66"/>
      <c r="D411" s="66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ht="18.75" customHeight="1">
      <c r="A412" s="66"/>
      <c r="B412" s="66"/>
      <c r="C412" s="66"/>
      <c r="D412" s="66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ht="18.75" customHeight="1">
      <c r="A413" s="66"/>
      <c r="B413" s="66"/>
      <c r="C413" s="66"/>
      <c r="D413" s="66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ht="18.75" customHeight="1">
      <c r="A414" s="66"/>
      <c r="B414" s="66"/>
      <c r="C414" s="66"/>
      <c r="D414" s="66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ht="18.75" customHeight="1">
      <c r="A415" s="66"/>
      <c r="B415" s="66"/>
      <c r="C415" s="66"/>
      <c r="D415" s="66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ht="18.75" customHeight="1">
      <c r="A416" s="66"/>
      <c r="B416" s="66"/>
      <c r="C416" s="66"/>
      <c r="D416" s="66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ht="18.75" customHeight="1">
      <c r="A417" s="66"/>
      <c r="B417" s="66"/>
      <c r="C417" s="66"/>
      <c r="D417" s="66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ht="18.75" customHeight="1">
      <c r="A418" s="66"/>
      <c r="B418" s="66"/>
      <c r="C418" s="66"/>
      <c r="D418" s="66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ht="18.75" customHeight="1">
      <c r="A419" s="66"/>
      <c r="B419" s="66"/>
      <c r="C419" s="66"/>
      <c r="D419" s="66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ht="18.75" customHeight="1">
      <c r="A420" s="66"/>
      <c r="B420" s="66"/>
      <c r="C420" s="66"/>
      <c r="D420" s="66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ht="18.75" customHeight="1">
      <c r="A421" s="66"/>
      <c r="B421" s="66"/>
      <c r="C421" s="66"/>
      <c r="D421" s="66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ht="18.75" customHeight="1">
      <c r="A422" s="66"/>
      <c r="B422" s="66"/>
      <c r="C422" s="66"/>
      <c r="D422" s="66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ht="18.75" customHeight="1">
      <c r="A423" s="66"/>
      <c r="B423" s="66"/>
      <c r="C423" s="66"/>
      <c r="D423" s="66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ht="18.75" customHeight="1">
      <c r="A424" s="66"/>
      <c r="B424" s="66"/>
      <c r="C424" s="66"/>
      <c r="D424" s="66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ht="18.75" customHeight="1">
      <c r="A425" s="66"/>
      <c r="B425" s="66"/>
      <c r="C425" s="66"/>
      <c r="D425" s="66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ht="18.75" customHeight="1">
      <c r="A426" s="66"/>
      <c r="B426" s="66"/>
      <c r="C426" s="66"/>
      <c r="D426" s="66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ht="18.75" customHeight="1">
      <c r="A427" s="66"/>
      <c r="B427" s="66"/>
      <c r="C427" s="66"/>
      <c r="D427" s="66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ht="18.75" customHeight="1">
      <c r="A428" s="66"/>
      <c r="B428" s="66"/>
      <c r="C428" s="66"/>
      <c r="D428" s="66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ht="18.75" customHeight="1">
      <c r="A429" s="66"/>
      <c r="B429" s="66"/>
      <c r="C429" s="66"/>
      <c r="D429" s="66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ht="18.75" customHeight="1">
      <c r="A430" s="66"/>
      <c r="B430" s="66"/>
      <c r="C430" s="66"/>
      <c r="D430" s="66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ht="18.75" customHeight="1">
      <c r="A431" s="66"/>
      <c r="B431" s="66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ht="18.75" customHeight="1">
      <c r="A432" s="66"/>
      <c r="B432" s="66"/>
      <c r="C432" s="66"/>
      <c r="D432" s="66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ht="18.75" customHeight="1">
      <c r="A433" s="66"/>
      <c r="B433" s="66"/>
      <c r="C433" s="66"/>
      <c r="D433" s="66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ht="18.75" customHeight="1">
      <c r="A434" s="66"/>
      <c r="B434" s="66"/>
      <c r="C434" s="66"/>
      <c r="D434" s="66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ht="18.75" customHeight="1">
      <c r="A435" s="66"/>
      <c r="B435" s="66"/>
      <c r="C435" s="66"/>
      <c r="D435" s="66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ht="18.75" customHeight="1">
      <c r="A436" s="66"/>
      <c r="B436" s="66"/>
      <c r="C436" s="66"/>
      <c r="D436" s="66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ht="18.75" customHeight="1">
      <c r="A437" s="66"/>
      <c r="B437" s="66"/>
      <c r="C437" s="66"/>
      <c r="D437" s="66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ht="18.75" customHeight="1">
      <c r="A438" s="66"/>
      <c r="B438" s="66"/>
      <c r="C438" s="66"/>
      <c r="D438" s="66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ht="18.75" customHeight="1">
      <c r="A439" s="66"/>
      <c r="B439" s="66"/>
      <c r="C439" s="66"/>
      <c r="D439" s="66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ht="18.75" customHeight="1">
      <c r="A440" s="66"/>
      <c r="B440" s="66"/>
      <c r="C440" s="66"/>
      <c r="D440" s="66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ht="18.75" customHeight="1">
      <c r="A441" s="66"/>
      <c r="B441" s="66"/>
      <c r="C441" s="66"/>
      <c r="D441" s="66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ht="18.75" customHeight="1">
      <c r="A442" s="66"/>
      <c r="B442" s="66"/>
      <c r="C442" s="66"/>
      <c r="D442" s="66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ht="18.75" customHeight="1">
      <c r="A443" s="66"/>
      <c r="B443" s="66"/>
      <c r="C443" s="66"/>
      <c r="D443" s="66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ht="18.75" customHeight="1">
      <c r="A444" s="66"/>
      <c r="B444" s="66"/>
      <c r="C444" s="66"/>
      <c r="D444" s="66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ht="18.75" customHeight="1">
      <c r="A445" s="66"/>
      <c r="B445" s="66"/>
      <c r="C445" s="66"/>
      <c r="D445" s="66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ht="18.75" customHeight="1">
      <c r="A446" s="66"/>
      <c r="B446" s="66"/>
      <c r="C446" s="66"/>
      <c r="D446" s="66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ht="18.75" customHeight="1">
      <c r="A447" s="66"/>
      <c r="B447" s="66"/>
      <c r="C447" s="66"/>
      <c r="D447" s="66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ht="18.75" customHeight="1">
      <c r="A448" s="66"/>
      <c r="B448" s="66"/>
      <c r="C448" s="66"/>
      <c r="D448" s="66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ht="18.75" customHeight="1">
      <c r="A449" s="66"/>
      <c r="B449" s="66"/>
      <c r="C449" s="66"/>
      <c r="D449" s="66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ht="18.75" customHeight="1">
      <c r="A450" s="66"/>
      <c r="B450" s="66"/>
      <c r="C450" s="66"/>
      <c r="D450" s="66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ht="18.75" customHeight="1">
      <c r="A451" s="66"/>
      <c r="B451" s="66"/>
      <c r="C451" s="66"/>
      <c r="D451" s="66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ht="18.75" customHeight="1">
      <c r="A452" s="66"/>
      <c r="B452" s="66"/>
      <c r="C452" s="66"/>
      <c r="D452" s="66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ht="18.75" customHeight="1">
      <c r="A453" s="66"/>
      <c r="B453" s="66"/>
      <c r="C453" s="66"/>
      <c r="D453" s="66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ht="18.75" customHeight="1">
      <c r="A454" s="66"/>
      <c r="B454" s="66"/>
      <c r="C454" s="66"/>
      <c r="D454" s="66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ht="18.75" customHeight="1">
      <c r="A455" s="66"/>
      <c r="B455" s="66"/>
      <c r="C455" s="66"/>
      <c r="D455" s="66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ht="18.75" customHeight="1">
      <c r="A456" s="66"/>
      <c r="B456" s="66"/>
      <c r="C456" s="66"/>
      <c r="D456" s="66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ht="18.75" customHeight="1">
      <c r="A457" s="66"/>
      <c r="B457" s="66"/>
      <c r="C457" s="66"/>
      <c r="D457" s="66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ht="18.75" customHeight="1">
      <c r="A458" s="66"/>
      <c r="B458" s="66"/>
      <c r="C458" s="66"/>
      <c r="D458" s="66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ht="18.75" customHeight="1">
      <c r="A459" s="66"/>
      <c r="B459" s="66"/>
      <c r="C459" s="66"/>
      <c r="D459" s="66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ht="18.75" customHeight="1">
      <c r="A460" s="66"/>
      <c r="B460" s="66"/>
      <c r="C460" s="66"/>
      <c r="D460" s="66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ht="18.75" customHeight="1">
      <c r="A461" s="66"/>
      <c r="B461" s="66"/>
      <c r="C461" s="66"/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ht="18.75" customHeight="1">
      <c r="A462" s="66"/>
      <c r="B462" s="66"/>
      <c r="C462" s="66"/>
      <c r="D462" s="66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ht="18.75" customHeight="1">
      <c r="A463" s="66"/>
      <c r="B463" s="66"/>
      <c r="C463" s="66"/>
      <c r="D463" s="66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ht="18.75" customHeight="1">
      <c r="A464" s="66"/>
      <c r="B464" s="66"/>
      <c r="C464" s="66"/>
      <c r="D464" s="66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ht="18.75" customHeight="1">
      <c r="A465" s="66"/>
      <c r="B465" s="66"/>
      <c r="C465" s="66"/>
      <c r="D465" s="66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ht="18.75" customHeight="1">
      <c r="A466" s="66"/>
      <c r="B466" s="66"/>
      <c r="C466" s="66"/>
      <c r="D466" s="66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ht="18.75" customHeight="1">
      <c r="A467" s="66"/>
      <c r="B467" s="66"/>
      <c r="C467" s="66"/>
      <c r="D467" s="66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ht="18.75" customHeight="1">
      <c r="A468" s="66"/>
      <c r="B468" s="66"/>
      <c r="C468" s="66"/>
      <c r="D468" s="66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ht="18.75" customHeight="1">
      <c r="A469" s="66"/>
      <c r="B469" s="66"/>
      <c r="C469" s="66"/>
      <c r="D469" s="66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ht="18.75" customHeight="1">
      <c r="A470" s="66"/>
      <c r="B470" s="66"/>
      <c r="C470" s="66"/>
      <c r="D470" s="66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ht="18.75" customHeight="1">
      <c r="A471" s="66"/>
      <c r="B471" s="66"/>
      <c r="C471" s="66"/>
      <c r="D471" s="66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ht="18.75" customHeight="1">
      <c r="A472" s="66"/>
      <c r="B472" s="66"/>
      <c r="C472" s="66"/>
      <c r="D472" s="66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ht="18.75" customHeight="1">
      <c r="A473" s="66"/>
      <c r="B473" s="66"/>
      <c r="C473" s="66"/>
      <c r="D473" s="66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ht="18.75" customHeight="1">
      <c r="A474" s="66"/>
      <c r="B474" s="66"/>
      <c r="C474" s="66"/>
      <c r="D474" s="66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ht="18.75" customHeight="1">
      <c r="A475" s="66"/>
      <c r="B475" s="66"/>
      <c r="C475" s="66"/>
      <c r="D475" s="66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ht="18.75" customHeight="1">
      <c r="A476" s="66"/>
      <c r="B476" s="66"/>
      <c r="C476" s="66"/>
      <c r="D476" s="66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ht="18.75" customHeight="1">
      <c r="A477" s="66"/>
      <c r="B477" s="66"/>
      <c r="C477" s="66"/>
      <c r="D477" s="66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ht="18.75" customHeight="1">
      <c r="A478" s="66"/>
      <c r="B478" s="66"/>
      <c r="C478" s="66"/>
      <c r="D478" s="66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ht="18.75" customHeight="1">
      <c r="A479" s="66"/>
      <c r="B479" s="66"/>
      <c r="C479" s="66"/>
      <c r="D479" s="66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ht="18.75" customHeight="1">
      <c r="A480" s="66"/>
      <c r="B480" s="66"/>
      <c r="C480" s="66"/>
      <c r="D480" s="66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ht="18.75" customHeight="1">
      <c r="A481" s="66"/>
      <c r="B481" s="66"/>
      <c r="C481" s="66"/>
      <c r="D481" s="66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ht="18.75" customHeight="1">
      <c r="A482" s="66"/>
      <c r="B482" s="66"/>
      <c r="C482" s="66"/>
      <c r="D482" s="66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ht="18.75" customHeight="1">
      <c r="A483" s="66"/>
      <c r="B483" s="66"/>
      <c r="C483" s="66"/>
      <c r="D483" s="66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ht="18.75" customHeight="1">
      <c r="A484" s="66"/>
      <c r="B484" s="66"/>
      <c r="C484" s="66"/>
      <c r="D484" s="66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ht="18.75" customHeight="1">
      <c r="A485" s="66"/>
      <c r="B485" s="66"/>
      <c r="C485" s="66"/>
      <c r="D485" s="66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ht="18.75" customHeight="1">
      <c r="A486" s="66"/>
      <c r="B486" s="66"/>
      <c r="C486" s="66"/>
      <c r="D486" s="66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ht="18.75" customHeight="1">
      <c r="A487" s="66"/>
      <c r="B487" s="66"/>
      <c r="C487" s="66"/>
      <c r="D487" s="66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ht="18.75" customHeight="1">
      <c r="A488" s="66"/>
      <c r="B488" s="66"/>
      <c r="C488" s="66"/>
      <c r="D488" s="66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ht="18.75" customHeight="1">
      <c r="A489" s="66"/>
      <c r="B489" s="66"/>
      <c r="C489" s="66"/>
      <c r="D489" s="66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ht="18.75" customHeight="1">
      <c r="A490" s="66"/>
      <c r="B490" s="66"/>
      <c r="C490" s="66"/>
      <c r="D490" s="66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ht="18.75" customHeight="1">
      <c r="A491" s="66"/>
      <c r="B491" s="66"/>
      <c r="C491" s="66"/>
      <c r="D491" s="66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ht="18.75" customHeight="1">
      <c r="A492" s="66"/>
      <c r="B492" s="66"/>
      <c r="C492" s="66"/>
      <c r="D492" s="66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ht="18.75" customHeight="1">
      <c r="A493" s="66"/>
      <c r="B493" s="66"/>
      <c r="C493" s="66"/>
      <c r="D493" s="66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ht="18.75" customHeight="1">
      <c r="A494" s="66"/>
      <c r="B494" s="66"/>
      <c r="C494" s="66"/>
      <c r="D494" s="66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ht="18.75" customHeight="1">
      <c r="A495" s="66"/>
      <c r="B495" s="66"/>
      <c r="C495" s="66"/>
      <c r="D495" s="66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ht="18.75" customHeight="1">
      <c r="A496" s="66"/>
      <c r="B496" s="66"/>
      <c r="C496" s="66"/>
      <c r="D496" s="66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ht="18.75" customHeight="1">
      <c r="A497" s="66"/>
      <c r="B497" s="66"/>
      <c r="C497" s="66"/>
      <c r="D497" s="66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ht="18.75" customHeight="1">
      <c r="A498" s="66"/>
      <c r="B498" s="66"/>
      <c r="C498" s="66"/>
      <c r="D498" s="66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ht="18.75" customHeight="1">
      <c r="A499" s="66"/>
      <c r="B499" s="66"/>
      <c r="C499" s="66"/>
      <c r="D499" s="66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ht="18.75" customHeight="1">
      <c r="A500" s="66"/>
      <c r="B500" s="66"/>
      <c r="C500" s="66"/>
      <c r="D500" s="66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ht="18.75" customHeight="1">
      <c r="A501" s="66"/>
      <c r="B501" s="66"/>
      <c r="C501" s="66"/>
      <c r="D501" s="66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ht="18.75" customHeight="1">
      <c r="A502" s="66"/>
      <c r="B502" s="66"/>
      <c r="C502" s="66"/>
      <c r="D502" s="66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ht="18.75" customHeight="1">
      <c r="A503" s="66"/>
      <c r="B503" s="66"/>
      <c r="C503" s="66"/>
      <c r="D503" s="66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ht="18.75" customHeight="1">
      <c r="A504" s="66"/>
      <c r="B504" s="66"/>
      <c r="C504" s="66"/>
      <c r="D504" s="66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ht="18.75" customHeight="1">
      <c r="A505" s="66"/>
      <c r="B505" s="66"/>
      <c r="C505" s="66"/>
      <c r="D505" s="66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ht="18.75" customHeight="1">
      <c r="A506" s="66"/>
      <c r="B506" s="66"/>
      <c r="C506" s="66"/>
      <c r="D506" s="66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ht="18.75" customHeight="1">
      <c r="A507" s="66"/>
      <c r="B507" s="66"/>
      <c r="C507" s="66"/>
      <c r="D507" s="66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ht="18.75" customHeight="1">
      <c r="A508" s="66"/>
      <c r="B508" s="66"/>
      <c r="C508" s="66"/>
      <c r="D508" s="66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ht="18.75" customHeight="1">
      <c r="A509" s="66"/>
      <c r="B509" s="66"/>
      <c r="C509" s="66"/>
      <c r="D509" s="66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ht="18.75" customHeight="1">
      <c r="A510" s="66"/>
      <c r="B510" s="66"/>
      <c r="C510" s="66"/>
      <c r="D510" s="66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ht="18.75" customHeight="1">
      <c r="A511" s="66"/>
      <c r="B511" s="66"/>
      <c r="C511" s="66"/>
      <c r="D511" s="66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ht="18.75" customHeight="1">
      <c r="A512" s="66"/>
      <c r="B512" s="66"/>
      <c r="C512" s="66"/>
      <c r="D512" s="66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ht="18.75" customHeight="1">
      <c r="A513" s="66"/>
      <c r="B513" s="66"/>
      <c r="C513" s="66"/>
      <c r="D513" s="66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ht="18.75" customHeight="1">
      <c r="A514" s="66"/>
      <c r="B514" s="66"/>
      <c r="C514" s="66"/>
      <c r="D514" s="66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ht="18.75" customHeight="1">
      <c r="A515" s="66"/>
      <c r="B515" s="66"/>
      <c r="C515" s="66"/>
      <c r="D515" s="66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ht="18.75" customHeight="1">
      <c r="A516" s="66"/>
      <c r="B516" s="66"/>
      <c r="C516" s="66"/>
      <c r="D516" s="66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ht="18.75" customHeight="1">
      <c r="A517" s="66"/>
      <c r="B517" s="66"/>
      <c r="C517" s="66"/>
      <c r="D517" s="66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ht="18.75" customHeight="1">
      <c r="A518" s="66"/>
      <c r="B518" s="66"/>
      <c r="C518" s="66"/>
      <c r="D518" s="66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ht="18.75" customHeight="1">
      <c r="A519" s="66"/>
      <c r="B519" s="66"/>
      <c r="C519" s="66"/>
      <c r="D519" s="66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ht="18.75" customHeight="1">
      <c r="A520" s="66"/>
      <c r="B520" s="66"/>
      <c r="C520" s="66"/>
      <c r="D520" s="66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ht="18.75" customHeight="1">
      <c r="A521" s="66"/>
      <c r="B521" s="66"/>
      <c r="C521" s="66"/>
      <c r="D521" s="66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ht="18.75" customHeight="1">
      <c r="A522" s="66"/>
      <c r="B522" s="66"/>
      <c r="C522" s="66"/>
      <c r="D522" s="66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ht="18.75" customHeight="1">
      <c r="A523" s="66"/>
      <c r="B523" s="66"/>
      <c r="C523" s="66"/>
      <c r="D523" s="66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ht="18.75" customHeight="1">
      <c r="A524" s="66"/>
      <c r="B524" s="66"/>
      <c r="C524" s="66"/>
      <c r="D524" s="66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ht="18.75" customHeight="1">
      <c r="A525" s="66"/>
      <c r="B525" s="66"/>
      <c r="C525" s="66"/>
      <c r="D525" s="66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ht="18.75" customHeight="1">
      <c r="A526" s="66"/>
      <c r="B526" s="66"/>
      <c r="C526" s="66"/>
      <c r="D526" s="66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ht="18.75" customHeight="1">
      <c r="A527" s="66"/>
      <c r="B527" s="66"/>
      <c r="C527" s="66"/>
      <c r="D527" s="66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ht="18.75" customHeight="1">
      <c r="A528" s="66"/>
      <c r="B528" s="66"/>
      <c r="C528" s="66"/>
      <c r="D528" s="66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ht="18.75" customHeight="1">
      <c r="A529" s="66"/>
      <c r="B529" s="66"/>
      <c r="C529" s="66"/>
      <c r="D529" s="66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ht="18.75" customHeight="1">
      <c r="A530" s="66"/>
      <c r="B530" s="66"/>
      <c r="C530" s="66"/>
      <c r="D530" s="66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ht="18.75" customHeight="1">
      <c r="A531" s="66"/>
      <c r="B531" s="66"/>
      <c r="C531" s="66"/>
      <c r="D531" s="66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ht="18.75" customHeight="1">
      <c r="A532" s="66"/>
      <c r="B532" s="66"/>
      <c r="C532" s="66"/>
      <c r="D532" s="66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ht="18.75" customHeight="1">
      <c r="A533" s="66"/>
      <c r="B533" s="66"/>
      <c r="C533" s="66"/>
      <c r="D533" s="66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ht="18.75" customHeight="1">
      <c r="A534" s="66"/>
      <c r="B534" s="66"/>
      <c r="C534" s="66"/>
      <c r="D534" s="66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ht="18.75" customHeight="1">
      <c r="A535" s="66"/>
      <c r="B535" s="66"/>
      <c r="C535" s="66"/>
      <c r="D535" s="66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ht="18.75" customHeight="1">
      <c r="A536" s="66"/>
      <c r="B536" s="66"/>
      <c r="C536" s="66"/>
      <c r="D536" s="66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ht="18.75" customHeight="1">
      <c r="A537" s="66"/>
      <c r="B537" s="66"/>
      <c r="C537" s="66"/>
      <c r="D537" s="66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ht="18.75" customHeight="1">
      <c r="A538" s="66"/>
      <c r="B538" s="66"/>
      <c r="C538" s="66"/>
      <c r="D538" s="66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ht="18.75" customHeight="1">
      <c r="A539" s="66"/>
      <c r="B539" s="66"/>
      <c r="C539" s="66"/>
      <c r="D539" s="66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ht="18.75" customHeight="1">
      <c r="A540" s="66"/>
      <c r="B540" s="66"/>
      <c r="C540" s="66"/>
      <c r="D540" s="66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ht="18.75" customHeight="1">
      <c r="A541" s="66"/>
      <c r="B541" s="66"/>
      <c r="C541" s="66"/>
      <c r="D541" s="66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ht="18.75" customHeight="1">
      <c r="A542" s="66"/>
      <c r="B542" s="66"/>
      <c r="C542" s="66"/>
      <c r="D542" s="66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ht="18.75" customHeight="1">
      <c r="A543" s="66"/>
      <c r="B543" s="66"/>
      <c r="C543" s="66"/>
      <c r="D543" s="66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ht="18.75" customHeight="1">
      <c r="A544" s="66"/>
      <c r="B544" s="66"/>
      <c r="C544" s="66"/>
      <c r="D544" s="66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ht="18.75" customHeight="1">
      <c r="A545" s="66"/>
      <c r="B545" s="66"/>
      <c r="C545" s="66"/>
      <c r="D545" s="66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ht="18.75" customHeight="1">
      <c r="A546" s="66"/>
      <c r="B546" s="66"/>
      <c r="C546" s="66"/>
      <c r="D546" s="66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ht="18.75" customHeight="1">
      <c r="A547" s="66"/>
      <c r="B547" s="66"/>
      <c r="C547" s="66"/>
      <c r="D547" s="66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ht="18.75" customHeight="1">
      <c r="A548" s="66"/>
      <c r="B548" s="66"/>
      <c r="C548" s="66"/>
      <c r="D548" s="66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ht="18.75" customHeight="1">
      <c r="A549" s="66"/>
      <c r="B549" s="66"/>
      <c r="C549" s="66"/>
      <c r="D549" s="66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ht="18.75" customHeight="1">
      <c r="A550" s="66"/>
      <c r="B550" s="66"/>
      <c r="C550" s="66"/>
      <c r="D550" s="66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ht="18.75" customHeight="1">
      <c r="A551" s="66"/>
      <c r="B551" s="66"/>
      <c r="C551" s="66"/>
      <c r="D551" s="66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ht="18.75" customHeight="1">
      <c r="A552" s="66"/>
      <c r="B552" s="66"/>
      <c r="C552" s="66"/>
      <c r="D552" s="66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ht="18.75" customHeight="1">
      <c r="A553" s="66"/>
      <c r="B553" s="66"/>
      <c r="C553" s="66"/>
      <c r="D553" s="66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ht="18.75" customHeight="1">
      <c r="A554" s="66"/>
      <c r="B554" s="66"/>
      <c r="C554" s="66"/>
      <c r="D554" s="66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ht="18.75" customHeight="1">
      <c r="A555" s="66"/>
      <c r="B555" s="66"/>
      <c r="C555" s="66"/>
      <c r="D555" s="66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ht="18.75" customHeight="1">
      <c r="A556" s="66"/>
      <c r="B556" s="66"/>
      <c r="C556" s="66"/>
      <c r="D556" s="66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ht="18.75" customHeight="1">
      <c r="A557" s="66"/>
      <c r="B557" s="66"/>
      <c r="C557" s="66"/>
      <c r="D557" s="66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ht="18.75" customHeight="1">
      <c r="A558" s="66"/>
      <c r="B558" s="66"/>
      <c r="C558" s="66"/>
      <c r="D558" s="66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ht="18.75" customHeight="1">
      <c r="A559" s="66"/>
      <c r="B559" s="66"/>
      <c r="C559" s="66"/>
      <c r="D559" s="66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ht="18.75" customHeight="1">
      <c r="A560" s="66"/>
      <c r="B560" s="66"/>
      <c r="C560" s="66"/>
      <c r="D560" s="66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ht="18.75" customHeight="1">
      <c r="A561" s="66"/>
      <c r="B561" s="66"/>
      <c r="C561" s="66"/>
      <c r="D561" s="66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ht="18.75" customHeight="1">
      <c r="A562" s="66"/>
      <c r="B562" s="66"/>
      <c r="C562" s="66"/>
      <c r="D562" s="66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ht="18.75" customHeight="1">
      <c r="A563" s="66"/>
      <c r="B563" s="66"/>
      <c r="C563" s="66"/>
      <c r="D563" s="66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ht="18.75" customHeight="1">
      <c r="A564" s="66"/>
      <c r="B564" s="66"/>
      <c r="C564" s="66"/>
      <c r="D564" s="66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ht="18.75" customHeight="1">
      <c r="A565" s="66"/>
      <c r="B565" s="66"/>
      <c r="C565" s="66"/>
      <c r="D565" s="66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ht="18.75" customHeight="1">
      <c r="A566" s="66"/>
      <c r="B566" s="66"/>
      <c r="C566" s="66"/>
      <c r="D566" s="66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ht="18.75" customHeight="1">
      <c r="A567" s="66"/>
      <c r="B567" s="66"/>
      <c r="C567" s="66"/>
      <c r="D567" s="66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ht="18.75" customHeight="1">
      <c r="A568" s="66"/>
      <c r="B568" s="66"/>
      <c r="C568" s="66"/>
      <c r="D568" s="66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ht="18.75" customHeight="1">
      <c r="A569" s="66"/>
      <c r="B569" s="66"/>
      <c r="C569" s="66"/>
      <c r="D569" s="66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ht="18.75" customHeight="1">
      <c r="A570" s="66"/>
      <c r="B570" s="66"/>
      <c r="C570" s="66"/>
      <c r="D570" s="66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ht="18.75" customHeight="1">
      <c r="A571" s="66"/>
      <c r="B571" s="66"/>
      <c r="C571" s="66"/>
      <c r="D571" s="66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ht="18.75" customHeight="1">
      <c r="A572" s="66"/>
      <c r="B572" s="66"/>
      <c r="C572" s="66"/>
      <c r="D572" s="66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ht="18.75" customHeight="1">
      <c r="A573" s="66"/>
      <c r="B573" s="66"/>
      <c r="C573" s="66"/>
      <c r="D573" s="66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ht="18.75" customHeight="1">
      <c r="A574" s="66"/>
      <c r="B574" s="66"/>
      <c r="C574" s="66"/>
      <c r="D574" s="66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ht="18.75" customHeight="1">
      <c r="A575" s="66"/>
      <c r="B575" s="66"/>
      <c r="C575" s="66"/>
      <c r="D575" s="66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ht="18.75" customHeight="1">
      <c r="A576" s="66"/>
      <c r="B576" s="66"/>
      <c r="C576" s="66"/>
      <c r="D576" s="66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ht="18.75" customHeight="1">
      <c r="A577" s="66"/>
      <c r="B577" s="66"/>
      <c r="C577" s="66"/>
      <c r="D577" s="66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ht="18.75" customHeight="1">
      <c r="A578" s="66"/>
      <c r="B578" s="66"/>
      <c r="C578" s="66"/>
      <c r="D578" s="66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ht="18.75" customHeight="1">
      <c r="A579" s="66"/>
      <c r="B579" s="66"/>
      <c r="C579" s="66"/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ht="18.75" customHeight="1">
      <c r="A580" s="66"/>
      <c r="B580" s="66"/>
      <c r="C580" s="66"/>
      <c r="D580" s="66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ht="18.75" customHeight="1">
      <c r="A581" s="66"/>
      <c r="B581" s="66"/>
      <c r="C581" s="66"/>
      <c r="D581" s="66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ht="18.75" customHeight="1">
      <c r="A582" s="66"/>
      <c r="B582" s="66"/>
      <c r="C582" s="66"/>
      <c r="D582" s="66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ht="18.75" customHeight="1">
      <c r="A583" s="66"/>
      <c r="B583" s="66"/>
      <c r="C583" s="66"/>
      <c r="D583" s="66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ht="18.75" customHeight="1">
      <c r="A584" s="66"/>
      <c r="B584" s="66"/>
      <c r="C584" s="66"/>
      <c r="D584" s="66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ht="18.75" customHeight="1">
      <c r="A585" s="66"/>
      <c r="B585" s="66"/>
      <c r="C585" s="66"/>
      <c r="D585" s="66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ht="18.75" customHeight="1">
      <c r="A586" s="66"/>
      <c r="B586" s="66"/>
      <c r="C586" s="66"/>
      <c r="D586" s="66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ht="18.75" customHeight="1">
      <c r="A587" s="66"/>
      <c r="B587" s="66"/>
      <c r="C587" s="66"/>
      <c r="D587" s="66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ht="18.75" customHeight="1">
      <c r="A588" s="66"/>
      <c r="B588" s="66"/>
      <c r="C588" s="66"/>
      <c r="D588" s="66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ht="18.75" customHeight="1">
      <c r="A589" s="66"/>
      <c r="B589" s="66"/>
      <c r="C589" s="66"/>
      <c r="D589" s="66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ht="18.75" customHeight="1">
      <c r="A590" s="66"/>
      <c r="B590" s="66"/>
      <c r="C590" s="66"/>
      <c r="D590" s="66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ht="18.75" customHeight="1">
      <c r="A591" s="66"/>
      <c r="B591" s="66"/>
      <c r="C591" s="66"/>
      <c r="D591" s="66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ht="18.75" customHeight="1">
      <c r="A592" s="66"/>
      <c r="B592" s="66"/>
      <c r="C592" s="66"/>
      <c r="D592" s="66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ht="18.75" customHeight="1">
      <c r="A593" s="66"/>
      <c r="B593" s="66"/>
      <c r="C593" s="66"/>
      <c r="D593" s="66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ht="18.75" customHeight="1">
      <c r="A594" s="66"/>
      <c r="B594" s="66"/>
      <c r="C594" s="66"/>
      <c r="D594" s="66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ht="18.75" customHeight="1">
      <c r="A595" s="66"/>
      <c r="B595" s="66"/>
      <c r="C595" s="66"/>
      <c r="D595" s="66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ht="18.75" customHeight="1">
      <c r="A596" s="66"/>
      <c r="B596" s="66"/>
      <c r="C596" s="66"/>
      <c r="D596" s="66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ht="18.75" customHeight="1">
      <c r="A597" s="66"/>
      <c r="B597" s="66"/>
      <c r="C597" s="66"/>
      <c r="D597" s="66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ht="18.75" customHeight="1">
      <c r="A598" s="66"/>
      <c r="B598" s="66"/>
      <c r="C598" s="66"/>
      <c r="D598" s="66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ht="18.75" customHeight="1">
      <c r="A599" s="66"/>
      <c r="B599" s="66"/>
      <c r="C599" s="66"/>
      <c r="D599" s="66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ht="18.75" customHeight="1">
      <c r="A600" s="66"/>
      <c r="B600" s="66"/>
      <c r="C600" s="66"/>
      <c r="D600" s="66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ht="18.75" customHeight="1">
      <c r="A601" s="66"/>
      <c r="B601" s="66"/>
      <c r="C601" s="66"/>
      <c r="D601" s="66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ht="18.75" customHeight="1">
      <c r="A602" s="66"/>
      <c r="B602" s="66"/>
      <c r="C602" s="66"/>
      <c r="D602" s="66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ht="18.75" customHeight="1">
      <c r="A603" s="66"/>
      <c r="B603" s="66"/>
      <c r="C603" s="66"/>
      <c r="D603" s="66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ht="18.75" customHeight="1">
      <c r="A604" s="66"/>
      <c r="B604" s="66"/>
      <c r="C604" s="66"/>
      <c r="D604" s="66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ht="18.75" customHeight="1">
      <c r="A605" s="66"/>
      <c r="B605" s="66"/>
      <c r="C605" s="66"/>
      <c r="D605" s="66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ht="18.75" customHeight="1">
      <c r="A606" s="66"/>
      <c r="B606" s="66"/>
      <c r="C606" s="66"/>
      <c r="D606" s="66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ht="18.75" customHeight="1">
      <c r="A607" s="66"/>
      <c r="B607" s="66"/>
      <c r="C607" s="66"/>
      <c r="D607" s="66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ht="18.75" customHeight="1">
      <c r="A608" s="66"/>
      <c r="B608" s="66"/>
      <c r="C608" s="66"/>
      <c r="D608" s="66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ht="18.75" customHeight="1">
      <c r="A609" s="66"/>
      <c r="B609" s="66"/>
      <c r="C609" s="66"/>
      <c r="D609" s="66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ht="18.75" customHeight="1">
      <c r="A610" s="66"/>
      <c r="B610" s="66"/>
      <c r="C610" s="66"/>
      <c r="D610" s="66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ht="18.75" customHeight="1">
      <c r="A611" s="66"/>
      <c r="B611" s="66"/>
      <c r="C611" s="66"/>
      <c r="D611" s="66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ht="18.75" customHeight="1">
      <c r="A612" s="66"/>
      <c r="B612" s="66"/>
      <c r="C612" s="66"/>
      <c r="D612" s="66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ht="18.75" customHeight="1">
      <c r="A613" s="66"/>
      <c r="B613" s="66"/>
      <c r="C613" s="66"/>
      <c r="D613" s="66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ht="18.75" customHeight="1">
      <c r="A614" s="66"/>
      <c r="B614" s="66"/>
      <c r="C614" s="66"/>
      <c r="D614" s="66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ht="18.75" customHeight="1">
      <c r="A615" s="66"/>
      <c r="B615" s="66"/>
      <c r="C615" s="66"/>
      <c r="D615" s="66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ht="18.75" customHeight="1">
      <c r="A616" s="66"/>
      <c r="B616" s="66"/>
      <c r="C616" s="66"/>
      <c r="D616" s="66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ht="18.75" customHeight="1">
      <c r="A617" s="66"/>
      <c r="B617" s="66"/>
      <c r="C617" s="66"/>
      <c r="D617" s="66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ht="18.75" customHeight="1">
      <c r="A618" s="66"/>
      <c r="B618" s="66"/>
      <c r="C618" s="66"/>
      <c r="D618" s="66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ht="18.75" customHeight="1">
      <c r="A619" s="66"/>
      <c r="B619" s="66"/>
      <c r="C619" s="66"/>
      <c r="D619" s="66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ht="18.75" customHeight="1">
      <c r="A620" s="66"/>
      <c r="B620" s="66"/>
      <c r="C620" s="66"/>
      <c r="D620" s="66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ht="18.75" customHeight="1">
      <c r="A621" s="66"/>
      <c r="B621" s="66"/>
      <c r="C621" s="66"/>
      <c r="D621" s="66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ht="18.75" customHeight="1">
      <c r="A622" s="66"/>
      <c r="B622" s="66"/>
      <c r="C622" s="66"/>
      <c r="D622" s="66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ht="18.75" customHeight="1">
      <c r="A623" s="66"/>
      <c r="B623" s="66"/>
      <c r="C623" s="66"/>
      <c r="D623" s="66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ht="18.75" customHeight="1">
      <c r="A624" s="66"/>
      <c r="B624" s="66"/>
      <c r="C624" s="66"/>
      <c r="D624" s="66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ht="18.75" customHeight="1">
      <c r="A625" s="66"/>
      <c r="B625" s="66"/>
      <c r="C625" s="66"/>
      <c r="D625" s="66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ht="18.75" customHeight="1">
      <c r="A626" s="66"/>
      <c r="B626" s="66"/>
      <c r="C626" s="66"/>
      <c r="D626" s="66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ht="18.75" customHeight="1">
      <c r="A627" s="66"/>
      <c r="B627" s="66"/>
      <c r="C627" s="66"/>
      <c r="D627" s="66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ht="18.75" customHeight="1">
      <c r="A628" s="66"/>
      <c r="B628" s="66"/>
      <c r="C628" s="66"/>
      <c r="D628" s="66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ht="18.75" customHeight="1">
      <c r="A629" s="66"/>
      <c r="B629" s="66"/>
      <c r="C629" s="66"/>
      <c r="D629" s="66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ht="18.75" customHeight="1">
      <c r="A630" s="66"/>
      <c r="B630" s="66"/>
      <c r="C630" s="66"/>
      <c r="D630" s="66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ht="18.75" customHeight="1">
      <c r="A631" s="66"/>
      <c r="B631" s="66"/>
      <c r="C631" s="66"/>
      <c r="D631" s="66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ht="18.75" customHeight="1">
      <c r="A632" s="66"/>
      <c r="B632" s="66"/>
      <c r="C632" s="66"/>
      <c r="D632" s="66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ht="18.75" customHeight="1">
      <c r="A633" s="66"/>
      <c r="B633" s="66"/>
      <c r="C633" s="66"/>
      <c r="D633" s="66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ht="18.75" customHeight="1">
      <c r="A634" s="66"/>
      <c r="B634" s="66"/>
      <c r="C634" s="66"/>
      <c r="D634" s="66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ht="18.75" customHeight="1">
      <c r="A635" s="66"/>
      <c r="B635" s="66"/>
      <c r="C635" s="66"/>
      <c r="D635" s="66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ht="18.75" customHeight="1">
      <c r="A636" s="66"/>
      <c r="B636" s="66"/>
      <c r="C636" s="66"/>
      <c r="D636" s="66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ht="18.75" customHeight="1">
      <c r="A637" s="66"/>
      <c r="B637" s="66"/>
      <c r="C637" s="66"/>
      <c r="D637" s="66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ht="18.75" customHeight="1">
      <c r="A638" s="66"/>
      <c r="B638" s="66"/>
      <c r="C638" s="66"/>
      <c r="D638" s="66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ht="18.75" customHeight="1">
      <c r="A639" s="66"/>
      <c r="B639" s="66"/>
      <c r="C639" s="66"/>
      <c r="D639" s="66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ht="18.75" customHeight="1">
      <c r="A640" s="66"/>
      <c r="B640" s="66"/>
      <c r="C640" s="66"/>
      <c r="D640" s="66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ht="18.75" customHeight="1">
      <c r="A641" s="66"/>
      <c r="B641" s="66"/>
      <c r="C641" s="66"/>
      <c r="D641" s="66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ht="18.75" customHeight="1">
      <c r="A642" s="66"/>
      <c r="B642" s="66"/>
      <c r="C642" s="66"/>
      <c r="D642" s="66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ht="18.75" customHeight="1">
      <c r="A643" s="66"/>
      <c r="B643" s="66"/>
      <c r="C643" s="66"/>
      <c r="D643" s="66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ht="18.75" customHeight="1">
      <c r="A644" s="66"/>
      <c r="B644" s="66"/>
      <c r="C644" s="66"/>
      <c r="D644" s="66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ht="18.75" customHeight="1">
      <c r="A645" s="66"/>
      <c r="B645" s="66"/>
      <c r="C645" s="66"/>
      <c r="D645" s="66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ht="18.75" customHeight="1">
      <c r="A646" s="66"/>
      <c r="B646" s="66"/>
      <c r="C646" s="66"/>
      <c r="D646" s="66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ht="18.75" customHeight="1">
      <c r="A647" s="66"/>
      <c r="B647" s="66"/>
      <c r="C647" s="66"/>
      <c r="D647" s="66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ht="18.75" customHeight="1">
      <c r="A648" s="66"/>
      <c r="B648" s="66"/>
      <c r="C648" s="66"/>
      <c r="D648" s="66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ht="18.75" customHeight="1">
      <c r="A649" s="66"/>
      <c r="B649" s="66"/>
      <c r="C649" s="66"/>
      <c r="D649" s="66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ht="18.75" customHeight="1">
      <c r="A650" s="66"/>
      <c r="B650" s="66"/>
      <c r="C650" s="66"/>
      <c r="D650" s="66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ht="18.75" customHeight="1">
      <c r="A651" s="66"/>
      <c r="B651" s="66"/>
      <c r="C651" s="66"/>
      <c r="D651" s="66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ht="18.75" customHeight="1">
      <c r="A652" s="66"/>
      <c r="B652" s="66"/>
      <c r="C652" s="66"/>
      <c r="D652" s="66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ht="18.75" customHeight="1">
      <c r="A653" s="66"/>
      <c r="B653" s="66"/>
      <c r="C653" s="66"/>
      <c r="D653" s="66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ht="18.75" customHeight="1">
      <c r="A654" s="66"/>
      <c r="B654" s="66"/>
      <c r="C654" s="66"/>
      <c r="D654" s="66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ht="18.75" customHeight="1">
      <c r="A655" s="66"/>
      <c r="B655" s="66"/>
      <c r="C655" s="66"/>
      <c r="D655" s="66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ht="18.75" customHeight="1">
      <c r="A656" s="66"/>
      <c r="B656" s="66"/>
      <c r="C656" s="66"/>
      <c r="D656" s="66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ht="18.75" customHeight="1">
      <c r="A657" s="66"/>
      <c r="B657" s="66"/>
      <c r="C657" s="66"/>
      <c r="D657" s="66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ht="18.75" customHeight="1">
      <c r="A658" s="66"/>
      <c r="B658" s="66"/>
      <c r="C658" s="66"/>
      <c r="D658" s="66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ht="18.75" customHeight="1">
      <c r="A659" s="66"/>
      <c r="B659" s="66"/>
      <c r="C659" s="66"/>
      <c r="D659" s="66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ht="18.75" customHeight="1">
      <c r="A660" s="66"/>
      <c r="B660" s="66"/>
      <c r="C660" s="66"/>
      <c r="D660" s="66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ht="18.75" customHeight="1">
      <c r="A661" s="66"/>
      <c r="B661" s="66"/>
      <c r="C661" s="66"/>
      <c r="D661" s="66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ht="18.75" customHeight="1">
      <c r="A662" s="66"/>
      <c r="B662" s="66"/>
      <c r="C662" s="66"/>
      <c r="D662" s="66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ht="18.75" customHeight="1">
      <c r="A663" s="66"/>
      <c r="B663" s="66"/>
      <c r="C663" s="66"/>
      <c r="D663" s="66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ht="18.75" customHeight="1">
      <c r="A664" s="66"/>
      <c r="B664" s="66"/>
      <c r="C664" s="66"/>
      <c r="D664" s="66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ht="18.75" customHeight="1">
      <c r="A665" s="66"/>
      <c r="B665" s="66"/>
      <c r="C665" s="66"/>
      <c r="D665" s="66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ht="18.75" customHeight="1">
      <c r="A666" s="66"/>
      <c r="B666" s="66"/>
      <c r="C666" s="66"/>
      <c r="D666" s="66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ht="18.75" customHeight="1">
      <c r="A667" s="66"/>
      <c r="B667" s="66"/>
      <c r="C667" s="66"/>
      <c r="D667" s="66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ht="18.75" customHeight="1">
      <c r="A668" s="66"/>
      <c r="B668" s="66"/>
      <c r="C668" s="66"/>
      <c r="D668" s="66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ht="18.75" customHeight="1">
      <c r="A669" s="66"/>
      <c r="B669" s="66"/>
      <c r="C669" s="66"/>
      <c r="D669" s="66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ht="18.75" customHeight="1">
      <c r="A670" s="66"/>
      <c r="B670" s="66"/>
      <c r="C670" s="66"/>
      <c r="D670" s="66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ht="18.75" customHeight="1">
      <c r="A671" s="66"/>
      <c r="B671" s="66"/>
      <c r="C671" s="66"/>
      <c r="D671" s="66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ht="18.75" customHeight="1">
      <c r="A672" s="66"/>
      <c r="B672" s="66"/>
      <c r="C672" s="66"/>
      <c r="D672" s="66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ht="18.75" customHeight="1">
      <c r="A673" s="66"/>
      <c r="B673" s="66"/>
      <c r="C673" s="66"/>
      <c r="D673" s="66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ht="18.75" customHeight="1">
      <c r="A674" s="66"/>
      <c r="B674" s="66"/>
      <c r="C674" s="66"/>
      <c r="D674" s="66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ht="18.75" customHeight="1">
      <c r="A675" s="66"/>
      <c r="B675" s="66"/>
      <c r="C675" s="66"/>
      <c r="D675" s="66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ht="18.75" customHeight="1">
      <c r="A676" s="66"/>
      <c r="B676" s="66"/>
      <c r="C676" s="66"/>
      <c r="D676" s="66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ht="18.75" customHeight="1">
      <c r="A677" s="66"/>
      <c r="B677" s="66"/>
      <c r="C677" s="66"/>
      <c r="D677" s="66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ht="18.75" customHeight="1">
      <c r="A678" s="66"/>
      <c r="B678" s="66"/>
      <c r="C678" s="66"/>
      <c r="D678" s="66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ht="18.75" customHeight="1">
      <c r="A679" s="66"/>
      <c r="B679" s="66"/>
      <c r="C679" s="66"/>
      <c r="D679" s="66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ht="18.75" customHeight="1">
      <c r="A680" s="66"/>
      <c r="B680" s="66"/>
      <c r="C680" s="66"/>
      <c r="D680" s="66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ht="18.75" customHeight="1">
      <c r="A681" s="66"/>
      <c r="B681" s="66"/>
      <c r="C681" s="66"/>
      <c r="D681" s="66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ht="18.75" customHeight="1">
      <c r="A682" s="66"/>
      <c r="B682" s="66"/>
      <c r="C682" s="66"/>
      <c r="D682" s="66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ht="18.75" customHeight="1">
      <c r="A683" s="66"/>
      <c r="B683" s="66"/>
      <c r="C683" s="66"/>
      <c r="D683" s="66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ht="18.75" customHeight="1">
      <c r="A684" s="66"/>
      <c r="B684" s="66"/>
      <c r="C684" s="66"/>
      <c r="D684" s="66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ht="18.75" customHeight="1">
      <c r="A685" s="66"/>
      <c r="B685" s="66"/>
      <c r="C685" s="66"/>
      <c r="D685" s="66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ht="18.75" customHeight="1">
      <c r="A686" s="66"/>
      <c r="B686" s="66"/>
      <c r="C686" s="66"/>
      <c r="D686" s="66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ht="18.75" customHeight="1">
      <c r="A687" s="66"/>
      <c r="B687" s="66"/>
      <c r="C687" s="66"/>
      <c r="D687" s="66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ht="18.75" customHeight="1">
      <c r="A688" s="66"/>
      <c r="B688" s="66"/>
      <c r="C688" s="66"/>
      <c r="D688" s="66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ht="18.75" customHeight="1">
      <c r="A689" s="66"/>
      <c r="B689" s="66"/>
      <c r="C689" s="66"/>
      <c r="D689" s="66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ht="18.75" customHeight="1">
      <c r="A690" s="66"/>
      <c r="B690" s="66"/>
      <c r="C690" s="66"/>
      <c r="D690" s="66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ht="18.75" customHeight="1">
      <c r="A691" s="66"/>
      <c r="B691" s="66"/>
      <c r="C691" s="66"/>
      <c r="D691" s="66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ht="18.75" customHeight="1">
      <c r="A692" s="66"/>
      <c r="B692" s="66"/>
      <c r="C692" s="66"/>
      <c r="D692" s="66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ht="18.75" customHeight="1">
      <c r="A693" s="66"/>
      <c r="B693" s="66"/>
      <c r="C693" s="66"/>
      <c r="D693" s="66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ht="18.75" customHeight="1">
      <c r="A694" s="66"/>
      <c r="B694" s="66"/>
      <c r="C694" s="66"/>
      <c r="D694" s="66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ht="18.75" customHeight="1">
      <c r="A695" s="66"/>
      <c r="B695" s="66"/>
      <c r="C695" s="66"/>
      <c r="D695" s="66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ht="18.75" customHeight="1">
      <c r="A696" s="66"/>
      <c r="B696" s="66"/>
      <c r="C696" s="66"/>
      <c r="D696" s="66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ht="18.75" customHeight="1">
      <c r="A697" s="66"/>
      <c r="B697" s="66"/>
      <c r="C697" s="66"/>
      <c r="D697" s="66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ht="18.75" customHeight="1">
      <c r="A698" s="66"/>
      <c r="B698" s="66"/>
      <c r="C698" s="66"/>
      <c r="D698" s="66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ht="18.75" customHeight="1">
      <c r="A699" s="66"/>
      <c r="B699" s="66"/>
      <c r="C699" s="66"/>
      <c r="D699" s="66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ht="18.75" customHeight="1">
      <c r="A700" s="66"/>
      <c r="B700" s="66"/>
      <c r="C700" s="66"/>
      <c r="D700" s="66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ht="18.75" customHeight="1">
      <c r="A701" s="66"/>
      <c r="B701" s="66"/>
      <c r="C701" s="66"/>
      <c r="D701" s="66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ht="18.75" customHeight="1">
      <c r="A702" s="66"/>
      <c r="B702" s="66"/>
      <c r="C702" s="66"/>
      <c r="D702" s="66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ht="18.75" customHeight="1">
      <c r="A703" s="66"/>
      <c r="B703" s="66"/>
      <c r="C703" s="66"/>
      <c r="D703" s="66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ht="18.75" customHeight="1">
      <c r="A704" s="66"/>
      <c r="B704" s="66"/>
      <c r="C704" s="66"/>
      <c r="D704" s="66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ht="18.75" customHeight="1">
      <c r="A705" s="66"/>
      <c r="B705" s="66"/>
      <c r="C705" s="66"/>
      <c r="D705" s="66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ht="18.75" customHeight="1">
      <c r="A706" s="66"/>
      <c r="B706" s="66"/>
      <c r="C706" s="66"/>
      <c r="D706" s="66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ht="18.75" customHeight="1">
      <c r="A707" s="66"/>
      <c r="B707" s="66"/>
      <c r="C707" s="66"/>
      <c r="D707" s="66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ht="18.75" customHeight="1">
      <c r="A708" s="66"/>
      <c r="B708" s="66"/>
      <c r="C708" s="66"/>
      <c r="D708" s="66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ht="18.75" customHeight="1">
      <c r="A709" s="66"/>
      <c r="B709" s="66"/>
      <c r="C709" s="66"/>
      <c r="D709" s="66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ht="18.75" customHeight="1">
      <c r="A710" s="66"/>
      <c r="B710" s="66"/>
      <c r="C710" s="66"/>
      <c r="D710" s="66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ht="18.75" customHeight="1">
      <c r="A711" s="66"/>
      <c r="B711" s="66"/>
      <c r="C711" s="66"/>
      <c r="D711" s="66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ht="18.75" customHeight="1">
      <c r="A712" s="66"/>
      <c r="B712" s="66"/>
      <c r="C712" s="66"/>
      <c r="D712" s="66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ht="18.75" customHeight="1">
      <c r="A713" s="66"/>
      <c r="B713" s="66"/>
      <c r="C713" s="66"/>
      <c r="D713" s="66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ht="18.75" customHeight="1">
      <c r="A714" s="66"/>
      <c r="B714" s="66"/>
      <c r="C714" s="66"/>
      <c r="D714" s="66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ht="18.75" customHeight="1">
      <c r="A715" s="66"/>
      <c r="B715" s="66"/>
      <c r="C715" s="66"/>
      <c r="D715" s="66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ht="18.75" customHeight="1">
      <c r="A716" s="66"/>
      <c r="B716" s="66"/>
      <c r="C716" s="66"/>
      <c r="D716" s="66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ht="18.75" customHeight="1">
      <c r="A717" s="66"/>
      <c r="B717" s="66"/>
      <c r="C717" s="66"/>
      <c r="D717" s="66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ht="18.75" customHeight="1">
      <c r="A718" s="66"/>
      <c r="B718" s="66"/>
      <c r="C718" s="66"/>
      <c r="D718" s="66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ht="18.75" customHeight="1">
      <c r="A719" s="66"/>
      <c r="B719" s="66"/>
      <c r="C719" s="66"/>
      <c r="D719" s="66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ht="18.75" customHeight="1">
      <c r="A720" s="66"/>
      <c r="B720" s="66"/>
      <c r="C720" s="66"/>
      <c r="D720" s="66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ht="18.75" customHeight="1">
      <c r="A721" s="66"/>
      <c r="B721" s="66"/>
      <c r="C721" s="66"/>
      <c r="D721" s="66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ht="18.75" customHeight="1">
      <c r="A722" s="66"/>
      <c r="B722" s="66"/>
      <c r="C722" s="66"/>
      <c r="D722" s="66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ht="18.75" customHeight="1">
      <c r="A723" s="66"/>
      <c r="B723" s="66"/>
      <c r="C723" s="66"/>
      <c r="D723" s="66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ht="18.75" customHeight="1">
      <c r="A724" s="66"/>
      <c r="B724" s="66"/>
      <c r="C724" s="66"/>
      <c r="D724" s="66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ht="18.75" customHeight="1">
      <c r="A725" s="66"/>
      <c r="B725" s="66"/>
      <c r="C725" s="66"/>
      <c r="D725" s="66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ht="18.75" customHeight="1">
      <c r="A726" s="66"/>
      <c r="B726" s="66"/>
      <c r="C726" s="66"/>
      <c r="D726" s="66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ht="18.75" customHeight="1">
      <c r="A727" s="66"/>
      <c r="B727" s="66"/>
      <c r="C727" s="66"/>
      <c r="D727" s="66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ht="18.75" customHeight="1">
      <c r="A728" s="66"/>
      <c r="B728" s="66"/>
      <c r="C728" s="66"/>
      <c r="D728" s="66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ht="18.75" customHeight="1">
      <c r="A729" s="66"/>
      <c r="B729" s="66"/>
      <c r="C729" s="66"/>
      <c r="D729" s="66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ht="18.75" customHeight="1">
      <c r="A730" s="66"/>
      <c r="B730" s="66"/>
      <c r="C730" s="66"/>
      <c r="D730" s="66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ht="18.75" customHeight="1">
      <c r="A731" s="66"/>
      <c r="B731" s="66"/>
      <c r="C731" s="66"/>
      <c r="D731" s="66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ht="18.75" customHeight="1">
      <c r="A732" s="66"/>
      <c r="B732" s="66"/>
      <c r="C732" s="66"/>
      <c r="D732" s="66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ht="18.75" customHeight="1">
      <c r="A733" s="66"/>
      <c r="B733" s="66"/>
      <c r="C733" s="66"/>
      <c r="D733" s="66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ht="18.75" customHeight="1">
      <c r="A734" s="66"/>
      <c r="B734" s="66"/>
      <c r="C734" s="66"/>
      <c r="D734" s="66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ht="18.75" customHeight="1">
      <c r="A735" s="66"/>
      <c r="B735" s="66"/>
      <c r="C735" s="66"/>
      <c r="D735" s="66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ht="18.75" customHeight="1">
      <c r="A736" s="66"/>
      <c r="B736" s="66"/>
      <c r="C736" s="66"/>
      <c r="D736" s="66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ht="18.75" customHeight="1">
      <c r="A737" s="66"/>
      <c r="B737" s="66"/>
      <c r="C737" s="66"/>
      <c r="D737" s="66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ht="18.75" customHeight="1">
      <c r="A738" s="66"/>
      <c r="B738" s="66"/>
      <c r="C738" s="66"/>
      <c r="D738" s="66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ht="18.75" customHeight="1">
      <c r="A739" s="66"/>
      <c r="B739" s="66"/>
      <c r="C739" s="66"/>
      <c r="D739" s="66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ht="18.75" customHeight="1">
      <c r="A740" s="66"/>
      <c r="B740" s="66"/>
      <c r="C740" s="66"/>
      <c r="D740" s="66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ht="18.75" customHeight="1">
      <c r="A741" s="66"/>
      <c r="B741" s="66"/>
      <c r="C741" s="66"/>
      <c r="D741" s="66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ht="18.75" customHeight="1">
      <c r="A742" s="66"/>
      <c r="B742" s="66"/>
      <c r="C742" s="66"/>
      <c r="D742" s="66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ht="18.75" customHeight="1">
      <c r="A743" s="66"/>
      <c r="B743" s="66"/>
      <c r="C743" s="66"/>
      <c r="D743" s="66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ht="18.75" customHeight="1">
      <c r="A744" s="66"/>
      <c r="B744" s="66"/>
      <c r="C744" s="66"/>
      <c r="D744" s="66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ht="18.75" customHeight="1">
      <c r="A745" s="66"/>
      <c r="B745" s="66"/>
      <c r="C745" s="66"/>
      <c r="D745" s="66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ht="18.75" customHeight="1">
      <c r="A746" s="66"/>
      <c r="B746" s="66"/>
      <c r="C746" s="66"/>
      <c r="D746" s="66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ht="18.75" customHeight="1">
      <c r="A747" s="66"/>
      <c r="B747" s="66"/>
      <c r="C747" s="66"/>
      <c r="D747" s="66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ht="18.75" customHeight="1">
      <c r="A748" s="66"/>
      <c r="B748" s="66"/>
      <c r="C748" s="66"/>
      <c r="D748" s="66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ht="18.75" customHeight="1">
      <c r="A749" s="66"/>
      <c r="B749" s="66"/>
      <c r="C749" s="66"/>
      <c r="D749" s="66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ht="18.75" customHeight="1">
      <c r="A750" s="66"/>
      <c r="B750" s="66"/>
      <c r="C750" s="66"/>
      <c r="D750" s="66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ht="18.75" customHeight="1">
      <c r="A751" s="66"/>
      <c r="B751" s="66"/>
      <c r="C751" s="66"/>
      <c r="D751" s="66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ht="18.75" customHeight="1">
      <c r="A752" s="66"/>
      <c r="B752" s="66"/>
      <c r="C752" s="66"/>
      <c r="D752" s="66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ht="18.75" customHeight="1">
      <c r="A753" s="66"/>
      <c r="B753" s="66"/>
      <c r="C753" s="66"/>
      <c r="D753" s="66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ht="18.75" customHeight="1">
      <c r="A754" s="66"/>
      <c r="B754" s="66"/>
      <c r="C754" s="66"/>
      <c r="D754" s="66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ht="18.75" customHeight="1">
      <c r="A755" s="66"/>
      <c r="B755" s="66"/>
      <c r="C755" s="66"/>
      <c r="D755" s="66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ht="18.75" customHeight="1">
      <c r="A756" s="66"/>
      <c r="B756" s="66"/>
      <c r="C756" s="66"/>
      <c r="D756" s="66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ht="18.75" customHeight="1">
      <c r="A757" s="66"/>
      <c r="B757" s="66"/>
      <c r="C757" s="66"/>
      <c r="D757" s="66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ht="18.75" customHeight="1">
      <c r="A758" s="66"/>
      <c r="B758" s="66"/>
      <c r="C758" s="66"/>
      <c r="D758" s="66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ht="18.75" customHeight="1">
      <c r="A759" s="66"/>
      <c r="B759" s="66"/>
      <c r="C759" s="66"/>
      <c r="D759" s="66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ht="18.75" customHeight="1">
      <c r="A760" s="66"/>
      <c r="B760" s="66"/>
      <c r="C760" s="66"/>
      <c r="D760" s="66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ht="18.75" customHeight="1">
      <c r="A761" s="66"/>
      <c r="B761" s="66"/>
      <c r="C761" s="66"/>
      <c r="D761" s="66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ht="18.75" customHeight="1">
      <c r="A762" s="66"/>
      <c r="B762" s="66"/>
      <c r="C762" s="66"/>
      <c r="D762" s="66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ht="18.75" customHeight="1">
      <c r="A763" s="66"/>
      <c r="B763" s="66"/>
      <c r="C763" s="66"/>
      <c r="D763" s="66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ht="18.75" customHeight="1">
      <c r="A764" s="66"/>
      <c r="B764" s="66"/>
      <c r="C764" s="66"/>
      <c r="D764" s="66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ht="18.75" customHeight="1">
      <c r="A765" s="66"/>
      <c r="B765" s="66"/>
      <c r="C765" s="66"/>
      <c r="D765" s="66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ht="18.75" customHeight="1">
      <c r="A766" s="66"/>
      <c r="B766" s="66"/>
      <c r="C766" s="66"/>
      <c r="D766" s="66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ht="18.75" customHeight="1">
      <c r="A767" s="66"/>
      <c r="B767" s="66"/>
      <c r="C767" s="66"/>
      <c r="D767" s="66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ht="18.75" customHeight="1">
      <c r="A768" s="66"/>
      <c r="B768" s="66"/>
      <c r="C768" s="66"/>
      <c r="D768" s="66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ht="18.75" customHeight="1">
      <c r="A769" s="66"/>
      <c r="B769" s="66"/>
      <c r="C769" s="66"/>
      <c r="D769" s="66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ht="18.75" customHeight="1">
      <c r="A770" s="66"/>
      <c r="B770" s="66"/>
      <c r="C770" s="66"/>
      <c r="D770" s="66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ht="18.75" customHeight="1">
      <c r="A771" s="66"/>
      <c r="B771" s="66"/>
      <c r="C771" s="66"/>
      <c r="D771" s="66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ht="18.75" customHeight="1">
      <c r="A772" s="66"/>
      <c r="B772" s="66"/>
      <c r="C772" s="66"/>
      <c r="D772" s="66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ht="18.75" customHeight="1">
      <c r="A773" s="66"/>
      <c r="B773" s="66"/>
      <c r="C773" s="66"/>
      <c r="D773" s="66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ht="18.75" customHeight="1">
      <c r="A774" s="66"/>
      <c r="B774" s="66"/>
      <c r="C774" s="66"/>
      <c r="D774" s="66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ht="18.75" customHeight="1">
      <c r="A775" s="66"/>
      <c r="B775" s="66"/>
      <c r="C775" s="66"/>
      <c r="D775" s="66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ht="18.75" customHeight="1">
      <c r="A776" s="66"/>
      <c r="B776" s="66"/>
      <c r="C776" s="66"/>
      <c r="D776" s="66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ht="18.75" customHeight="1">
      <c r="A777" s="66"/>
      <c r="B777" s="66"/>
      <c r="C777" s="66"/>
      <c r="D777" s="66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ht="18.75" customHeight="1">
      <c r="A778" s="66"/>
      <c r="B778" s="66"/>
      <c r="C778" s="66"/>
      <c r="D778" s="66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ht="18.75" customHeight="1">
      <c r="A779" s="66"/>
      <c r="B779" s="66"/>
      <c r="C779" s="66"/>
      <c r="D779" s="66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ht="18.75" customHeight="1">
      <c r="A780" s="66"/>
      <c r="B780" s="66"/>
      <c r="C780" s="66"/>
      <c r="D780" s="66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ht="18.75" customHeight="1">
      <c r="A781" s="66"/>
      <c r="B781" s="66"/>
      <c r="C781" s="66"/>
      <c r="D781" s="66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ht="18.75" customHeight="1">
      <c r="A782" s="66"/>
      <c r="B782" s="66"/>
      <c r="C782" s="66"/>
      <c r="D782" s="66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ht="18.75" customHeight="1">
      <c r="A783" s="66"/>
      <c r="B783" s="66"/>
      <c r="C783" s="66"/>
      <c r="D783" s="66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ht="18.75" customHeight="1">
      <c r="A784" s="66"/>
      <c r="B784" s="66"/>
      <c r="C784" s="66"/>
      <c r="D784" s="66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ht="18.75" customHeight="1">
      <c r="A785" s="66"/>
      <c r="B785" s="66"/>
      <c r="C785" s="66"/>
      <c r="D785" s="66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ht="18.75" customHeight="1">
      <c r="A786" s="66"/>
      <c r="B786" s="66"/>
      <c r="C786" s="66"/>
      <c r="D786" s="66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ht="18.75" customHeight="1">
      <c r="A787" s="66"/>
      <c r="B787" s="66"/>
      <c r="C787" s="66"/>
      <c r="D787" s="66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ht="18.75" customHeight="1">
      <c r="A788" s="66"/>
      <c r="B788" s="66"/>
      <c r="C788" s="66"/>
      <c r="D788" s="66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ht="18.75" customHeight="1">
      <c r="A789" s="66"/>
      <c r="B789" s="66"/>
      <c r="C789" s="66"/>
      <c r="D789" s="66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ht="18.75" customHeight="1">
      <c r="A790" s="66"/>
      <c r="B790" s="66"/>
      <c r="C790" s="66"/>
      <c r="D790" s="66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ht="18.75" customHeight="1">
      <c r="A791" s="66"/>
      <c r="B791" s="66"/>
      <c r="C791" s="66"/>
      <c r="D791" s="66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ht="18.75" customHeight="1">
      <c r="A792" s="66"/>
      <c r="B792" s="66"/>
      <c r="C792" s="66"/>
      <c r="D792" s="66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ht="18.75" customHeight="1">
      <c r="A793" s="66"/>
      <c r="B793" s="66"/>
      <c r="C793" s="66"/>
      <c r="D793" s="66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ht="18.75" customHeight="1">
      <c r="A794" s="66"/>
      <c r="B794" s="66"/>
      <c r="C794" s="66"/>
      <c r="D794" s="66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ht="18.75" customHeight="1">
      <c r="A795" s="66"/>
      <c r="B795" s="66"/>
      <c r="C795" s="66"/>
      <c r="D795" s="66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ht="18.75" customHeight="1">
      <c r="A796" s="66"/>
      <c r="B796" s="66"/>
      <c r="C796" s="66"/>
      <c r="D796" s="66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ht="18.75" customHeight="1">
      <c r="A797" s="66"/>
      <c r="B797" s="66"/>
      <c r="C797" s="66"/>
      <c r="D797" s="66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ht="18.75" customHeight="1">
      <c r="A798" s="66"/>
      <c r="B798" s="66"/>
      <c r="C798" s="66"/>
      <c r="D798" s="66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ht="18.75" customHeight="1">
      <c r="A799" s="66"/>
      <c r="B799" s="66"/>
      <c r="C799" s="66"/>
      <c r="D799" s="66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ht="18.75" customHeight="1">
      <c r="A800" s="66"/>
      <c r="B800" s="66"/>
      <c r="C800" s="66"/>
      <c r="D800" s="66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ht="18.75" customHeight="1">
      <c r="A801" s="66"/>
      <c r="B801" s="66"/>
      <c r="C801" s="66"/>
      <c r="D801" s="66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ht="18.75" customHeight="1">
      <c r="A802" s="66"/>
      <c r="B802" s="66"/>
      <c r="C802" s="66"/>
      <c r="D802" s="66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ht="18.75" customHeight="1">
      <c r="A803" s="66"/>
      <c r="B803" s="66"/>
      <c r="C803" s="66"/>
      <c r="D803" s="66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ht="18.75" customHeight="1">
      <c r="A804" s="66"/>
      <c r="B804" s="66"/>
      <c r="C804" s="66"/>
      <c r="D804" s="66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ht="18.75" customHeight="1">
      <c r="A805" s="66"/>
      <c r="B805" s="66"/>
      <c r="C805" s="66"/>
      <c r="D805" s="66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ht="18.75" customHeight="1">
      <c r="A806" s="66"/>
      <c r="B806" s="66"/>
      <c r="C806" s="66"/>
      <c r="D806" s="66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ht="18.75" customHeight="1">
      <c r="A807" s="66"/>
      <c r="B807" s="66"/>
      <c r="C807" s="66"/>
      <c r="D807" s="66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ht="18.75" customHeight="1">
      <c r="A808" s="66"/>
      <c r="B808" s="66"/>
      <c r="C808" s="66"/>
      <c r="D808" s="66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ht="18.75" customHeight="1">
      <c r="A809" s="66"/>
      <c r="B809" s="66"/>
      <c r="C809" s="66"/>
      <c r="D809" s="66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ht="18.75" customHeight="1">
      <c r="A810" s="66"/>
      <c r="B810" s="66"/>
      <c r="C810" s="66"/>
      <c r="D810" s="66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ht="18.75" customHeight="1">
      <c r="A811" s="66"/>
      <c r="B811" s="66"/>
      <c r="C811" s="66"/>
      <c r="D811" s="66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ht="18.75" customHeight="1">
      <c r="A812" s="66"/>
      <c r="B812" s="66"/>
      <c r="C812" s="66"/>
      <c r="D812" s="66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ht="18.75" customHeight="1">
      <c r="A813" s="66"/>
      <c r="B813" s="66"/>
      <c r="C813" s="66"/>
      <c r="D813" s="66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ht="18.75" customHeight="1">
      <c r="A814" s="66"/>
      <c r="B814" s="66"/>
      <c r="C814" s="66"/>
      <c r="D814" s="66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ht="18.75" customHeight="1">
      <c r="A815" s="66"/>
      <c r="B815" s="66"/>
      <c r="C815" s="66"/>
      <c r="D815" s="66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ht="18.75" customHeight="1">
      <c r="A816" s="66"/>
      <c r="B816" s="66"/>
      <c r="C816" s="66"/>
      <c r="D816" s="66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ht="18.75" customHeight="1">
      <c r="A817" s="66"/>
      <c r="B817" s="66"/>
      <c r="C817" s="66"/>
      <c r="D817" s="66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ht="18.75" customHeight="1">
      <c r="A818" s="66"/>
      <c r="B818" s="66"/>
      <c r="C818" s="66"/>
      <c r="D818" s="66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ht="18.75" customHeight="1">
      <c r="A819" s="66"/>
      <c r="B819" s="66"/>
      <c r="C819" s="66"/>
      <c r="D819" s="66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ht="18.75" customHeight="1">
      <c r="A820" s="66"/>
      <c r="B820" s="66"/>
      <c r="C820" s="66"/>
      <c r="D820" s="66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ht="18.75" customHeight="1">
      <c r="A821" s="66"/>
      <c r="B821" s="66"/>
      <c r="C821" s="66"/>
      <c r="D821" s="66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ht="18.75" customHeight="1">
      <c r="A822" s="66"/>
      <c r="B822" s="66"/>
      <c r="C822" s="66"/>
      <c r="D822" s="66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ht="18.75" customHeight="1">
      <c r="A823" s="66"/>
      <c r="B823" s="66"/>
      <c r="C823" s="66"/>
      <c r="D823" s="66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ht="18.75" customHeight="1">
      <c r="A824" s="66"/>
      <c r="B824" s="66"/>
      <c r="C824" s="66"/>
      <c r="D824" s="66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ht="18.75" customHeight="1">
      <c r="A825" s="66"/>
      <c r="B825" s="66"/>
      <c r="C825" s="66"/>
      <c r="D825" s="66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ht="18.75" customHeight="1">
      <c r="A826" s="66"/>
      <c r="B826" s="66"/>
      <c r="C826" s="66"/>
      <c r="D826" s="66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ht="18.75" customHeight="1">
      <c r="A827" s="66"/>
      <c r="B827" s="66"/>
      <c r="C827" s="66"/>
      <c r="D827" s="66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ht="18.75" customHeight="1">
      <c r="A828" s="66"/>
      <c r="B828" s="66"/>
      <c r="C828" s="66"/>
      <c r="D828" s="66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ht="18.75" customHeight="1">
      <c r="A829" s="66"/>
      <c r="B829" s="66"/>
      <c r="C829" s="66"/>
      <c r="D829" s="66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ht="18.75" customHeight="1">
      <c r="A830" s="66"/>
      <c r="B830" s="66"/>
      <c r="C830" s="66"/>
      <c r="D830" s="66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ht="18.75" customHeight="1">
      <c r="A831" s="66"/>
      <c r="B831" s="66"/>
      <c r="C831" s="66"/>
      <c r="D831" s="66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ht="18.75" customHeight="1">
      <c r="A832" s="66"/>
      <c r="B832" s="66"/>
      <c r="C832" s="66"/>
      <c r="D832" s="66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ht="18.75" customHeight="1">
      <c r="A833" s="66"/>
      <c r="B833" s="66"/>
      <c r="C833" s="66"/>
      <c r="D833" s="66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ht="18.75" customHeight="1">
      <c r="A834" s="66"/>
      <c r="B834" s="66"/>
      <c r="C834" s="66"/>
      <c r="D834" s="66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ht="18.75" customHeight="1">
      <c r="A835" s="66"/>
      <c r="B835" s="66"/>
      <c r="C835" s="66"/>
      <c r="D835" s="66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ht="18.75" customHeight="1">
      <c r="A836" s="66"/>
      <c r="B836" s="66"/>
      <c r="C836" s="66"/>
      <c r="D836" s="66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ht="18.75" customHeight="1">
      <c r="A837" s="66"/>
      <c r="B837" s="66"/>
      <c r="C837" s="66"/>
      <c r="D837" s="66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ht="18.75" customHeight="1">
      <c r="A838" s="66"/>
      <c r="B838" s="66"/>
      <c r="C838" s="66"/>
      <c r="D838" s="66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ht="18.75" customHeight="1">
      <c r="A839" s="66"/>
      <c r="B839" s="66"/>
      <c r="C839" s="66"/>
      <c r="D839" s="66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ht="18.75" customHeight="1">
      <c r="A840" s="66"/>
      <c r="B840" s="66"/>
      <c r="C840" s="66"/>
      <c r="D840" s="66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ht="18.75" customHeight="1">
      <c r="A841" s="66"/>
      <c r="B841" s="66"/>
      <c r="C841" s="66"/>
      <c r="D841" s="66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ht="18.75" customHeight="1">
      <c r="A842" s="66"/>
      <c r="B842" s="66"/>
      <c r="C842" s="66"/>
      <c r="D842" s="66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ht="18.75" customHeight="1">
      <c r="A843" s="66"/>
      <c r="B843" s="66"/>
      <c r="C843" s="66"/>
      <c r="D843" s="66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ht="18.75" customHeight="1">
      <c r="A844" s="66"/>
      <c r="B844" s="66"/>
      <c r="C844" s="66"/>
      <c r="D844" s="66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ht="18.75" customHeight="1">
      <c r="A845" s="66"/>
      <c r="B845" s="66"/>
      <c r="C845" s="66"/>
      <c r="D845" s="66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ht="18.75" customHeight="1">
      <c r="A846" s="66"/>
      <c r="B846" s="66"/>
      <c r="C846" s="66"/>
      <c r="D846" s="66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ht="18.75" customHeight="1">
      <c r="A847" s="66"/>
      <c r="B847" s="66"/>
      <c r="C847" s="66"/>
      <c r="D847" s="66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ht="18.75" customHeight="1">
      <c r="A848" s="66"/>
      <c r="B848" s="66"/>
      <c r="C848" s="66"/>
      <c r="D848" s="66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ht="18.75" customHeight="1">
      <c r="A849" s="66"/>
      <c r="B849" s="66"/>
      <c r="C849" s="66"/>
      <c r="D849" s="66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ht="18.75" customHeight="1">
      <c r="A850" s="66"/>
      <c r="B850" s="66"/>
      <c r="C850" s="66"/>
      <c r="D850" s="66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ht="18.75" customHeight="1">
      <c r="A851" s="66"/>
      <c r="B851" s="66"/>
      <c r="C851" s="66"/>
      <c r="D851" s="66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ht="18.75" customHeight="1">
      <c r="A852" s="66"/>
      <c r="B852" s="66"/>
      <c r="C852" s="66"/>
      <c r="D852" s="66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ht="18.75" customHeight="1">
      <c r="A853" s="66"/>
      <c r="B853" s="66"/>
      <c r="C853" s="66"/>
      <c r="D853" s="66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ht="18.75" customHeight="1">
      <c r="A854" s="66"/>
      <c r="B854" s="66"/>
      <c r="C854" s="66"/>
      <c r="D854" s="66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ht="18.75" customHeight="1">
      <c r="A855" s="66"/>
      <c r="B855" s="66"/>
      <c r="C855" s="66"/>
      <c r="D855" s="66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ht="18.75" customHeight="1">
      <c r="A856" s="66"/>
      <c r="B856" s="66"/>
      <c r="C856" s="66"/>
      <c r="D856" s="66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ht="18.75" customHeight="1">
      <c r="A857" s="66"/>
      <c r="B857" s="66"/>
      <c r="C857" s="66"/>
      <c r="D857" s="66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ht="18.75" customHeight="1">
      <c r="A858" s="66"/>
      <c r="B858" s="66"/>
      <c r="C858" s="66"/>
      <c r="D858" s="66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ht="18.75" customHeight="1">
      <c r="A859" s="66"/>
      <c r="B859" s="66"/>
      <c r="C859" s="66"/>
      <c r="D859" s="66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ht="18.75" customHeight="1">
      <c r="A860" s="66"/>
      <c r="B860" s="66"/>
      <c r="C860" s="66"/>
      <c r="D860" s="66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ht="18.75" customHeight="1">
      <c r="A861" s="66"/>
      <c r="B861" s="66"/>
      <c r="C861" s="66"/>
      <c r="D861" s="66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ht="18.75" customHeight="1">
      <c r="A862" s="66"/>
      <c r="B862" s="66"/>
      <c r="C862" s="66"/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ht="18.75" customHeight="1">
      <c r="A863" s="66"/>
      <c r="B863" s="66"/>
      <c r="C863" s="66"/>
      <c r="D863" s="66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ht="18.75" customHeight="1">
      <c r="A864" s="66"/>
      <c r="B864" s="66"/>
      <c r="C864" s="66"/>
      <c r="D864" s="66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ht="18.75" customHeight="1">
      <c r="A865" s="66"/>
      <c r="B865" s="66"/>
      <c r="C865" s="66"/>
      <c r="D865" s="66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ht="18.75" customHeight="1">
      <c r="A866" s="66"/>
      <c r="B866" s="66"/>
      <c r="C866" s="66"/>
      <c r="D866" s="66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ht="18.75" customHeight="1">
      <c r="A867" s="66"/>
      <c r="B867" s="66"/>
      <c r="C867" s="66"/>
      <c r="D867" s="66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ht="18.75" customHeight="1">
      <c r="A868" s="66"/>
      <c r="B868" s="66"/>
      <c r="C868" s="66"/>
      <c r="D868" s="66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ht="18.75" customHeight="1">
      <c r="A869" s="66"/>
      <c r="B869" s="66"/>
      <c r="C869" s="66"/>
      <c r="D869" s="66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ht="18.75" customHeight="1">
      <c r="A870" s="66"/>
      <c r="B870" s="66"/>
      <c r="C870" s="66"/>
      <c r="D870" s="66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ht="18.75" customHeight="1">
      <c r="A871" s="66"/>
      <c r="B871" s="66"/>
      <c r="C871" s="66"/>
      <c r="D871" s="66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ht="18.75" customHeight="1">
      <c r="A872" s="66"/>
      <c r="B872" s="66"/>
      <c r="C872" s="66"/>
      <c r="D872" s="66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ht="18.75" customHeight="1">
      <c r="A873" s="66"/>
      <c r="B873" s="66"/>
      <c r="C873" s="66"/>
      <c r="D873" s="66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ht="18.75" customHeight="1">
      <c r="A874" s="66"/>
      <c r="B874" s="66"/>
      <c r="C874" s="66"/>
      <c r="D874" s="66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ht="18.75" customHeight="1">
      <c r="A875" s="66"/>
      <c r="B875" s="66"/>
      <c r="C875" s="66"/>
      <c r="D875" s="66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ht="18.75" customHeight="1">
      <c r="A876" s="66"/>
      <c r="B876" s="66"/>
      <c r="C876" s="66"/>
      <c r="D876" s="66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ht="18.75" customHeight="1">
      <c r="A877" s="66"/>
      <c r="B877" s="66"/>
      <c r="C877" s="66"/>
      <c r="D877" s="66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ht="18.75" customHeight="1">
      <c r="A878" s="66"/>
      <c r="B878" s="66"/>
      <c r="C878" s="66"/>
      <c r="D878" s="66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ht="18.75" customHeight="1">
      <c r="A879" s="66"/>
      <c r="B879" s="66"/>
      <c r="C879" s="66"/>
      <c r="D879" s="66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ht="18.75" customHeight="1">
      <c r="A880" s="66"/>
      <c r="B880" s="66"/>
      <c r="C880" s="66"/>
      <c r="D880" s="66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ht="18.75" customHeight="1">
      <c r="A881" s="66"/>
      <c r="B881" s="66"/>
      <c r="C881" s="66"/>
      <c r="D881" s="66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ht="18.75" customHeight="1">
      <c r="A882" s="66"/>
      <c r="B882" s="66"/>
      <c r="C882" s="66"/>
      <c r="D882" s="66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ht="18.75" customHeight="1">
      <c r="A883" s="66"/>
      <c r="B883" s="66"/>
      <c r="C883" s="66"/>
      <c r="D883" s="66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ht="18.75" customHeight="1">
      <c r="A884" s="66"/>
      <c r="B884" s="66"/>
      <c r="C884" s="66"/>
      <c r="D884" s="66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ht="18.75" customHeight="1">
      <c r="A885" s="66"/>
      <c r="B885" s="66"/>
      <c r="C885" s="66"/>
      <c r="D885" s="66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ht="18.75" customHeight="1">
      <c r="A886" s="66"/>
      <c r="B886" s="66"/>
      <c r="C886" s="66"/>
      <c r="D886" s="66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ht="18.75" customHeight="1">
      <c r="A887" s="66"/>
      <c r="B887" s="66"/>
      <c r="C887" s="66"/>
      <c r="D887" s="66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ht="18.75" customHeight="1">
      <c r="A888" s="66"/>
      <c r="B888" s="66"/>
      <c r="C888" s="66"/>
      <c r="D888" s="66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ht="18.75" customHeight="1">
      <c r="A889" s="66"/>
      <c r="B889" s="66"/>
      <c r="C889" s="66"/>
      <c r="D889" s="66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ht="18.75" customHeight="1">
      <c r="A890" s="66"/>
      <c r="B890" s="66"/>
      <c r="C890" s="66"/>
      <c r="D890" s="66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ht="18.75" customHeight="1">
      <c r="A891" s="66"/>
      <c r="B891" s="66"/>
      <c r="C891" s="66"/>
      <c r="D891" s="66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ht="18.75" customHeight="1">
      <c r="A892" s="66"/>
      <c r="B892" s="66"/>
      <c r="C892" s="66"/>
      <c r="D892" s="66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ht="18.75" customHeight="1">
      <c r="A893" s="66"/>
      <c r="B893" s="66"/>
      <c r="C893" s="66"/>
      <c r="D893" s="66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ht="18.75" customHeight="1">
      <c r="A894" s="66"/>
      <c r="B894" s="66"/>
      <c r="C894" s="66"/>
      <c r="D894" s="66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ht="18.75" customHeight="1">
      <c r="A895" s="66"/>
      <c r="B895" s="66"/>
      <c r="C895" s="66"/>
      <c r="D895" s="66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ht="18.75" customHeight="1">
      <c r="A896" s="66"/>
      <c r="B896" s="66"/>
      <c r="C896" s="66"/>
      <c r="D896" s="66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ht="18.75" customHeight="1">
      <c r="A897" s="66"/>
      <c r="B897" s="66"/>
      <c r="C897" s="66"/>
      <c r="D897" s="66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ht="18.75" customHeight="1">
      <c r="A898" s="66"/>
      <c r="B898" s="66"/>
      <c r="C898" s="66"/>
      <c r="D898" s="66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ht="18.75" customHeight="1">
      <c r="A899" s="66"/>
      <c r="B899" s="66"/>
      <c r="C899" s="66"/>
      <c r="D899" s="66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ht="18.75" customHeight="1">
      <c r="A900" s="66"/>
      <c r="B900" s="66"/>
      <c r="C900" s="66"/>
      <c r="D900" s="66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ht="18.75" customHeight="1">
      <c r="A901" s="66"/>
      <c r="B901" s="66"/>
      <c r="C901" s="66"/>
      <c r="D901" s="66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ht="18.75" customHeight="1">
      <c r="A902" s="66"/>
      <c r="B902" s="66"/>
      <c r="C902" s="66"/>
      <c r="D902" s="66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ht="18.75" customHeight="1">
      <c r="A903" s="66"/>
      <c r="B903" s="66"/>
      <c r="C903" s="66"/>
      <c r="D903" s="66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ht="18.75" customHeight="1">
      <c r="A904" s="66"/>
      <c r="B904" s="66"/>
      <c r="C904" s="66"/>
      <c r="D904" s="66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ht="18.75" customHeight="1">
      <c r="A905" s="66"/>
      <c r="B905" s="66"/>
      <c r="C905" s="66"/>
      <c r="D905" s="66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ht="18.75" customHeight="1">
      <c r="A906" s="66"/>
      <c r="B906" s="66"/>
      <c r="C906" s="66"/>
      <c r="D906" s="66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ht="18.75" customHeight="1">
      <c r="A907" s="66"/>
      <c r="B907" s="66"/>
      <c r="C907" s="66"/>
      <c r="D907" s="66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ht="18.75" customHeight="1">
      <c r="A908" s="66"/>
      <c r="B908" s="66"/>
      <c r="C908" s="66"/>
      <c r="D908" s="66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ht="18.75" customHeight="1">
      <c r="A909" s="66"/>
      <c r="B909" s="66"/>
      <c r="C909" s="66"/>
      <c r="D909" s="66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ht="18.75" customHeight="1">
      <c r="A910" s="66"/>
      <c r="B910" s="66"/>
      <c r="C910" s="66"/>
      <c r="D910" s="66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ht="18.75" customHeight="1">
      <c r="A911" s="66"/>
      <c r="B911" s="66"/>
      <c r="C911" s="66"/>
      <c r="D911" s="66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ht="18.75" customHeight="1">
      <c r="A912" s="66"/>
      <c r="B912" s="66"/>
      <c r="C912" s="66"/>
      <c r="D912" s="66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ht="18.75" customHeight="1">
      <c r="A913" s="66"/>
      <c r="B913" s="66"/>
      <c r="C913" s="66"/>
      <c r="D913" s="66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ht="18.75" customHeight="1">
      <c r="A914" s="66"/>
      <c r="B914" s="66"/>
      <c r="C914" s="66"/>
      <c r="D914" s="66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ht="18.75" customHeight="1">
      <c r="A915" s="66"/>
      <c r="B915" s="66"/>
      <c r="C915" s="66"/>
      <c r="D915" s="66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ht="18.75" customHeight="1">
      <c r="A916" s="66"/>
      <c r="B916" s="66"/>
      <c r="C916" s="66"/>
      <c r="D916" s="66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ht="18.75" customHeight="1">
      <c r="A917" s="66"/>
      <c r="B917" s="66"/>
      <c r="C917" s="66"/>
      <c r="D917" s="66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ht="18.75" customHeight="1">
      <c r="A918" s="66"/>
      <c r="B918" s="66"/>
      <c r="C918" s="66"/>
      <c r="D918" s="66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ht="18.75" customHeight="1">
      <c r="A919" s="66"/>
      <c r="B919" s="66"/>
      <c r="C919" s="66"/>
      <c r="D919" s="66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ht="18.75" customHeight="1">
      <c r="A920" s="66"/>
      <c r="B920" s="66"/>
      <c r="C920" s="66"/>
      <c r="D920" s="66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ht="18.75" customHeight="1">
      <c r="A921" s="66"/>
      <c r="B921" s="66"/>
      <c r="C921" s="66"/>
      <c r="D921" s="66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ht="18.75" customHeight="1">
      <c r="A922" s="66"/>
      <c r="B922" s="66"/>
      <c r="C922" s="66"/>
      <c r="D922" s="66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ht="18.75" customHeight="1">
      <c r="A923" s="66"/>
      <c r="B923" s="66"/>
      <c r="C923" s="66"/>
      <c r="D923" s="66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ht="18.75" customHeight="1">
      <c r="A924" s="66"/>
      <c r="B924" s="66"/>
      <c r="C924" s="66"/>
      <c r="D924" s="66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ht="18.75" customHeight="1">
      <c r="A925" s="66"/>
      <c r="B925" s="66"/>
      <c r="C925" s="66"/>
      <c r="D925" s="66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ht="18.75" customHeight="1">
      <c r="A926" s="66"/>
      <c r="B926" s="66"/>
      <c r="C926" s="66"/>
      <c r="D926" s="66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ht="18.75" customHeight="1">
      <c r="A927" s="66"/>
      <c r="B927" s="66"/>
      <c r="C927" s="66"/>
      <c r="D927" s="66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ht="18.75" customHeight="1">
      <c r="A928" s="66"/>
      <c r="B928" s="66"/>
      <c r="C928" s="66"/>
      <c r="D928" s="66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ht="18.75" customHeight="1">
      <c r="A929" s="66"/>
      <c r="B929" s="66"/>
      <c r="C929" s="66"/>
      <c r="D929" s="66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ht="18.75" customHeight="1">
      <c r="A930" s="66"/>
      <c r="B930" s="66"/>
      <c r="C930" s="66"/>
      <c r="D930" s="66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ht="18.75" customHeight="1">
      <c r="A931" s="66"/>
      <c r="B931" s="66"/>
      <c r="C931" s="66"/>
      <c r="D931" s="66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ht="18.75" customHeight="1">
      <c r="A932" s="66"/>
      <c r="B932" s="66"/>
      <c r="C932" s="66"/>
      <c r="D932" s="66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ht="18.75" customHeight="1">
      <c r="A933" s="66"/>
      <c r="B933" s="66"/>
      <c r="C933" s="66"/>
      <c r="D933" s="66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ht="18.75" customHeight="1">
      <c r="A934" s="66"/>
      <c r="B934" s="66"/>
      <c r="C934" s="66"/>
      <c r="D934" s="66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ht="18.75" customHeight="1">
      <c r="A935" s="66"/>
      <c r="B935" s="66"/>
      <c r="C935" s="66"/>
      <c r="D935" s="66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ht="18.75" customHeight="1">
      <c r="A936" s="66"/>
      <c r="B936" s="66"/>
      <c r="C936" s="66"/>
      <c r="D936" s="66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ht="18.75" customHeight="1">
      <c r="A937" s="66"/>
      <c r="B937" s="66"/>
      <c r="C937" s="66"/>
      <c r="D937" s="66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ht="18.75" customHeight="1">
      <c r="A938" s="66"/>
      <c r="B938" s="66"/>
      <c r="C938" s="66"/>
      <c r="D938" s="66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ht="18.75" customHeight="1">
      <c r="A939" s="66"/>
      <c r="B939" s="66"/>
      <c r="C939" s="66"/>
      <c r="D939" s="66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ht="18.75" customHeight="1">
      <c r="A940" s="66"/>
      <c r="B940" s="66"/>
      <c r="C940" s="66"/>
      <c r="D940" s="66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ht="18.75" customHeight="1">
      <c r="A941" s="66"/>
      <c r="B941" s="66"/>
      <c r="C941" s="66"/>
      <c r="D941" s="66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ht="18.75" customHeight="1">
      <c r="A942" s="66"/>
      <c r="B942" s="66"/>
      <c r="C942" s="66"/>
      <c r="D942" s="66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ht="18.75" customHeight="1">
      <c r="A943" s="66"/>
      <c r="B943" s="66"/>
      <c r="C943" s="66"/>
      <c r="D943" s="66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ht="18.75" customHeight="1">
      <c r="A944" s="66"/>
      <c r="B944" s="66"/>
      <c r="C944" s="66"/>
      <c r="D944" s="66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ht="18.75" customHeight="1">
      <c r="A945" s="66"/>
      <c r="B945" s="66"/>
      <c r="C945" s="66"/>
      <c r="D945" s="66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ht="18.75" customHeight="1">
      <c r="A946" s="66"/>
      <c r="B946" s="66"/>
      <c r="C946" s="66"/>
      <c r="D946" s="66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ht="18.75" customHeight="1">
      <c r="A947" s="66"/>
      <c r="B947" s="66"/>
      <c r="C947" s="66"/>
      <c r="D947" s="66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ht="18.75" customHeight="1">
      <c r="A948" s="66"/>
      <c r="B948" s="66"/>
      <c r="C948" s="66"/>
      <c r="D948" s="66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ht="18.75" customHeight="1">
      <c r="A949" s="66"/>
      <c r="B949" s="66"/>
      <c r="C949" s="66"/>
      <c r="D949" s="66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ht="18.75" customHeight="1">
      <c r="A950" s="66"/>
      <c r="B950" s="66"/>
      <c r="C950" s="66"/>
      <c r="D950" s="66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ht="18.75" customHeight="1">
      <c r="A951" s="66"/>
      <c r="B951" s="66"/>
      <c r="C951" s="66"/>
      <c r="D951" s="66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ht="18.75" customHeight="1">
      <c r="A952" s="66"/>
      <c r="B952" s="66"/>
      <c r="C952" s="66"/>
      <c r="D952" s="66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ht="18.75" customHeight="1">
      <c r="A953" s="66"/>
      <c r="B953" s="66"/>
      <c r="C953" s="66"/>
      <c r="D953" s="66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ht="18.75" customHeight="1">
      <c r="A954" s="66"/>
      <c r="B954" s="66"/>
      <c r="C954" s="66"/>
      <c r="D954" s="66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ht="18.75" customHeight="1">
      <c r="A955" s="66"/>
      <c r="B955" s="66"/>
      <c r="C955" s="66"/>
      <c r="D955" s="66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ht="18.75" customHeight="1">
      <c r="A956" s="66"/>
      <c r="B956" s="66"/>
      <c r="C956" s="66"/>
      <c r="D956" s="66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ht="18.75" customHeight="1">
      <c r="A957" s="66"/>
      <c r="B957" s="66"/>
      <c r="C957" s="66"/>
      <c r="D957" s="66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ht="18.75" customHeight="1">
      <c r="A958" s="66"/>
      <c r="B958" s="66"/>
      <c r="C958" s="66"/>
      <c r="D958" s="66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ht="18.75" customHeight="1">
      <c r="A959" s="66"/>
      <c r="B959" s="66"/>
      <c r="C959" s="66"/>
      <c r="D959" s="66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ht="18.75" customHeight="1">
      <c r="A960" s="66"/>
      <c r="B960" s="66"/>
      <c r="C960" s="66"/>
      <c r="D960" s="66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ht="18.75" customHeight="1">
      <c r="A961" s="66"/>
      <c r="B961" s="66"/>
      <c r="C961" s="66"/>
      <c r="D961" s="66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ht="18.75" customHeight="1">
      <c r="A962" s="66"/>
      <c r="B962" s="66"/>
      <c r="C962" s="66"/>
      <c r="D962" s="66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ht="18.75" customHeight="1">
      <c r="A963" s="66"/>
      <c r="B963" s="66"/>
      <c r="C963" s="66"/>
      <c r="D963" s="66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ht="18.75" customHeight="1">
      <c r="A964" s="66"/>
      <c r="B964" s="66"/>
      <c r="C964" s="66"/>
      <c r="D964" s="66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ht="18.75" customHeight="1">
      <c r="A965" s="66"/>
      <c r="B965" s="66"/>
      <c r="C965" s="66"/>
      <c r="D965" s="66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ht="18.75" customHeight="1">
      <c r="A966" s="66"/>
      <c r="B966" s="66"/>
      <c r="C966" s="66"/>
      <c r="D966" s="66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ht="18.75" customHeight="1">
      <c r="A967" s="66"/>
      <c r="B967" s="66"/>
      <c r="C967" s="66"/>
      <c r="D967" s="66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ht="18.75" customHeight="1">
      <c r="A968" s="66"/>
      <c r="B968" s="66"/>
      <c r="C968" s="66"/>
      <c r="D968" s="66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ht="18.75" customHeight="1">
      <c r="A969" s="66"/>
      <c r="B969" s="66"/>
      <c r="C969" s="66"/>
      <c r="D969" s="66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ht="18.75" customHeight="1">
      <c r="A970" s="66"/>
      <c r="B970" s="66"/>
      <c r="C970" s="66"/>
      <c r="D970" s="66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ht="18.75" customHeight="1">
      <c r="A971" s="66"/>
      <c r="B971" s="66"/>
      <c r="C971" s="66"/>
      <c r="D971" s="66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ht="18.75" customHeight="1">
      <c r="A972" s="66"/>
      <c r="B972" s="66"/>
      <c r="C972" s="66"/>
      <c r="D972" s="66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ht="18.75" customHeight="1">
      <c r="A973" s="66"/>
      <c r="B973" s="66"/>
      <c r="C973" s="66"/>
      <c r="D973" s="66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ht="18.75" customHeight="1">
      <c r="A974" s="66"/>
      <c r="B974" s="66"/>
      <c r="C974" s="66"/>
      <c r="D974" s="66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ht="18.75" customHeight="1">
      <c r="A975" s="66"/>
      <c r="B975" s="66"/>
      <c r="C975" s="66"/>
      <c r="D975" s="66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ht="18.75" customHeight="1">
      <c r="A976" s="66"/>
      <c r="B976" s="66"/>
      <c r="C976" s="66"/>
      <c r="D976" s="66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ht="18.75" customHeight="1">
      <c r="A977" s="66"/>
      <c r="B977" s="66"/>
      <c r="C977" s="66"/>
      <c r="D977" s="66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ht="18.75" customHeight="1">
      <c r="A978" s="66"/>
      <c r="B978" s="66"/>
      <c r="C978" s="66"/>
      <c r="D978" s="66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ht="18.75" customHeight="1">
      <c r="A979" s="66"/>
      <c r="B979" s="66"/>
      <c r="C979" s="66"/>
      <c r="D979" s="66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ht="18.75" customHeight="1">
      <c r="A980" s="66"/>
      <c r="B980" s="66"/>
      <c r="C980" s="66"/>
      <c r="D980" s="66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ht="18.75" customHeight="1">
      <c r="A981" s="66"/>
      <c r="B981" s="66"/>
      <c r="C981" s="66"/>
      <c r="D981" s="66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ht="18.75" customHeight="1">
      <c r="A982" s="66"/>
      <c r="B982" s="66"/>
      <c r="C982" s="66"/>
      <c r="D982" s="66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ht="18.75" customHeight="1">
      <c r="A983" s="66"/>
      <c r="B983" s="66"/>
      <c r="C983" s="66"/>
      <c r="D983" s="66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ht="18.75" customHeight="1">
      <c r="A984" s="66"/>
      <c r="B984" s="66"/>
      <c r="C984" s="66"/>
      <c r="D984" s="66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ht="18.75" customHeight="1">
      <c r="A985" s="66"/>
      <c r="B985" s="66"/>
      <c r="C985" s="66"/>
      <c r="D985" s="66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ht="18.75" customHeight="1">
      <c r="A986" s="66"/>
      <c r="B986" s="66"/>
      <c r="C986" s="66"/>
      <c r="D986" s="66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ht="18.75" customHeight="1">
      <c r="A987" s="66"/>
      <c r="B987" s="66"/>
      <c r="C987" s="66"/>
      <c r="D987" s="66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ht="18.75" customHeight="1">
      <c r="A988" s="66"/>
      <c r="B988" s="66"/>
      <c r="C988" s="66"/>
      <c r="D988" s="66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ht="18.75" customHeight="1">
      <c r="A989" s="66"/>
      <c r="B989" s="66"/>
      <c r="C989" s="66"/>
      <c r="D989" s="66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ht="18.75" customHeight="1">
      <c r="A990" s="66"/>
      <c r="B990" s="66"/>
      <c r="C990" s="66"/>
      <c r="D990" s="66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ht="18.75" customHeight="1">
      <c r="A991" s="66"/>
      <c r="B991" s="66"/>
      <c r="C991" s="66"/>
      <c r="D991" s="66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ht="18.75" customHeight="1">
      <c r="A992" s="66"/>
      <c r="B992" s="66"/>
      <c r="C992" s="66"/>
      <c r="D992" s="66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ht="18.75" customHeight="1">
      <c r="A993" s="66"/>
      <c r="B993" s="66"/>
      <c r="C993" s="66"/>
      <c r="D993" s="66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ht="18.75" customHeight="1">
      <c r="A994" s="66"/>
      <c r="B994" s="66"/>
      <c r="C994" s="66"/>
      <c r="D994" s="66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ht="18.75" customHeight="1">
      <c r="A995" s="66"/>
      <c r="B995" s="66"/>
      <c r="C995" s="66"/>
      <c r="D995" s="66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ht="18.75" customHeight="1">
      <c r="A996" s="66"/>
      <c r="B996" s="66"/>
      <c r="C996" s="66"/>
      <c r="D996" s="66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ht="18.75" customHeight="1">
      <c r="A997" s="66"/>
      <c r="B997" s="66"/>
      <c r="C997" s="66"/>
      <c r="D997" s="66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ht="18.75" customHeight="1">
      <c r="A998" s="66"/>
      <c r="B998" s="66"/>
      <c r="C998" s="66"/>
      <c r="D998" s="66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ht="18.75" customHeight="1">
      <c r="A999" s="66"/>
      <c r="B999" s="66"/>
      <c r="C999" s="66"/>
      <c r="D999" s="66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  <row r="1000" ht="18.75" customHeight="1">
      <c r="A1000" s="66"/>
      <c r="B1000" s="66"/>
      <c r="C1000" s="66"/>
      <c r="D1000" s="66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</row>
  </sheetData>
  <mergeCells count="55">
    <mergeCell ref="C30:D30"/>
    <mergeCell ref="A31:B31"/>
    <mergeCell ref="C31:D31"/>
    <mergeCell ref="A33:G33"/>
    <mergeCell ref="A34:G34"/>
    <mergeCell ref="A36:G36"/>
    <mergeCell ref="A39:G39"/>
    <mergeCell ref="A40:G40"/>
    <mergeCell ref="A41:G41"/>
    <mergeCell ref="A27:G27"/>
    <mergeCell ref="A28:B28"/>
    <mergeCell ref="C28:D28"/>
    <mergeCell ref="E28:F28"/>
    <mergeCell ref="C29:D29"/>
    <mergeCell ref="E29:F32"/>
    <mergeCell ref="G29:G32"/>
    <mergeCell ref="A1:D1"/>
    <mergeCell ref="I1:K1"/>
    <mergeCell ref="B2:G2"/>
    <mergeCell ref="L2:N2"/>
    <mergeCell ref="B3:G3"/>
    <mergeCell ref="B4:G4"/>
    <mergeCell ref="A5:G5"/>
    <mergeCell ref="B6:G6"/>
    <mergeCell ref="B7:C7"/>
    <mergeCell ref="E7:G7"/>
    <mergeCell ref="B8:C8"/>
    <mergeCell ref="E8:G8"/>
    <mergeCell ref="B9:C9"/>
    <mergeCell ref="D9:E9"/>
    <mergeCell ref="F9:G9"/>
    <mergeCell ref="A10:G10"/>
    <mergeCell ref="C11:E11"/>
    <mergeCell ref="F11:G11"/>
    <mergeCell ref="A12:G12"/>
    <mergeCell ref="A13:G13"/>
    <mergeCell ref="A14:G14"/>
    <mergeCell ref="A15:G15"/>
    <mergeCell ref="A16:G16"/>
    <mergeCell ref="A17:G17"/>
    <mergeCell ref="A18:G18"/>
    <mergeCell ref="A19:G19"/>
    <mergeCell ref="A20:G20"/>
    <mergeCell ref="A21:G21"/>
    <mergeCell ref="A22:G22"/>
    <mergeCell ref="A23:G23"/>
    <mergeCell ref="A24:B24"/>
    <mergeCell ref="D24:E24"/>
    <mergeCell ref="F24:G24"/>
    <mergeCell ref="A25:G25"/>
    <mergeCell ref="A26:G26"/>
    <mergeCell ref="A29:B29"/>
    <mergeCell ref="A30:B30"/>
    <mergeCell ref="A32:B32"/>
    <mergeCell ref="C32:D32"/>
  </mergeCells>
  <dataValidations>
    <dataValidation type="list" allowBlank="1" showErrorMessage="1" sqref="A16 A18">
      <formula1>#REF!</formula1>
    </dataValidation>
    <dataValidation type="list" allowBlank="1" showErrorMessage="1" sqref="L2">
      <formula1>$U$1:$U$4</formula1>
    </dataValidation>
  </dataValidations>
  <printOptions horizontalCentered="1" verticalCentered="1"/>
  <pageMargins bottom="0.984251968503937" footer="0.0" header="0.0" left="0.7874015748031497" right="0.3937007874015748" top="1.5748031496062993"/>
  <pageSetup paperSize="9" scale="76" orientation="portrait"/>
  <headerFooter>
    <oddHead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21.29"/>
    <col customWidth="1" min="6" max="6" width="27.29"/>
  </cols>
  <sheetData>
    <row r="2">
      <c r="B2" s="117" t="s">
        <v>143</v>
      </c>
      <c r="C2" s="117" t="s">
        <v>144</v>
      </c>
      <c r="D2" s="117" t="s">
        <v>145</v>
      </c>
      <c r="E2" s="117" t="s">
        <v>146</v>
      </c>
      <c r="F2" s="117" t="s">
        <v>147</v>
      </c>
    </row>
    <row r="3">
      <c r="B3" s="118" t="s">
        <v>148</v>
      </c>
      <c r="C3" s="118" t="s">
        <v>149</v>
      </c>
      <c r="D3" s="118" t="s">
        <v>150</v>
      </c>
      <c r="E3" s="118" t="s">
        <v>151</v>
      </c>
      <c r="F3" s="118" t="s">
        <v>152</v>
      </c>
    </row>
    <row r="4">
      <c r="B4" s="118" t="s">
        <v>153</v>
      </c>
      <c r="C4" s="118" t="s">
        <v>154</v>
      </c>
      <c r="D4" s="118" t="s">
        <v>155</v>
      </c>
      <c r="E4" s="118" t="s">
        <v>151</v>
      </c>
      <c r="F4" s="118" t="s">
        <v>152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>
      <c r="A22" s="39" t="s">
        <v>156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:I24"/>
  </mergeCells>
  <printOptions horizontalCentered="1" verticalCentered="1"/>
  <pageMargins bottom="0.984251968503937" footer="0.0" header="0.0" left="0.7874015748031497" right="0.3937007874015748" top="1.5748031496062993"/>
  <pageSetup paperSize="9" orientation="portrait"/>
  <headerFooter>
    <oddHead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2016-11-21T19:06:21Z</dcterms:created>
  <dc:creator>Andrea Monteiro</dc:creator>
</cp:coreProperties>
</file>