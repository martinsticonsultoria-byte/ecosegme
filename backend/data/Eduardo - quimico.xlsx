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 " sheetId="1" r:id="rId4"/>
    <sheet state="visible" name="Doc Base" sheetId="2" r:id="rId5"/>
    <sheet state="visible" name="Hidrocarbonetos Aromáticos" sheetId="3" r:id="rId6"/>
    <sheet state="hidden" name="Var. Metais" sheetId="4" r:id="rId7"/>
    <sheet state="hidden" name="Anexos" sheetId="5" r:id="rId8"/>
    <sheet state="visible" name="TLV" sheetId="6" r:id="rId9"/>
    <sheet state="visible" name="Lista de Empresa" sheetId="7" r:id="rId10"/>
    <sheet state="hidden" name="TLV _Andrea" sheetId="8" r:id="rId11"/>
  </sheets>
  <externalReferences>
    <externalReference r:id="rId12"/>
    <externalReference r:id="rId13"/>
  </externalReferences>
  <definedNames>
    <definedName localSheetId="0" name="_PL03">[1]CIPA!#REF!</definedName>
    <definedName name="__PL03">#REF!</definedName>
    <definedName localSheetId="1" name="_PL01">#REF!</definedName>
    <definedName localSheetId="1" name="Serviço">#REF!</definedName>
    <definedName localSheetId="1" name="Desculpas">#REF!</definedName>
    <definedName localSheetId="1" name="TLV">#REF!</definedName>
    <definedName name="_PL04">#REF!</definedName>
    <definedName name="servico">#REF!</definedName>
    <definedName name="Desculpas">#REF!</definedName>
    <definedName localSheetId="1" name="__PL03">#REF!</definedName>
    <definedName localSheetId="1" name="serviços">#REF!</definedName>
    <definedName localSheetId="0" name="_PL02">#REF!</definedName>
    <definedName name="TLV">#REF!</definedName>
    <definedName localSheetId="0" name="__PL03">#REF!</definedName>
    <definedName name="__PL04">#REF!</definedName>
    <definedName localSheetId="4" name="_PL02">#REF!</definedName>
    <definedName name="serviços.">#REF!</definedName>
    <definedName localSheetId="7" name="TLV">'TLV _Andrea'!$A$1:$J$6</definedName>
    <definedName localSheetId="4" name="__PL03">#REF!</definedName>
    <definedName localSheetId="4" name="serviços">#REF!</definedName>
    <definedName name="serviços">#REF!</definedName>
    <definedName localSheetId="4" name="serviços.">#REF!</definedName>
    <definedName localSheetId="1" name="_PL02">#REF!</definedName>
    <definedName name="__PL02">#REF!</definedName>
    <definedName name="Serviço">#REF!</definedName>
    <definedName localSheetId="4" name="TLV">#REF!</definedName>
    <definedName name="___PL03">#REF!</definedName>
    <definedName localSheetId="6" name="DadosExternos_1">'Lista de Empresa'!$A$1:$C$1052</definedName>
    <definedName localSheetId="1" name="siglas">#REF!</definedName>
    <definedName name="_PL01">#REF!</definedName>
    <definedName name="_PL02">#REF!</definedName>
    <definedName localSheetId="4" name="Serviço">#REF!</definedName>
    <definedName localSheetId="2" name="TLV">TLV!$C$2:$I$7</definedName>
    <definedName localSheetId="0" name="_PL04">#REF!</definedName>
    <definedName localSheetId="4" name="Desculpas">#REF!</definedName>
    <definedName localSheetId="4" name="_PL01">#REF!</definedName>
    <definedName localSheetId="4" name="servico">#REF!</definedName>
    <definedName localSheetId="7" name="siglas">'TLV _Andrea'!$A$12:$F$16</definedName>
    <definedName localSheetId="0" name="_PL01">#REF!</definedName>
    <definedName localSheetId="4" name="siglas">#REF!</definedName>
    <definedName name="siglas">#REF!</definedName>
    <definedName localSheetId="1" name="servico">#REF!</definedName>
    <definedName localSheetId="1" name="_PL04">#REF!</definedName>
    <definedName localSheetId="3" name="TLV">TLV!$C$2:$I$7</definedName>
    <definedName localSheetId="4" name="_PL04">#REF!</definedName>
    <definedName localSheetId="1" name="serviços.">#REF!</definedName>
    <definedName name="__PL01">#REF!</definedName>
    <definedName hidden="1" localSheetId="5" name="_xlnm._FilterDatabase">TLV!$B$2:$P$188</definedName>
    <definedName hidden="1" localSheetId="7" name="_xlnm._FilterDatabase">'TLV _Andrea'!$A$1:$J$641</definedName>
  </definedNames>
  <calcPr/>
  <extLst>
    <ext uri="GoogleSheetsCustomDataVersion2">
      <go:sheetsCustomData xmlns:go="http://customooxmlschemas.google.com/" r:id="rId14" roundtripDataChecksum="9oQ87DD17fzUPi8sPAng0qsmgVZ87TIDsmwob2G6Ays="/>
    </ext>
  </extLst>
</workbook>
</file>

<file path=xl/sharedStrings.xml><?xml version="1.0" encoding="utf-8"?>
<sst xmlns="http://schemas.openxmlformats.org/spreadsheetml/2006/main" count="12101" uniqueCount="5121">
  <si>
    <t>1. Objetivo</t>
  </si>
  <si>
    <t>2. Abreviaturas Utilizadas</t>
  </si>
  <si>
    <t>ANEXO - RELATÓRIOS ANALÍTICOS</t>
  </si>
  <si>
    <t>Relatório de Ensaio Analítico N.</t>
  </si>
  <si>
    <t>Nº Relatório</t>
  </si>
  <si>
    <t>0000-1/2026.0</t>
  </si>
  <si>
    <t>0000 -</t>
  </si>
  <si>
    <t>1 / 2026.0</t>
  </si>
  <si>
    <t>(Nº DA AMOSTRA)</t>
  </si>
  <si>
    <t>Folha 01 de 02</t>
  </si>
  <si>
    <t>2 / 2026.0</t>
  </si>
  <si>
    <t>Dados do Cliente</t>
  </si>
  <si>
    <t>Razão Social:</t>
  </si>
  <si>
    <t>Endereço:</t>
  </si>
  <si>
    <t>3 / 2026.0</t>
  </si>
  <si>
    <t>Serviço:</t>
  </si>
  <si>
    <t>Monitoramentos de Agentes Químicos no Ambiente de Trabalho</t>
  </si>
  <si>
    <t>Informações do Colaborador (a)</t>
  </si>
  <si>
    <t>Colaborador (a):</t>
  </si>
  <si>
    <t>4 / 2026.0</t>
  </si>
  <si>
    <t>Função:</t>
  </si>
  <si>
    <t>Matrícula:</t>
  </si>
  <si>
    <t>Local da Coleta:</t>
  </si>
  <si>
    <t>5 / 2026.0</t>
  </si>
  <si>
    <t>Setor:</t>
  </si>
  <si>
    <t>Informações Técnicas de Amostragem</t>
  </si>
  <si>
    <t>Data da Avaliação:</t>
  </si>
  <si>
    <t>Data de Assinatura (Entrega do Relatório):</t>
  </si>
  <si>
    <t>Volume de Ar Amostrado:</t>
  </si>
  <si>
    <t>Exemplo:</t>
  </si>
  <si>
    <t>6 / 2026.0</t>
  </si>
  <si>
    <t>L</t>
  </si>
  <si>
    <t>Jornada de Tabalho: 44 Horas/Semanais</t>
  </si>
  <si>
    <t>Resp. pela coleta:</t>
  </si>
  <si>
    <t>01 de janeiro de 2026.</t>
  </si>
  <si>
    <t>Resultados das Análises dos Agentes Químicos</t>
  </si>
  <si>
    <t>7 / 2026.0</t>
  </si>
  <si>
    <t>Agente Químico
Código e-Social</t>
  </si>
  <si>
    <t>Valor Encontrado</t>
  </si>
  <si>
    <t>Unidade</t>
  </si>
  <si>
    <t>ACGIH</t>
  </si>
  <si>
    <t>NR 15</t>
  </si>
  <si>
    <t>Bases de Efeitos Críticos</t>
  </si>
  <si>
    <t>TWA</t>
  </si>
  <si>
    <t>STEL</t>
  </si>
  <si>
    <t>Benzeno</t>
  </si>
  <si>
    <t>8 / 2026.0</t>
  </si>
  <si>
    <t>9 / 2026.0</t>
  </si>
  <si>
    <t>Folha 01 de 03</t>
  </si>
  <si>
    <t>10 / 2026.0</t>
  </si>
  <si>
    <t>Tolueno</t>
  </si>
  <si>
    <t>11 / 2026.0</t>
  </si>
  <si>
    <t>12 / 2026.0</t>
  </si>
  <si>
    <t>Monitoramento de Agentes Químicos no Ambiente de Trabalho</t>
  </si>
  <si>
    <t>Empresa:</t>
  </si>
  <si>
    <t>11342 Sociedade Fogas Ltda - Manaus</t>
  </si>
  <si>
    <t>Hora Final</t>
  </si>
  <si>
    <t>13 / 2026.0</t>
  </si>
  <si>
    <t>Xileno</t>
  </si>
  <si>
    <t>Hora Inicial</t>
  </si>
  <si>
    <t>14 / 2026.0</t>
  </si>
  <si>
    <t>CNPJ:</t>
  </si>
  <si>
    <t>Cumeno</t>
  </si>
  <si>
    <t>min</t>
  </si>
  <si>
    <t>15 / 2026.0</t>
  </si>
  <si>
    <t>Vazão:</t>
  </si>
  <si>
    <t>min/L</t>
  </si>
  <si>
    <t>16 / 2026.0</t>
  </si>
  <si>
    <t>Volume:</t>
  </si>
  <si>
    <t>Estireno</t>
  </si>
  <si>
    <t>17 / 2026.0</t>
  </si>
  <si>
    <t>Willian Douglas Brito</t>
  </si>
  <si>
    <t>18 / 2026.0</t>
  </si>
  <si>
    <t>Etilbenzeno</t>
  </si>
  <si>
    <t>Resultado da Análise do Agente Químico</t>
  </si>
  <si>
    <t>19 / 2026.0</t>
  </si>
  <si>
    <t>Valor</t>
  </si>
  <si>
    <t>Viniltolueno</t>
  </si>
  <si>
    <t>Encontrado</t>
  </si>
  <si>
    <t>Alumínio</t>
  </si>
  <si>
    <t>α Metil Estireno</t>
  </si>
  <si>
    <t>Antimônio</t>
  </si>
  <si>
    <t>Folha 02 de 02</t>
  </si>
  <si>
    <t>Legenda:</t>
  </si>
  <si>
    <t>TLV - TWA: Threshold Limits Values (Limite de Exposição) - Média Ponderada pelo Tempo.</t>
  </si>
  <si>
    <t>TLV - STEL: Threshold Limits Values (Limite de Exposição) - Exposição de Curta Duração.</t>
  </si>
  <si>
    <t>N.C.: Não Codificado pelo e-Social.</t>
  </si>
  <si>
    <t>N.D.: Nada Detectado</t>
  </si>
  <si>
    <t>Notas:</t>
  </si>
  <si>
    <t>Foram utilizados os dados fornecidos pelo interessado. O resultado de cada parâmetro está em função do volume de ar amostrado.</t>
  </si>
  <si>
    <t>Equipamento Utilizado na Coleta: Bomba Gravimétrica. Os resultados são válidos exclusivamente para a amostra analisada.</t>
  </si>
  <si>
    <t>Códigos retirados da "Tabela 24: Agentes Nocivos e Atividades - Aposentadoria Especial" do eSocial Versão S-1.0 de 2021.</t>
  </si>
  <si>
    <t>20 / 2026.0</t>
  </si>
  <si>
    <t>Tipo de Amostrador:</t>
  </si>
  <si>
    <t>Metodologia de Análise:</t>
  </si>
  <si>
    <t>Arsênio</t>
  </si>
  <si>
    <t xml:space="preserve">Referência: </t>
  </si>
  <si>
    <t>Valores Limites de Exposição TLV-TWA da American Conference of Governmental Industrial Hygienists - ACGIH.</t>
  </si>
  <si>
    <t>Norma Regulamentadora - NR 15.</t>
  </si>
  <si>
    <t>Ministério do Trabalho e Emprego - MTE.</t>
  </si>
  <si>
    <t>Nacional Institute for Occupational Safety and Health - NIOSH (Instituto Nacional de Segurança e Saúde Ocupacional).</t>
  </si>
  <si>
    <t>Occupational Safety and Health Administration - OSHA.</t>
  </si>
  <si>
    <t>Conclusão:</t>
  </si>
  <si>
    <t>De acordo com os resultados encontrados é possível afirmar que as concentrações dos agentes monitorados, encontram-se dentro dos limites exigidos pelas referências acima, índices esses também aceitos pela Associação Brasileira de Higienistas Ocupacionais - ABHO e Ministério do Trabalho e Emprego.</t>
  </si>
  <si>
    <t>Manaus,</t>
  </si>
  <si>
    <t>Bário</t>
  </si>
  <si>
    <t>ANEXO B - DOCUMENTOS E CERTIFICADOS DE CALIBRAÇÃO</t>
  </si>
  <si>
    <t>Cádmio</t>
  </si>
  <si>
    <t>Chumbo</t>
  </si>
  <si>
    <t>Grupos</t>
  </si>
  <si>
    <t>Agente</t>
  </si>
  <si>
    <t>e-Social</t>
  </si>
  <si>
    <t>Amostrador/Filtro</t>
  </si>
  <si>
    <t xml:space="preserve">Método </t>
  </si>
  <si>
    <t>Método de Análise</t>
  </si>
  <si>
    <t>Vazão</t>
  </si>
  <si>
    <t>Volume</t>
  </si>
  <si>
    <t>L.Q</t>
  </si>
  <si>
    <t>CAS</t>
  </si>
  <si>
    <t>VOC</t>
  </si>
  <si>
    <t>1,1,2,2 Tetracloroetano</t>
  </si>
  <si>
    <t>Cód. e-Social: N. C.</t>
  </si>
  <si>
    <t>ppm</t>
  </si>
  <si>
    <t>-</t>
  </si>
  <si>
    <t>Dano fígado</t>
  </si>
  <si>
    <t>Método NIOSH 2562</t>
  </si>
  <si>
    <t>Cromatografia</t>
  </si>
  <si>
    <t>0,02 - 0,2</t>
  </si>
  <si>
    <t>3 - 30</t>
  </si>
  <si>
    <t>106-99-0</t>
  </si>
  <si>
    <t>1,3-Butadieno</t>
  </si>
  <si>
    <t>Cód. e-Social:01.19.003</t>
  </si>
  <si>
    <t>780</t>
  </si>
  <si>
    <t>Câncer</t>
  </si>
  <si>
    <t>Tubo de Carvão Ativado</t>
  </si>
  <si>
    <t>Método NIOSH 1024</t>
  </si>
  <si>
    <t>0,02 - 0,5</t>
  </si>
  <si>
    <t xml:space="preserve">5 - 25 </t>
  </si>
  <si>
    <t>&lt; 0,004</t>
  </si>
  <si>
    <t>111-76-2</t>
  </si>
  <si>
    <t>Data:</t>
  </si>
  <si>
    <t>Mês de 2026</t>
  </si>
  <si>
    <t>1-Methoxy-2-propanol</t>
  </si>
  <si>
    <t>Irritações nos olhos;
Irritações no TRS</t>
  </si>
  <si>
    <t>OSHA 99</t>
  </si>
  <si>
    <t>0,1 - 0,2</t>
  </si>
  <si>
    <t xml:space="preserve"> 3 - 25  </t>
  </si>
  <si>
    <t>708-85-0</t>
  </si>
  <si>
    <t>2-Butoxietanol</t>
  </si>
  <si>
    <t>Irritação olhos e TRS</t>
  </si>
  <si>
    <t>Método NIOSH 1403</t>
  </si>
  <si>
    <t>1 - 10</t>
  </si>
  <si>
    <t>&lt; 0,009</t>
  </si>
  <si>
    <t>110-8-5</t>
  </si>
  <si>
    <t>2-Cianoacrilato de etila</t>
  </si>
  <si>
    <t>Irritações nos olhos;
Irritações TRS;
Asma</t>
  </si>
  <si>
    <t>Método OSHA 55 - HPLC</t>
  </si>
  <si>
    <t>1,5 - 12</t>
  </si>
  <si>
    <t>&lt;0,0005</t>
  </si>
  <si>
    <t>&lt; 0,0005</t>
  </si>
  <si>
    <t>75-07-0</t>
  </si>
  <si>
    <t>ABC</t>
  </si>
  <si>
    <t>2-Etoxietanol</t>
  </si>
  <si>
    <t>Dano embrio/fetal;
Dano reprodutivo masculino</t>
  </si>
  <si>
    <t>0,02 - 0,05</t>
  </si>
  <si>
    <t>6</t>
  </si>
  <si>
    <t>&lt;0,007</t>
  </si>
  <si>
    <t>&lt; 0,007</t>
  </si>
  <si>
    <t>112-07-2</t>
  </si>
  <si>
    <t>2-propanol</t>
  </si>
  <si>
    <t>Identificação</t>
  </si>
  <si>
    <t>CNPJ</t>
  </si>
  <si>
    <t>Irritações nos olhos;
Irritações no trato respiratório superior;
Comprometimento do sistema nervoso central</t>
  </si>
  <si>
    <t>Endereçoo</t>
  </si>
  <si>
    <t>Labsoft</t>
  </si>
  <si>
    <t>Método NIOSH 1400</t>
  </si>
  <si>
    <t>05.412.271/0001-78</t>
  </si>
  <si>
    <t>Rua Vigário João José Rodrigues, 905 - 7º Andar  Centro  Jundiaí/São Paulo</t>
  </si>
  <si>
    <t>0,2 - 3</t>
  </si>
  <si>
    <t>4563672000166</t>
  </si>
  <si>
    <t>Rua Rio Quixito, 86 -   Vila Buriti  Manaus/Amazonas</t>
  </si>
  <si>
    <t>Sociedade Fogas Ltda - Santarém</t>
  </si>
  <si>
    <t>111-15-9</t>
  </si>
  <si>
    <t>04563672000590</t>
  </si>
  <si>
    <t>Avenida Cuiba, Lote 5 - Area Portuária da CIA, doca do Pará  Sale  Santarém/Pará</t>
  </si>
  <si>
    <t>Placibras da Amazônia Ltda</t>
  </si>
  <si>
    <t>5338882000202</t>
  </si>
  <si>
    <t>Avenida Autaz Mirim, 2645 -   Armando Mendes  Manaus/Amazonas</t>
  </si>
  <si>
    <t>Componel Industria e Comércio Ltda</t>
  </si>
  <si>
    <t>57593253000567</t>
  </si>
  <si>
    <t>Avenida Açaí, 1325 -   Distrito Industrial  Manaus/Amazonas</t>
  </si>
  <si>
    <t>Acetaldeído</t>
  </si>
  <si>
    <t>Pam Industria de Plasticos Injetados Ltda - Filial (04.413.977/0007-87)</t>
  </si>
  <si>
    <t>4413977000787</t>
  </si>
  <si>
    <t>Avenida Solimões, 105  - Lote 2.31  Distrito Industrial I  Manaus/Amazonas</t>
  </si>
  <si>
    <t>Stratura Asfaltos S.A</t>
  </si>
  <si>
    <t>59128553001220</t>
  </si>
  <si>
    <t>Av. Rodrigo Otávio, 2.890  -  Sala 03 Centro Comercial   Distrito Industrial I  Manaus/Amazonas</t>
  </si>
  <si>
    <t>Naturex - Ingredientes Naturais Ltda</t>
  </si>
  <si>
    <t>Irritações no trato respiratório superior;
Irritações nos olhos</t>
  </si>
  <si>
    <t>3899381000180</t>
  </si>
  <si>
    <t>Av. Buriti,  5.391 -   Distrito Industrial  Manaus/Amazonas</t>
  </si>
  <si>
    <t>Tubo de Sílica gel</t>
  </si>
  <si>
    <t>11349 Hisamitsu Farmaceutica do Brasil Ltda</t>
  </si>
  <si>
    <t>Método EPA 8315</t>
  </si>
  <si>
    <t>49383250000147</t>
  </si>
  <si>
    <t>Av. Buriti, 1.050 -   Distrito Industrial  Manaus/Amazonas</t>
  </si>
  <si>
    <t>Andrade Gutierrez Engenharia S/A</t>
  </si>
  <si>
    <t>0,1 - 1,5</t>
  </si>
  <si>
    <t>17262213025936</t>
  </si>
  <si>
    <t>Av. Djalma Batista, 3.637 - Sala 08  Flores  Manaus/Amazonas</t>
  </si>
  <si>
    <t>Tigre Materiais e Soluções Para Construção Ltda.</t>
  </si>
  <si>
    <t>8862530000584</t>
  </si>
  <si>
    <t>Av. Buriti, 3.501 -  Lote 03   Distrito Industrial I  Manaus/Amazonas</t>
  </si>
  <si>
    <t>&lt; 0,001</t>
  </si>
  <si>
    <t>Itautinga Agro Industrial S.A</t>
  </si>
  <si>
    <t>4265872000132</t>
  </si>
  <si>
    <t>Av. dos Oitis, 4.700 -   Distrito Industrail II  Manaus/Amazonas</t>
  </si>
  <si>
    <t xml:space="preserve"> 11353 Alpha Assembly Solutions Brasil Soldas Ltda</t>
  </si>
  <si>
    <t>00892361000190</t>
  </si>
  <si>
    <t>Rua Rio Jaguarão, 1.540 -   Vila Buriti  Manaus/Amazonas</t>
  </si>
  <si>
    <t>11354 Liteon Mobile Industria e Comércio de Plásticos Ltda.</t>
  </si>
  <si>
    <t>4889830000172</t>
  </si>
  <si>
    <t>Av. Torquato Tapajós, 7.891  Tarumã  Manaus/Amazonas</t>
  </si>
  <si>
    <t>Yamaha Motor Eletronics do Brasil Ltda</t>
  </si>
  <si>
    <t>10427061000193</t>
  </si>
  <si>
    <t>Av. Burit, 5.781  -   Distrito Industrial I  Manaus/Amazonas</t>
  </si>
  <si>
    <t>Acetato de 2-Butóxietanol</t>
  </si>
  <si>
    <t>11356 Gera Amazonas Geradora de Energia do Amazonas S/A.</t>
  </si>
  <si>
    <t>07469933000171</t>
  </si>
  <si>
    <t>Rua Cmdor. Gutemberg Barbosa, 2  -   Ponta Negra II  Manaus/Amazonas</t>
  </si>
  <si>
    <t>11357 Sumidenso da Amazônia Industria Eletricas Ltda</t>
  </si>
  <si>
    <t>8962294000144</t>
  </si>
  <si>
    <t>Rua Abelardo Barbosa, 320  -   Aleixo  Manaus/Amazonas</t>
  </si>
  <si>
    <t>Cal-Comp Industria e Comércio de Eletronicos  LTDA - CCBR F2</t>
  </si>
  <si>
    <t>07200194000380</t>
  </si>
  <si>
    <t>Av. Torquato Tapajos, 7.503  -  Galpão 02 Módulos 19 parte 20 e 21   Tarumã  Manaus/Amazonas</t>
  </si>
  <si>
    <t>Hemólise</t>
  </si>
  <si>
    <t>11359 Hitachi Astemo Manaus Powertrain Systens Ltda (Keihin)</t>
  </si>
  <si>
    <t>Método OSHA 83</t>
  </si>
  <si>
    <t>48</t>
  </si>
  <si>
    <t>141-78-6</t>
  </si>
  <si>
    <t>Acetato de 2-etoxietanol</t>
  </si>
  <si>
    <t>4161047000198</t>
  </si>
  <si>
    <t>Av. Torquato Tapajos, 8.003 -   Tarumã  Manaus/Amazonas</t>
  </si>
  <si>
    <t>11360 Salcomp Industrial Eletrônica Da Amazônia Ltda (MATRIZ)</t>
  </si>
  <si>
    <t>Dano reprodutivo masculino</t>
  </si>
  <si>
    <t xml:space="preserve"> Método NIOSH 1450</t>
  </si>
  <si>
    <t>7637620000185</t>
  </si>
  <si>
    <t xml:space="preserve"> 1 - 10  </t>
  </si>
  <si>
    <t>&lt;0,010</t>
  </si>
  <si>
    <t>&lt; 0,010</t>
  </si>
  <si>
    <t>105-46-4</t>
  </si>
  <si>
    <t>Acetato de 2-etoxietila</t>
  </si>
  <si>
    <t>Dano reprodutivo masculino.</t>
  </si>
  <si>
    <t>&lt; 0,002</t>
  </si>
  <si>
    <t>108-21-4</t>
  </si>
  <si>
    <t>Acetato de 2-Metoxietila</t>
  </si>
  <si>
    <t>Efe Hematológico e reprodutivo</t>
  </si>
  <si>
    <t>Método NIOSH 1451</t>
  </si>
  <si>
    <t xml:space="preserve">0,2 - 20 </t>
  </si>
  <si>
    <t>79-20-9</t>
  </si>
  <si>
    <t>Cobalto</t>
  </si>
  <si>
    <t>Acetato de Butila</t>
  </si>
  <si>
    <t>Irritação nos olhos e no TRS.</t>
  </si>
  <si>
    <t>Método NIOSH 1450</t>
  </si>
  <si>
    <t>110-49-6</t>
  </si>
  <si>
    <t>Acetato de etila</t>
  </si>
  <si>
    <t>Irritações no trato respiratório superior; Irritações nos olhos</t>
  </si>
  <si>
    <t xml:space="preserve"> Método NIOSH 1457</t>
  </si>
  <si>
    <t>Acetato de isobutila</t>
  </si>
  <si>
    <t>0,01 - 0,2</t>
  </si>
  <si>
    <t>123-86-4</t>
  </si>
  <si>
    <t>Tempo: 360</t>
  </si>
  <si>
    <t>Acetato de isopropila</t>
  </si>
  <si>
    <t>Cobre</t>
  </si>
  <si>
    <t>Irritação nos olhos e pele.</t>
  </si>
  <si>
    <t>Método NIOSH 1454</t>
  </si>
  <si>
    <t xml:space="preserve">0,1 - 9 </t>
  </si>
  <si>
    <t>&lt; 0,008</t>
  </si>
  <si>
    <t>Av. dos Oitis, 5.055  -   Distrito Industrial II  Manaus/Amazonas</t>
  </si>
  <si>
    <t>Mil Energia Renovável LTDA -Bk Energia Itacoatiara Ltda</t>
  </si>
  <si>
    <t>4310086000100</t>
  </si>
  <si>
    <t>Rural S/N - Km 1 Rod -   AM 363 CP 101  Itacoatiara/Amazonas</t>
  </si>
  <si>
    <t>11362 LG Electronics do Brasil LTDA</t>
  </si>
  <si>
    <t>Acetato de metila</t>
  </si>
  <si>
    <t>1166372000821</t>
  </si>
  <si>
    <t>Rua Javari, 1.004 -   Distrito Industrial  Manaus/Amazonas</t>
  </si>
  <si>
    <t>Parente Andrade Ltda</t>
  </si>
  <si>
    <t>05057914000102</t>
  </si>
  <si>
    <t>Rua Nebraska, 202 -   Betânia  Manaus/Amazonas</t>
  </si>
  <si>
    <t>11364 Flex Impor. Expor. Ind. E Comércio de Máquina e Motores Ltda</t>
  </si>
  <si>
    <t>22798094000129</t>
  </si>
  <si>
    <t>Av. Buriti, 4.821 -   Distrito Industrial  Manaus/Amazonas</t>
  </si>
  <si>
    <t>11365 Flex Impor. Expor. Ind. E Comércio de Máquina e Motores Ltda (Galpão 01)</t>
  </si>
  <si>
    <t>Rua da Granja Azul, 03  -  Galpão 01   Colônia Oliveira Machado  Manaus/Amazonas</t>
  </si>
  <si>
    <t>Dor de cabeça; Tontura; Náusea; Dano olhos (degeneração das células ganglionares da retina).</t>
  </si>
  <si>
    <t>Amazon Industria de Gelo e Bebidas Ltda</t>
  </si>
  <si>
    <t>02402867000522</t>
  </si>
  <si>
    <t>Rua da Granja Azul, n° 03  - Galpão 01  Col. Oliveira Machado  Manaus/Amazonas</t>
  </si>
  <si>
    <t>Método NIOSH 1458</t>
  </si>
  <si>
    <t>J Cruz Indústria de Bebidas Ltda (Amazon Refrigerante - Filial)</t>
  </si>
  <si>
    <t>4398251000550</t>
  </si>
  <si>
    <t>Rua José Romão, 452 -   São José Operário  Manaus/Amazonas</t>
  </si>
  <si>
    <t>11368 D.D Williamson do Brasil Ltda</t>
  </si>
  <si>
    <t xml:space="preserve">0,2 - 10 </t>
  </si>
  <si>
    <t>02789565000125</t>
  </si>
  <si>
    <t>Av. Buriti, 5.680 -   Distrito Industral  Manaus/Amazonas</t>
  </si>
  <si>
    <t>11369 Eternal Ind. Com. Serv. e Trat de Resíduos da Amazônia Ltda</t>
  </si>
  <si>
    <t>84527274000123</t>
  </si>
  <si>
    <t>107-98-2</t>
  </si>
  <si>
    <t>Rua Guiana Francesa, 01  -   Distrito Industial II  Manaus/Amazonas</t>
  </si>
  <si>
    <t>GRI Koleta - Gerenciamento de Resíduos Industriais S.A</t>
  </si>
  <si>
    <t>4517241001135</t>
  </si>
  <si>
    <t>Rua Constelação de Gêmeos, 169 - Galpão 02  Aleixo  Manaus/Amazonas</t>
  </si>
  <si>
    <t>F E Isaías de Lima (Ceramica LIMA)</t>
  </si>
  <si>
    <t>22815369000195</t>
  </si>
  <si>
    <t>Rural S/N - Km 40 - Rural S/N - Km 40  - Área Rural de Manacapuru   Manacapuru  Manaus/Amazonas</t>
  </si>
  <si>
    <t>Sodecia Automotive Manaus Ltda</t>
  </si>
  <si>
    <t>2499629000153</t>
  </si>
  <si>
    <t>Acetato de n-butila</t>
  </si>
  <si>
    <t>Rua Gisele, 1.000 -   Mauazinho  Manaus/Amazonas</t>
  </si>
  <si>
    <t>Amcor Embalagens da Amazônia Ltda</t>
  </si>
  <si>
    <t>84127208000166</t>
  </si>
  <si>
    <t>Rua Anhandui, 306 - Edifício D  Flores  Manaus/Amazonas</t>
  </si>
  <si>
    <t>Musashi da Amazônia Ltda</t>
  </si>
  <si>
    <t>4944068000180</t>
  </si>
  <si>
    <t>Av. Flamboyant, 931 -   Distrito Industrial II  Manaus/Amazonas</t>
  </si>
  <si>
    <t>11375 Caloi Norte S.A</t>
  </si>
  <si>
    <t>4301024000131</t>
  </si>
  <si>
    <t>Av. Abiurana, 150 A -   Distrito Industrial  Manaus/Amazonas</t>
  </si>
  <si>
    <t>11376 Agropecuária Jayoro Ltda</t>
  </si>
  <si>
    <t>5827977000109</t>
  </si>
  <si>
    <t>Est. BR 174 S/N  - Zona Rural   Ramal 14 Km 120  Presidente Figueiredo/Amazonas</t>
  </si>
  <si>
    <t>Norte Ambiental Tratamento de Resíduos Ltda</t>
  </si>
  <si>
    <t>14214776000119</t>
  </si>
  <si>
    <t>Est. Manoel Urbano S/N -   Km 02  Iranduba/Amazonas</t>
  </si>
  <si>
    <t>11378 Klabin S.A</t>
  </si>
  <si>
    <t>89637490016653</t>
  </si>
  <si>
    <t>Av. dos Oitis N. 6.555  -  Terreo  Distrito Industrial II  Manaus/Amazonas</t>
  </si>
  <si>
    <t>Polimix Concreto Ltda</t>
  </si>
  <si>
    <t>29067113025423</t>
  </si>
  <si>
    <t>61-64-1</t>
  </si>
  <si>
    <t>Av. Curua - Uma   Jutaí  Santarém/Pará</t>
  </si>
  <si>
    <t>Cometais Indústria e Comercio de Metais Ltda (Matriz)</t>
  </si>
  <si>
    <t>2896727000124</t>
  </si>
  <si>
    <t>Rua Abelardo Barbosa, 486 -   Aleixo  Manaus/Amazonas</t>
  </si>
  <si>
    <t>Cometais Industria e ComéFundição rcio de Metais Ltda (Fundição)</t>
  </si>
  <si>
    <t>2896727000396</t>
  </si>
  <si>
    <t>Rua Bambuzinho, 831 -   Distrito Industrial II  Manaus/Amazonas</t>
  </si>
  <si>
    <t>Gera Maranhão - Geradorada de Energia do Maranhão S.A</t>
  </si>
  <si>
    <t>9110880000123</t>
  </si>
  <si>
    <t>Acetato de N-Propila</t>
  </si>
  <si>
    <t>V-Ac a Subestação Miranda II Da Eletronorte KM 3  -   Zona Rural  Miranda do Norte/Maranhão</t>
  </si>
  <si>
    <t>Brasitech Industria E Comercio De Aparelhos Para Beleza Ltda</t>
  </si>
  <si>
    <t>7293118000102</t>
  </si>
  <si>
    <t>Rua Palmeira do Miriti, 1591  -   Distrito Industrial II  Manaus/Amazonas</t>
  </si>
  <si>
    <t>HDL da Amazônia Indústria Eletrônica Ltda</t>
  </si>
  <si>
    <t>4034304000120</t>
  </si>
  <si>
    <t>Av. Abiurana, 1150 -   Distrito Industrial  Manaus/Amazonas</t>
  </si>
  <si>
    <t>Samsung Eletronica da Amazônia Ltda</t>
  </si>
  <si>
    <t>280273000137</t>
  </si>
  <si>
    <t>Av. dos Oitis, 1460  -   Distrito Industrial II  Manaus/Amazonas</t>
  </si>
  <si>
    <t>Irritações TRS; Irritações nos olhos; Comprometimento do SNC</t>
  </si>
  <si>
    <t>Evadin Indústria Amazônia Sociedade Anônima</t>
  </si>
  <si>
    <t>4180279000193</t>
  </si>
  <si>
    <t>Av. Buriti, 2350 -   Distrito Industrial  Manaus/Amazonas</t>
  </si>
  <si>
    <t>11387 Jabil Industrial do Brasil Ltda</t>
  </si>
  <si>
    <t>04898857000202</t>
  </si>
  <si>
    <t>Rua Matrinxa, 687 -   Distrito Industrial  Manaus/Amazonas</t>
  </si>
  <si>
    <t>Solutions 2 Go Do Brasil Industria, Comercio E Distribuicao Ltda - Tarumã</t>
  </si>
  <si>
    <t>07305913000750</t>
  </si>
  <si>
    <t>Avenida do Turismo, 13520 Galpão 2  -   Tarumã  Manaus/Amazonas</t>
  </si>
  <si>
    <t>11389 Minebea AccessSolutions do Brasil Ltda</t>
  </si>
  <si>
    <t>7379546000144</t>
  </si>
  <si>
    <t>Rua Raimundo Nonato de Castro, 490 -   Santo Agostinho  Manaus/Amazonas</t>
  </si>
  <si>
    <t>11390 Klabin da Amazonia Soluções em Embalagens de Papel LTDA (Embacorp)</t>
  </si>
  <si>
    <t>4398525000188</t>
  </si>
  <si>
    <t>Av. Açaí, 2659  Distrito Industrial  Manaus/Amazonas</t>
  </si>
  <si>
    <t>Condomínio Residencial Ilhas Gregas I</t>
  </si>
  <si>
    <t>64-19-7</t>
  </si>
  <si>
    <t>11827893000160</t>
  </si>
  <si>
    <t>Alameda Albania, 50 -   Ponta Negra  Manaus/Amazonas</t>
  </si>
  <si>
    <t>Arcoma da Amazônia Indústria e Comércio Ltda</t>
  </si>
  <si>
    <t>84094911000115</t>
  </si>
  <si>
    <t>Rua Palmeira do Miriti, 2564 -   Distrito Industrial II  Manaus/Amazonas</t>
  </si>
  <si>
    <t>11393 Nippon Seiki do Brasil Ltda</t>
  </si>
  <si>
    <t>5213262000158</t>
  </si>
  <si>
    <t>Rua Palmeira do Miriti, 121 -   Gilberto Mestrinho  Manaus/Amazonas</t>
  </si>
  <si>
    <t>Nippon Carbide Industria do Brasil Ltda</t>
  </si>
  <si>
    <t>20846063000170</t>
  </si>
  <si>
    <t>Av. Buriti, 3905  -   Distrito Industrial  Manaus/Amazonas</t>
  </si>
  <si>
    <t>Condomínio Residencial Tarsila do Amaral</t>
  </si>
  <si>
    <t>14936814000147</t>
  </si>
  <si>
    <t>Rua Jorge Baird,129 -   Nossa Senhora das Graças  Manaus/Amazonas</t>
  </si>
  <si>
    <t>11396 Flextronics da Amazônia LTDA - 04.454.120/0001-10</t>
  </si>
  <si>
    <t>44541200000110</t>
  </si>
  <si>
    <t>Av. Torquato Tapajós, 7200  Colonia Terra Nova  Manaus/Amazonas</t>
  </si>
  <si>
    <t>Hiroiaque Comércio de Produtos Alimenticios Ltda (Varejão Ponta Negra)</t>
  </si>
  <si>
    <t>11102673000179</t>
  </si>
  <si>
    <t>Av. João Válerio,664  -   Nossa Senhora das Graças  Manaus/Amazonas</t>
  </si>
  <si>
    <t>Residencial SKY</t>
  </si>
  <si>
    <t>22126594000114</t>
  </si>
  <si>
    <t>Av. Pedro Teixeira, 725 -   Dom Pedro  Manaus/Amazonas</t>
  </si>
  <si>
    <t>Cimento Vencemos do Amazonas Ltda</t>
  </si>
  <si>
    <t>13314000129</t>
  </si>
  <si>
    <t>Rua Desembargador Cesar do Rego, 02  -   Colônia Antônio Aleixo  Manaus/Amazonas</t>
  </si>
  <si>
    <t>Rio Amazonas Energia S/A - Raesa</t>
  </si>
  <si>
    <t>07386098000297</t>
  </si>
  <si>
    <t>Rodovia BR 174  -   Zona Rural  de Manaus  Manaus/Amazonas</t>
  </si>
  <si>
    <t>11401 Denso Industrial da Amazônia Ltda</t>
  </si>
  <si>
    <t>84657907000118</t>
  </si>
  <si>
    <t>Av. Buriti, 3600  -   Distrito Industrial  Manaus/Amazonas</t>
  </si>
  <si>
    <t>Folha 02 de 03</t>
  </si>
  <si>
    <t>Novamed Fabricação de Produtos Farmaceuticos Ltda.</t>
  </si>
  <si>
    <t>12424020000179</t>
  </si>
  <si>
    <t>Av. Torquato Tapajós ,17703  -  Área de Transição    Manaus/Amazonas</t>
  </si>
  <si>
    <t>Colortech da Amazônia Ltda</t>
  </si>
  <si>
    <t>02699552000165</t>
  </si>
  <si>
    <t>Rua Bambuzinho, 532  -   Distrito Industrail II  Manaus/Amazonas</t>
  </si>
  <si>
    <t>Edacos Transportes Coletivos Especiais e Turismo Ltda</t>
  </si>
  <si>
    <t xml:space="preserve">84.499.383/0001-84 </t>
  </si>
  <si>
    <t>Rua Hidra, 92  -   Santo Agostinho  Manaus/Amazonas</t>
  </si>
  <si>
    <t>Condomínio Amazon Trade Center</t>
  </si>
  <si>
    <t>5465725000179</t>
  </si>
  <si>
    <t>Rua Franco de Sá,136 -   São Francisco  Manaus/Amazonas</t>
  </si>
  <si>
    <t>Canon Industria de Manaus Ltda</t>
  </si>
  <si>
    <t>15530875000172</t>
  </si>
  <si>
    <t>Av. Açaí,875   -   Distrito Industral  Manaus/Amazonas</t>
  </si>
  <si>
    <t>Aslan Soluções Ltda</t>
  </si>
  <si>
    <t>16828075000103</t>
  </si>
  <si>
    <t>Rua Domingos Leite, 33  -   Bairro da paz  Manaus/Amazonas</t>
  </si>
  <si>
    <t>Comdomínio Edifício Residencial Rembrandt</t>
  </si>
  <si>
    <t>84514405000138</t>
  </si>
  <si>
    <t>Av. Darcy Vargas, 755  -   Parque 10 de Novembro  Manaus/Amazonas</t>
  </si>
  <si>
    <t>Amazon Fort Soluções Ambientais e Serviços de Engenharia Eireli</t>
  </si>
  <si>
    <t>84750538000103</t>
  </si>
  <si>
    <t>Rua Angelo Cassol  -   Distrito Industrial  Porto Velho/Rondônia</t>
  </si>
  <si>
    <t>Petrovan Derivados de Petróleo LTDA - Matriz</t>
  </si>
  <si>
    <t>84472851000127</t>
  </si>
  <si>
    <t>Rua João Valério, 230  -   Nossa Senhira das Graças  Manaus/Amazonas</t>
  </si>
  <si>
    <t>Amazon Ecopark Hoteis e Turismo Eireli</t>
  </si>
  <si>
    <t>84134501000150</t>
  </si>
  <si>
    <t>Área Rural  -   Área Rural de Manaus  Manaus/Amazonas</t>
  </si>
  <si>
    <t>Ceras Johnson Ltda</t>
  </si>
  <si>
    <t>33122466000704</t>
  </si>
  <si>
    <t>Av. Professor Paulo Graça, 1901 -   Tarumã  Manaus/Amazonas</t>
  </si>
  <si>
    <t>Condomínio do Edifício Altos do Recife</t>
  </si>
  <si>
    <t>7857714000160</t>
  </si>
  <si>
    <t>Rua Recife, 3026  -   Parque 10  Manaus/Amazonas</t>
  </si>
  <si>
    <t>Condomínio Edifício Di Cavalcante</t>
  </si>
  <si>
    <t>12148679000140</t>
  </si>
  <si>
    <t>Rua Jorge Baird, 129  -   Nossa Senhora das Graças  Manaus/Amazonas</t>
  </si>
  <si>
    <t>Daido Indústria de Correntes da Amazônia Ltda</t>
  </si>
  <si>
    <t>8996956000105</t>
  </si>
  <si>
    <t>Av. Solimões, 1825  -   Distrito Industrial  Manaus/Amazonas</t>
  </si>
  <si>
    <t>Semso Serviços Especializados em Medicina e Segurança do Trabalho e Meio Ambiente LTDA</t>
  </si>
  <si>
    <t>7074592000135</t>
  </si>
  <si>
    <t>Rua Carlos José Sá 41 Pitangueiras -   Lauro de Freitas  Lauro de Freitas/Bahia</t>
  </si>
  <si>
    <t>Carboman Gás Carbonico de Manaus LTDA</t>
  </si>
  <si>
    <t>63634596000100</t>
  </si>
  <si>
    <t>Av. Torquato Tapajós, 5558   -   Flores  Manaus/Amazonas</t>
  </si>
  <si>
    <t>Cromo</t>
  </si>
  <si>
    <t>Whirlpool S.A</t>
  </si>
  <si>
    <t>59105999006974</t>
  </si>
  <si>
    <t>Estrada Torquato Tapajós,7500  -   Colonia Terra Nova  Manaus/Amazonas</t>
  </si>
  <si>
    <t>11420 Envision Industria de Produtos Eletrônicos Ltda</t>
  </si>
  <si>
    <t>04176689000160</t>
  </si>
  <si>
    <t>Av. Torquato Tapajós, 2236  -   Flores  Manaus/Amazonas</t>
  </si>
  <si>
    <t>TPV do Brasil Industria de Eletrônicos Ltda</t>
  </si>
  <si>
    <t>11758367000195</t>
  </si>
  <si>
    <t>Av. Torquato Tapajós, 2236   -     Manaus/Amazonas</t>
  </si>
  <si>
    <t>CAA Comércio Amazonense de Alumínio Ltda</t>
  </si>
  <si>
    <t>9675751000182</t>
  </si>
  <si>
    <t>Av. Alvaro Maia N. 867 São Geraldo  -   São Geraldo  Manaus/Amazonas</t>
  </si>
  <si>
    <t>Condomínio Saint Remy Residence</t>
  </si>
  <si>
    <t>5875210000147</t>
  </si>
  <si>
    <t>Rua Maceió, 618  -   Adrianopólis  Manaus/Amazonas</t>
  </si>
  <si>
    <t>Dióxido de Titânio</t>
  </si>
  <si>
    <t>Condomínio Edifício Saint Honore</t>
  </si>
  <si>
    <t>15769151000186</t>
  </si>
  <si>
    <t>Av. Darcy Vargas, 3000 -   Parque 10 de Novembro  Manaus/Amazonas</t>
  </si>
  <si>
    <t>Condomínio do Edifício Milano</t>
  </si>
  <si>
    <t>21376539000110</t>
  </si>
  <si>
    <t>Rua dos Passes, 02  -   Parque 10 de Novembro  Manaus/Amazonas</t>
  </si>
  <si>
    <t>Condomínio do Edifício Metropolis Residence</t>
  </si>
  <si>
    <t>10620697000157</t>
  </si>
  <si>
    <t>Av. Maneca Marques, 16  -    Parque 10 de Novembro  Manaus/Amazonas</t>
  </si>
  <si>
    <t>Tec Toy S.A - Matriz</t>
  </si>
  <si>
    <t>22770366000182</t>
  </si>
  <si>
    <t>Av. Ministro Mário Andreazza, 4120  Distrito Industrial  Manaus/Amazonas</t>
  </si>
  <si>
    <t>Videolar Innova S/A</t>
  </si>
  <si>
    <t>4229761000170</t>
  </si>
  <si>
    <t>Av. Torquato Tapajós,5555  -   Tarumã  Manaus/Amazonas</t>
  </si>
  <si>
    <t>Pantos do Brasil Logistica Ltda</t>
  </si>
  <si>
    <t>8889896000113</t>
  </si>
  <si>
    <t>Av. Marcos Penteado de Uchoa Rodrigues, 1119  -   Tamboré  Barueri/São Paulo</t>
  </si>
  <si>
    <t>Panasonic do Brasil Ltda</t>
  </si>
  <si>
    <t>4403408000165</t>
  </si>
  <si>
    <t>Rua Matrinxa N. 1165  -   Distrito Industrial  Manaus/Amazonas</t>
  </si>
  <si>
    <t>Moto Traxx da Amazonia Ltda</t>
  </si>
  <si>
    <t>7506399000126</t>
  </si>
  <si>
    <t>Rodovia Torquato Tapajós, 6548  -   Colônia Terra Nova  Manaus/Amazonas</t>
  </si>
  <si>
    <t>Foxconn Moebg Indústria de Eletrônicos Ltda - Ypê</t>
  </si>
  <si>
    <t>8986284000220</t>
  </si>
  <si>
    <t>Rua Ipê, n° 535 - Distrito Industrial -  -   Distrito Industrial  Manaus/Amazonas</t>
  </si>
  <si>
    <t>TSE Industria de Artefatos Estampados de Metal Ltda</t>
  </si>
  <si>
    <t>13051400000178</t>
  </si>
  <si>
    <t>Av. Buriti, 3000  -   Distrito Industrial  Manaus/Amazonas</t>
  </si>
  <si>
    <t>Pepsi-Cola Industrial da Amazônia Ltda</t>
  </si>
  <si>
    <t>2726752000160</t>
  </si>
  <si>
    <t>Av. Autaz Mirim, 1383 -   Distrito Industrial  Manaus/Amazonas</t>
  </si>
  <si>
    <t>Condomínio Residencial Topázio</t>
  </si>
  <si>
    <t>16888906000124</t>
  </si>
  <si>
    <t>Av. Grande Otelo  -   Parque 10 de Novembro  Manaus/Amazonas</t>
  </si>
  <si>
    <t>Condomínio Residencial Vertentes do Tarumã</t>
  </si>
  <si>
    <t>17883021000103</t>
  </si>
  <si>
    <t>Av. do Cetur, 499  -   Tarumã  Manaus/Amazonas</t>
  </si>
  <si>
    <t>11437 Mitsuba do Brasil Ltda</t>
  </si>
  <si>
    <t>5299463000110</t>
  </si>
  <si>
    <t>Av. Max Teixeira, 334 -  -   Flores  Manaus/Amazonas</t>
  </si>
  <si>
    <t>Ecomix-Moagem e Tratamento de Residuos Eireli</t>
  </si>
  <si>
    <t>10978993000124</t>
  </si>
  <si>
    <t>Av. Cosme Ferreira, 12640 -   Colônia Terra Nova  Manaus/Amazonas</t>
  </si>
  <si>
    <t>Rimo S.A</t>
  </si>
  <si>
    <t>67562884000491</t>
  </si>
  <si>
    <t>Av. Guaruba, 585  -   Distrito Industrial  Manaus/Amazonas</t>
  </si>
  <si>
    <t>11440 Essilor da Amazônia Indústria e Comércio Ltda</t>
  </si>
  <si>
    <t>54612650000117</t>
  </si>
  <si>
    <t>Av. Cupiuba, 557  -   Distrito Industrial  Manaus/Amazonas</t>
  </si>
  <si>
    <t>11441 Companhia Energética Manauara</t>
  </si>
  <si>
    <t>7303379000239</t>
  </si>
  <si>
    <t>AM 010  -   Zona Rural  Manaus/Amazonas</t>
  </si>
  <si>
    <t>M.C.W Construções, Comércio e Terraplanagem - Eireli</t>
  </si>
  <si>
    <t>10449469000166</t>
  </si>
  <si>
    <t>Rua Olegario Mariano, 99  -   Santo Agostinho  Manaus/Amazonas</t>
  </si>
  <si>
    <t>Venezia Comércio de Caminhões Ltda</t>
  </si>
  <si>
    <t>1824931000258</t>
  </si>
  <si>
    <t>Av. Camapua, N. 416 - Novo Aleixo - Manaus/AM -   Novo Aleixo  Manaus/Amazonas</t>
  </si>
  <si>
    <t>11444 Valmar Serviços Industriais Ltda</t>
  </si>
  <si>
    <t>00469393000349</t>
  </si>
  <si>
    <t>Rua Vanessa Marques, 11  -   Parque 10 de Novembro  Manaus/Amazonas</t>
  </si>
  <si>
    <t>11445 TCL SEMP Indústria e Comércio de Eletroeletrônicos S.A</t>
  </si>
  <si>
    <t>24227491000176</t>
  </si>
  <si>
    <t>Rua Içá, 500  -   Distrito Industrial  Manaus/Amazonas</t>
  </si>
  <si>
    <t>Esgotec Serviços de Transporte Ltda</t>
  </si>
  <si>
    <t>7402200000110</t>
  </si>
  <si>
    <t>Rua Pajurazinho, 625 -   Distrito Industrial  Manaus/Amazonas</t>
  </si>
  <si>
    <t>Harley-Davidson do Brasil Ltda</t>
  </si>
  <si>
    <t>2273580000116</t>
  </si>
  <si>
    <t>Av. do Turismo, 2539  -   Ponta Negra  Manaus/Amazonas</t>
  </si>
  <si>
    <t>Cecilia de Oliveira Pinheiro 
(Lavandeiria Bonasecco)</t>
  </si>
  <si>
    <t>10925467000104</t>
  </si>
  <si>
    <t>Av. Jorn. Humberto Calderaro Filho, 1088  -   Adrianopólis  Manaus/Amazonas</t>
  </si>
  <si>
    <t>Empresa Industrial de Juta S.A - Jutal</t>
  </si>
  <si>
    <t>4398459000499</t>
  </si>
  <si>
    <t>Rua da Paz,  9  -   Presidentes Vargas  Manaus/Amazonas</t>
  </si>
  <si>
    <t>11450 Harman da Amazônia Indústria Eletrônica e Participações Ltda - Filial (Automotive)</t>
  </si>
  <si>
    <t>Estanho</t>
  </si>
  <si>
    <t>7703111000294</t>
  </si>
  <si>
    <t>Av. Cupiuba, 401  -   Distrito Idustria  Manaus/Amazonas</t>
  </si>
  <si>
    <t>BMW Manufacturing Indústria de Motos da Amazônia Ltda</t>
  </si>
  <si>
    <t>23871782000130</t>
  </si>
  <si>
    <t>Av. Torquato Tapajós, 4010 -   Colônia Santo Antônio  Manaus/Amazonas</t>
  </si>
  <si>
    <t>11452 Climazon Industrial Ltda - Midea</t>
  </si>
  <si>
    <t>4222931000195</t>
  </si>
  <si>
    <t>Av. Torquato Tapajós,  7937  -   Tarumã  Manaus/Amazonas</t>
  </si>
  <si>
    <t>Serviço Social do Comércio - Sesc</t>
  </si>
  <si>
    <t>3965963000118</t>
  </si>
  <si>
    <t>Rua Henrique Martins,  427  -   Centro  Manaus/Amazonas</t>
  </si>
  <si>
    <t>Amazongás Distrib. de Gás Liquef. De Petróleo Ltda</t>
  </si>
  <si>
    <t>04957650000180</t>
  </si>
  <si>
    <t>Acetato de Vinila</t>
  </si>
  <si>
    <t>Irritação no TRS.</t>
  </si>
  <si>
    <t>Método NIOSH 1453</t>
  </si>
  <si>
    <t>0,05 - 0,2</t>
  </si>
  <si>
    <t>Rua Rio Quixito, 1223 - -   Distrito Industrial  Manaus/Amazonas</t>
  </si>
  <si>
    <t xml:space="preserve"> 11455 Sociedade Michelin de Participações Indústria e Comércio Ltda</t>
  </si>
  <si>
    <t>50567288002526</t>
  </si>
  <si>
    <t>Av. Torquato Tapajós, 17522  -   Lagoa Azul  Manaus/Amazonas</t>
  </si>
  <si>
    <t>Cefisso Empreendimentos Imobiliários Ltda- (Direcional London)</t>
  </si>
  <si>
    <t>12492607000115</t>
  </si>
  <si>
    <t>Av. Doutor Theomario Pinto da Costa,  811  -   Chapada  Manaus/Amazonas</t>
  </si>
  <si>
    <t>Eridano Empreendimentos Imobiliários SPE Ltda. (Direcional Liverpool)</t>
  </si>
  <si>
    <t>12474876000159</t>
  </si>
  <si>
    <t>Av. Coronel Teixeira, 6225  -   Ponta Negra  Manaus/Amazonas</t>
  </si>
  <si>
    <t>CTK Indústria de Embalagens da Amazônia Ltda</t>
  </si>
  <si>
    <t>14868322000161</t>
  </si>
  <si>
    <t>Av. Buruti, 3650  -   Distrito Industrail  Manaus/Amazonas</t>
  </si>
  <si>
    <t>Keston Logística Ltda</t>
  </si>
  <si>
    <t>9653058000290</t>
  </si>
  <si>
    <t>Rua Guapirama, 52  -   Cidade Nova  Manaus/Amazonas</t>
  </si>
  <si>
    <t>Clínica Multiprofissional de Saúde Ltda (CMS)</t>
  </si>
  <si>
    <t>20040167000193</t>
  </si>
  <si>
    <t>Av. Ramos Ferreira, 1086  -   Centro  Manaus/Amazonas</t>
  </si>
  <si>
    <t>UCB da Amazônia S.A.</t>
  </si>
  <si>
    <t>3951798000145</t>
  </si>
  <si>
    <t>Av. Cupiuba, 753  -   Distrito Industrial  Manaus/Amazonas</t>
  </si>
  <si>
    <t>Inoxx Indústria e Serviços em Artefatos de Metal Ltda</t>
  </si>
  <si>
    <t>21792266000194</t>
  </si>
  <si>
    <t>Ferro</t>
  </si>
  <si>
    <t>Hidróxido de Potássio</t>
  </si>
  <si>
    <t>Av. Coronel Teixeira,  6402  -   Santo Agostinho  Manaus/Amazonas</t>
  </si>
  <si>
    <t>Harman da Amazônia Indústria Eletrônica e Participações Ltda - Matriz (Lifestyle)</t>
  </si>
  <si>
    <t>7703111000103</t>
  </si>
  <si>
    <t>Av. Cupiuba, 401 -   Distrito Industrial  Manaus/Amazonas</t>
  </si>
  <si>
    <t>Rio Tapajós Logística Ltda</t>
  </si>
  <si>
    <t>23933554000147</t>
  </si>
  <si>
    <t>Est. Gleba 10 - Unidade 04  Distrito de Miritituba  Itaituba/Pará</t>
  </si>
  <si>
    <t>Ictec Indústria Comércio e Representações Ltda</t>
  </si>
  <si>
    <t>634562000197</t>
  </si>
  <si>
    <t>Av. Castelo Branco, 629  -   Cachoerinha  Manaus/Amazonas</t>
  </si>
  <si>
    <t>Condominío Gran Vista Ponta Negra</t>
  </si>
  <si>
    <t>17823819000151</t>
  </si>
  <si>
    <t>Rua Raimundo Nonato de Castro,685 -   Ponta Negra  Manaus/Amazonas</t>
  </si>
  <si>
    <t>Novotempo Indústria Gráfica Ltda</t>
  </si>
  <si>
    <t>1208577000156</t>
  </si>
  <si>
    <t>Rua Rio Amazonas, 409  -   São Francisco  Manaus/Amazonas</t>
  </si>
  <si>
    <t>Chibatão Navegação e Comercio Ltda - Tomiasi</t>
  </si>
  <si>
    <t>84098383001063</t>
  </si>
  <si>
    <t>Rua Zebu, 1 -   Colônia Oliveira Machado  Manaus/Amazonas</t>
  </si>
  <si>
    <t>Transire Fabricação de Componentes Eletrônicos Ltda</t>
  </si>
  <si>
    <t>21785364000102</t>
  </si>
  <si>
    <t>Av. Ministro Mario Anderazza, 4120  -   Distrito Industrial  Manaus/Amazonas</t>
  </si>
  <si>
    <t>Auto Posto Camila Ltda</t>
  </si>
  <si>
    <t>03932978000180</t>
  </si>
  <si>
    <t>Av.Cosme Ferreira, 3276  -   Coroado  Manaus/Amazonas</t>
  </si>
  <si>
    <t>Express Comércio Varejista de Derivados de Petróleo Ltda (Posto Franceses)</t>
  </si>
  <si>
    <t>84537349000157</t>
  </si>
  <si>
    <t>Av. Desembargador João Machado, 391  -   Alvorada I  Manaus/Amazonas</t>
  </si>
  <si>
    <t>Digitron da Amazônia Indústria e Comércio Ltda</t>
  </si>
  <si>
    <t>84489988000518</t>
  </si>
  <si>
    <t>Av. Dona Otilia, 1490  -   Tarumã  Manaus/Amazonas</t>
  </si>
  <si>
    <t>Clínica Renal de Manaus Ltda</t>
  </si>
  <si>
    <t>4666319000101</t>
  </si>
  <si>
    <t>Av. Castelo Branco, 1709  -   Cachoerinha  Manaus/Amazonas</t>
  </si>
  <si>
    <t>Petróleo Brasileiro S.A Petrobras</t>
  </si>
  <si>
    <t>33000167113143</t>
  </si>
  <si>
    <t>Av. Darcy Vargas, 645  -   Parque 10 de Novembro  Manaus/Amazonas</t>
  </si>
  <si>
    <t xml:space="preserve">11475 Tutiplast Indústria e Comércio LTDA - Matriz </t>
  </si>
  <si>
    <t>84501873000178</t>
  </si>
  <si>
    <t>Rua Rio Mutuzinho, 16  -   Armando Mendes  Manaus/Amazonas</t>
  </si>
  <si>
    <t>Humax do Brasil Indústria Eletrônica Ltda</t>
  </si>
  <si>
    <t>13645479000165</t>
  </si>
  <si>
    <t>Av. Torquato Tapajós, 7503  -   Tarumã  Manaus/Amazonas</t>
  </si>
  <si>
    <t>Aurora da Amazonia Terminais e Servicos Ltda</t>
  </si>
  <si>
    <t>4694548000130</t>
  </si>
  <si>
    <t>Rua Ministro João Gonçalves de Araújo, 472  -   Distrito Industrial  Manaus/Amazonas</t>
  </si>
  <si>
    <t>Noroeste Máquinas e Equipamentos Ltda</t>
  </si>
  <si>
    <t>18918142000106</t>
  </si>
  <si>
    <t>Av. Efigênio Sales,  1800 -   Aleixo  Manaus/Amazonas</t>
  </si>
  <si>
    <t>Mapa da Amazonia Industria e Comercio de Saneantes Ltda</t>
  </si>
  <si>
    <t>1548960000153</t>
  </si>
  <si>
    <t>Av. Margarita, 141  -   Monte das Oliveiras  Manaus/Amazonas</t>
  </si>
  <si>
    <t>Ciex Comercio Industria e Exportação - Usina Americana</t>
  </si>
  <si>
    <t>4354940000210</t>
  </si>
  <si>
    <t>Av. Leopaldo Peres,  41  -   Educandos  Manaus/Amazonas</t>
  </si>
  <si>
    <t>Ciex Comercio Industria e Exportação Ltda - Usina Steve Negron</t>
  </si>
  <si>
    <t>4354940000482</t>
  </si>
  <si>
    <t>Rua Amancio de Miranda, 437  -   Educandos  Manaus/Amazonas</t>
  </si>
  <si>
    <t>Ox-Red Química Ltda</t>
  </si>
  <si>
    <t>63640643000110</t>
  </si>
  <si>
    <t>Av. João Válerio, 250 -   São Geraldo  Manaus/Amazonas</t>
  </si>
  <si>
    <t>Atex do Brasil Locação de Equipamentos Ltda</t>
  </si>
  <si>
    <t>65354649000822</t>
  </si>
  <si>
    <t>Av. Puraquequara, 1720  -   Puraquequara  Manaus/Amazonas</t>
  </si>
  <si>
    <t>11484 Flextronics International Tecnologia LTDA - 74.404.229/0008-02</t>
  </si>
  <si>
    <t>74404229000802</t>
  </si>
  <si>
    <t>Hidróxido de Sódio</t>
  </si>
  <si>
    <t>Avenida Solimões, 805  Distrito Industrial I  Manaus/Amazonas</t>
  </si>
  <si>
    <t>Naverio Navegação do Rio Amazonas Ltda (Posto XV)</t>
  </si>
  <si>
    <t>84477215001593</t>
  </si>
  <si>
    <t>Rua São Raimundo, 15  -   Santo Antonio  Manaus/Amazonas</t>
  </si>
  <si>
    <t>11486 Knauf Isopor da Amazônia Ltda</t>
  </si>
  <si>
    <t>01592818000103</t>
  </si>
  <si>
    <t>Rua Rio Jaguarão, 752  -   Distrito Industrial  Manaus/Amazonas</t>
  </si>
  <si>
    <t>Termo Metais Ltda</t>
  </si>
  <si>
    <t>07234778000104</t>
  </si>
  <si>
    <t>Rua Licuri, 2010  -   Distrito Industrial  Manaus/Amazonas</t>
  </si>
  <si>
    <t>M.K Eletrodomesticos Mondial S.A</t>
  </si>
  <si>
    <t>07666567000736</t>
  </si>
  <si>
    <t>Av. Torquato Tapajós, 11760  -   Santa Etelvina  Manaus/Amazonas</t>
  </si>
  <si>
    <t>Pomar Comercio de Derivados de Petroleo e Construção Eireli</t>
  </si>
  <si>
    <t>12675374000196</t>
  </si>
  <si>
    <t>Av. Dom Pedro I,  29  -   Dom Pedro I  Manaus/Amazonas</t>
  </si>
  <si>
    <t>Renan Santos Brasilio (LTL Lavanderia e Tinturaria)</t>
  </si>
  <si>
    <t>12521870000195</t>
  </si>
  <si>
    <t>Rua Andorinha, 448  -   Jorge Teixeira  Manaus/Amazonas</t>
  </si>
  <si>
    <t>MEE Navegação e Logística Ltda</t>
  </si>
  <si>
    <t>04288618000150</t>
  </si>
  <si>
    <t>Av. Pedro Teixeira, 113 -   Dom Pedro  Manaus/Amazonas</t>
  </si>
  <si>
    <t>Petrovan Derivados de Petróleo LTDA - Filial</t>
  </si>
  <si>
    <t>84472851000399</t>
  </si>
  <si>
    <t>Av. Governador Jose Lindoso, 3211  -   Parque 10 de Novembro  Manaus/Amazonas</t>
  </si>
  <si>
    <t>Petromay Derivados de Petroleo Ltda</t>
  </si>
  <si>
    <t>01691433000101</t>
  </si>
  <si>
    <t>Av. Dalma Batista, 4360  -   Flores  Manaus/Amazonas</t>
  </si>
  <si>
    <t>Delta Consultoria Empresarial e Serviços de Segurança do Trabalho Ltda</t>
  </si>
  <si>
    <t>18554385000102</t>
  </si>
  <si>
    <t>Rua Rio Arnon,  13  -   Nova Cidade  Manaus/Amazonas</t>
  </si>
  <si>
    <t>11495 Ardo - Construtora e Pavimentação Ltda</t>
  </si>
  <si>
    <t>07354898000145</t>
  </si>
  <si>
    <t>Av. Torquato Tapajós, 5  -   Lago Azul  Manaus/Amazonas</t>
  </si>
  <si>
    <t>TNT Mercúrio Cargas e Encomendas Expressas Ltda</t>
  </si>
  <si>
    <t>95591723011587</t>
  </si>
  <si>
    <t>Av. dos Oitis, 1771 -   Armando Mendes  Manaus/Amazonas</t>
  </si>
  <si>
    <t>Ocidental Consultoria e Projetos Ltda</t>
  </si>
  <si>
    <t>13292973000193</t>
  </si>
  <si>
    <t>Av. Laguna,  68 -   Planalto  Manaus/Amazonas</t>
  </si>
  <si>
    <t>Trading Derivados de Petróleo Ltda (Posto 700)</t>
  </si>
  <si>
    <t>04173910000127</t>
  </si>
  <si>
    <t>Av. Dalma Batista, 700  -   Nossa Senhora das Graças  Manaus/Amazonas</t>
  </si>
  <si>
    <t>BRG Brasil Geradores Eireli</t>
  </si>
  <si>
    <t>04675878000340</t>
  </si>
  <si>
    <t>Rua Conde de Itaguai, 374 -   Flores  Manaus/Amazonas</t>
  </si>
  <si>
    <t>Transglobal Serviços Ltda (Sede)</t>
  </si>
  <si>
    <t>01362266000147</t>
  </si>
  <si>
    <t>Av. Abiurana,  2351  -   Mauazinho  Manaus/Amazonas</t>
  </si>
  <si>
    <t>Serviço de Petroleo Constellation S.A</t>
  </si>
  <si>
    <t>30521090000399</t>
  </si>
  <si>
    <t>Av. do Turismo, 7000 -   Tarumã  Manaus/Amazonas</t>
  </si>
  <si>
    <t>Amazon Sand Industria e Comercio de Areia de Fundição Ltda</t>
  </si>
  <si>
    <t>08541798000190</t>
  </si>
  <si>
    <t>Rua Gisele  1082  -   Mauazinho  Manaus/Amazonas</t>
  </si>
  <si>
    <t>DAT Comércio de Derivados de Petroleo Ltda</t>
  </si>
  <si>
    <t>01647520000153</t>
  </si>
  <si>
    <t>Av. Doutor Theomarino Pinto da Costa, 5040  -   Chapada  Manaus/Amazonas</t>
  </si>
  <si>
    <t>Waldemiro P. Lustosza e Cia Ltda</t>
  </si>
  <si>
    <t>04562773000112</t>
  </si>
  <si>
    <t>Av. Padre Agostinho Caballero Martin, 23 -   São Raimundo  Manaus/Amazonas</t>
  </si>
  <si>
    <t>Corprint da Amazonia Grafica e Editora Ltda</t>
  </si>
  <si>
    <t>07519331000181</t>
  </si>
  <si>
    <t>Av. Abiurana  1149 -   Distrito Industrial  Manaus/Amazonas</t>
  </si>
  <si>
    <t>Ferreira e Assef Eireli - ME (Motel Tahiti)</t>
  </si>
  <si>
    <t>08346253000123</t>
  </si>
  <si>
    <t>Av. Coronel Teixeira, 4919 -   Ponta Negra  Manaus/Amazonas</t>
  </si>
  <si>
    <t>11 507 Yamaha Motor da Amazônia Ltda (Carla/Priscila)</t>
  </si>
  <si>
    <t>04.817.052/0001-06</t>
  </si>
  <si>
    <t>Rua Rio Jaguarão,1842  -   Vila Buriti  Manaus/Amazonas</t>
  </si>
  <si>
    <t>Hevi Embalagens da Amazônia Ltda</t>
  </si>
  <si>
    <t>06996299000162</t>
  </si>
  <si>
    <t>Av. Tefé, 500  -   Japiim  Manaus/Amazonas</t>
  </si>
  <si>
    <t>Petrobras Distribuidora S.A (Baman Base Manaus)</t>
  </si>
  <si>
    <t>34274233009150</t>
  </si>
  <si>
    <t>Rua Pajura,171 -   Vila Buriti  Manaus/Amazonas</t>
  </si>
  <si>
    <t>Transglobal Serviços Ltda (Filial)</t>
  </si>
  <si>
    <t>01362266000570</t>
  </si>
  <si>
    <t>Av. Abiurana, 2305  -   Mauazinho  Manaus/Amazonas</t>
  </si>
  <si>
    <t>Saint-Gobain do Brasil Produtos Industriais e para Construção Ltda (WEBER)</t>
  </si>
  <si>
    <t>61064838009785</t>
  </si>
  <si>
    <t>Av. Professor Paulo Graça, 7940  -   Lago Azul  Manaus/Amazonas</t>
  </si>
  <si>
    <t>PST Eletrônica Ltda</t>
  </si>
  <si>
    <t>84496066000104</t>
  </si>
  <si>
    <t>Av. Açaí ,2045 -   Distrito Industral  Manaus/Amazonas</t>
  </si>
  <si>
    <t>Digiboard Eletrônica da Amazônia Ltda</t>
  </si>
  <si>
    <t>7448261000118</t>
  </si>
  <si>
    <t>Rua Matrinxa, 1111 -   Distrito Industral  Manaus/Amazonas</t>
  </si>
  <si>
    <t>Prossegur Brasil S/A Transportadora de Valores e Segurança</t>
  </si>
  <si>
    <t xml:space="preserve"> 1,5 - 24  </t>
  </si>
  <si>
    <t>7647-01-0</t>
  </si>
  <si>
    <t>Acetona</t>
  </si>
  <si>
    <t>Comprometimento do SNC; Irritações noTRS; Irritações nos olhos</t>
  </si>
  <si>
    <t>Método NIOSH 1300</t>
  </si>
  <si>
    <t xml:space="preserve"> 0,5 - 3</t>
  </si>
  <si>
    <t>7664-39-3</t>
  </si>
  <si>
    <t>Manganês</t>
  </si>
  <si>
    <t>Acetonitrila</t>
  </si>
  <si>
    <t>Irritação no TRI</t>
  </si>
  <si>
    <t>Método NIOSH 1606</t>
  </si>
  <si>
    <t>Óxido de Cálcio</t>
  </si>
  <si>
    <t>64-18-6</t>
  </si>
  <si>
    <t>Ácido acético</t>
  </si>
  <si>
    <t>Comprometimento da função pulmonar; Irritações no trato respiratório superior; Irritações nos olhos</t>
  </si>
  <si>
    <t>Método NIOSH 1603</t>
  </si>
  <si>
    <t>0,02 - 1</t>
  </si>
  <si>
    <t>20 - 300</t>
  </si>
  <si>
    <t>17428731012494</t>
  </si>
  <si>
    <t>Av. André Araújo,1150 -   São Francisco  Manaus/Amazonas</t>
  </si>
  <si>
    <t>7664-38-2</t>
  </si>
  <si>
    <t>Brasman Indústria Comércio e Representação Comercial Eireli</t>
  </si>
  <si>
    <t>03774156000118</t>
  </si>
  <si>
    <t>Rua General Jacinto Botinelly -   Alvorada  Manaus/Amazonas</t>
  </si>
  <si>
    <t>AGM Comércio e Disribuidora de Materiais de Perfumaria e Limpeza Ltda</t>
  </si>
  <si>
    <t>03673826000100</t>
  </si>
  <si>
    <t>Rua Gabriel Gonçalves, 345  -   Aleixo  Manaus/Amazonas</t>
  </si>
  <si>
    <t>Portal das Rosas Empreendimento Imobiliário Ltda (Direcional)</t>
  </si>
  <si>
    <t>11838746000276</t>
  </si>
  <si>
    <t>Rua Acre, 428 -   Nossa Senhora das Graças  Manaus/Amazonas</t>
  </si>
  <si>
    <t>Direcional Rubi Empreendimentos Imobiliários Ltda</t>
  </si>
  <si>
    <t>09037901000556</t>
  </si>
  <si>
    <t>Rua Acre, 428  -   Nossa Senhora das Graças  Manaus/Amazonas</t>
  </si>
  <si>
    <t>Fujifilm do Brasil Ltda</t>
  </si>
  <si>
    <t>60397874000407</t>
  </si>
  <si>
    <t>Av. Desembargador, 6233  -   Alvorada  Manaus/Amazonas</t>
  </si>
  <si>
    <t>V8 Restaurante e Bar Eireli</t>
  </si>
  <si>
    <t>11856976000187</t>
  </si>
  <si>
    <t>Av. Ephigenio Salles, 1235  -   Aleixo  Manaus/Amazonas</t>
  </si>
  <si>
    <t>Universal Electronics do Brasil Ltda</t>
  </si>
  <si>
    <t>12493492000183</t>
  </si>
  <si>
    <t>Av. Torquato Tapajós, 4010 -     Manaus/Amazonas</t>
  </si>
  <si>
    <t>Medical Clin Serviços Médicos e Laboratório Eireli</t>
  </si>
  <si>
    <t>22487401000150</t>
  </si>
  <si>
    <t>Av. Borba ,1423 -   Cachoerinha  Manaus/Amazonas</t>
  </si>
  <si>
    <t>Label Packing Industria de Embalagens da Amazonia Ltda</t>
  </si>
  <si>
    <t>17179228000193</t>
  </si>
  <si>
    <t>Av. Max Teixeira, 2047  -   Colônia Santo Antônio  Manaus/Amazonas</t>
  </si>
  <si>
    <t>GR Serviços e Alimentação Ltda</t>
  </si>
  <si>
    <t>02905110017950</t>
  </si>
  <si>
    <t>Rua Belém , 929  -   São Fracisco  Manaus/Amazonas</t>
  </si>
  <si>
    <t>Óxido de Zinco</t>
  </si>
  <si>
    <t>Construtora Marquise S.A.</t>
  </si>
  <si>
    <t>07950702000266</t>
  </si>
  <si>
    <t>Av. Torquato Tapajós, 4240 -   Colônia Santo Antônio  Manaus/Amazonas</t>
  </si>
  <si>
    <t>Choperia Copacabana Ltda</t>
  </si>
  <si>
    <t>15209782000140</t>
  </si>
  <si>
    <t>Av. do Turismo,  2666  -   Tarumã  Manaus/Amazonas</t>
  </si>
  <si>
    <t>M I Montreal Informatica S.A</t>
  </si>
  <si>
    <t>42563692001874</t>
  </si>
  <si>
    <t>Q SBS Quadra, 02  -   Asa Sul  Brasília/Distrito Federal</t>
  </si>
  <si>
    <t>Saldanha Rodrigues Ltda</t>
  </si>
  <si>
    <t>03426484000123</t>
  </si>
  <si>
    <t>Av. Torquato Tapajó, 2475  -     Manaus/Amazonas</t>
  </si>
  <si>
    <t>11531 Braserv Petroleo Ltda</t>
  </si>
  <si>
    <t>10941603000303</t>
  </si>
  <si>
    <t>Rua Lisboa, 12 -   Planalto  Manaus/Amazonas</t>
  </si>
  <si>
    <t>Sat Bras Industria Eletrônica da Amazônia Ltda.</t>
  </si>
  <si>
    <t>03521296000184</t>
  </si>
  <si>
    <t>Av. Torquato tapajós, no 7900  Colônia Santo Antônio  Manaus/Amazonas</t>
  </si>
  <si>
    <t>Kelp Serviços Médicos Ltda (SASMET)</t>
  </si>
  <si>
    <t>03072191000195</t>
  </si>
  <si>
    <t>Av. Ayrão,  518  -   Centro  Manaus/Amazonas</t>
  </si>
  <si>
    <t>11534 Amazônia P L Marinho (Prossesmt)</t>
  </si>
  <si>
    <t>08692979000118</t>
  </si>
  <si>
    <t>Av. São Jorge, 16 -   São Jorge  Manaus/Amazonas</t>
  </si>
  <si>
    <t>Sociedade Fogas Limitada (Boa Vista)</t>
  </si>
  <si>
    <t>04563672001219</t>
  </si>
  <si>
    <t>Rua Hildegardo Bantim, 1251 -   Distrito Industrial Governador Aquilino Mota Duart  Boa Vista/Roraima</t>
  </si>
  <si>
    <t>11536 Procomp Amazônia Indústria Eletrônica Ltda</t>
  </si>
  <si>
    <t>84107697000194</t>
  </si>
  <si>
    <t>Rua Des. Filismino Soares, 70  -   Colônia Oliveira Machado  Manaus/Amazonas</t>
  </si>
  <si>
    <t>11537 FCC do Brasil Ltda</t>
  </si>
  <si>
    <t>02672357000141</t>
  </si>
  <si>
    <t>Rua Mogno N. 11 - Distrito Industrial - Manaus/AM -   Distrito Industrial  Manaus/Amazonas</t>
  </si>
  <si>
    <t>WWF de Moraes (Posto ATEM)</t>
  </si>
  <si>
    <t>23030356000173</t>
  </si>
  <si>
    <t>Av. Autaz Mirim N. 11 -Tancredo Neves - Manaus/AM -   Tancredo Neves  Manaus/Amazonas</t>
  </si>
  <si>
    <t>11539 Consórcio Condomínio Shopping Ponta Negra</t>
  </si>
  <si>
    <t>18893082000106</t>
  </si>
  <si>
    <t>Av. Coronel Teixeira N. 5705 - Ponta Negra -   Ponta Negra  Manaus/Amazonas</t>
  </si>
  <si>
    <t>I-Sheng Brasil Indústria e Comércio de Componentes Eletronicos Ltda</t>
  </si>
  <si>
    <t>04547098000152</t>
  </si>
  <si>
    <t>Rua Acara, 200 -   Distrito Industrial  Manaus/Amazonas</t>
  </si>
  <si>
    <t>Companhia de Gás do Amazonas - Cigas</t>
  </si>
  <si>
    <t>00624964000100</t>
  </si>
  <si>
    <t>Av. Torquato Tapajós, 6100  -   Flores  Manaus/Amazonas</t>
  </si>
  <si>
    <t>Mega Pack Plasticos S.A</t>
  </si>
  <si>
    <t>19631376000122</t>
  </si>
  <si>
    <t>Av. Autaz Mirim, 1030  -   Distrito Industrial  Manaus/Amazonas</t>
  </si>
  <si>
    <t>Challenger da Amazônia Indústria De Peças para Veículos Automotores Ltda</t>
  </si>
  <si>
    <t>12901599000113</t>
  </si>
  <si>
    <t>Av. dos Oitis N. 6343 - Distrito Industrial - Manaus/AM -   Distrito Industrial  Manaus/Amazonas</t>
  </si>
  <si>
    <t>Norte Ambiental LTDA</t>
  </si>
  <si>
    <t>15868091000159</t>
  </si>
  <si>
    <t>AC Linha C-55, KM 02 - Lote 01/A1, gleba 03  Área Rural de Ariquemes  Ariquemes/Rondônia</t>
  </si>
  <si>
    <t>11545 Condomínio do Edificio Nau Capitania</t>
  </si>
  <si>
    <t>09507354000100</t>
  </si>
  <si>
    <t>Av. Efigenio Salles, 428  -   Parque 10 de Novembro  Manaus/Amazonas</t>
  </si>
  <si>
    <t>Conipa Indústria e Comércio de Presentes, Metais e Artigos De Decoração Ltda</t>
  </si>
  <si>
    <t>26013023000124</t>
  </si>
  <si>
    <t>Rua Constelação de Touro, 299  -   Aleixo  Manaus/Amazonas</t>
  </si>
  <si>
    <t>Fermazon Ferro e Aço do Amazonas LTDA - Indústria</t>
  </si>
  <si>
    <t>84464346000130</t>
  </si>
  <si>
    <t>Av. Buruti, 4100  -   Distrito Industrial  Manaus/Amazonas</t>
  </si>
  <si>
    <t>B M Engenharia Ambiental LTDA</t>
  </si>
  <si>
    <t>08395546000109</t>
  </si>
  <si>
    <t>Av. Presidente Vargas, 4597  -   Caranazal  Manaus/Amazonas</t>
  </si>
  <si>
    <t>Agro Rio Comércio e Serviço de Resíduos Reciclados Ltda</t>
  </si>
  <si>
    <t>Tungstênio</t>
  </si>
  <si>
    <t>14855328000102</t>
  </si>
  <si>
    <t>Rua Carmem Coelho Pinto,  2389  -   Zona Rural  Manaus/Amazonas</t>
  </si>
  <si>
    <t>Qualymed Saúde Ocupacional LTDA</t>
  </si>
  <si>
    <t>20400334000160</t>
  </si>
  <si>
    <t>Rua Emiliano Perneta, 860 -   Central  Curitiba/Paraná</t>
  </si>
  <si>
    <t>Araujo e Leite Ltda (Audclin)</t>
  </si>
  <si>
    <t>18017974000143</t>
  </si>
  <si>
    <t>Av. Leonardo Malcher, 1444  -   Praça 14 de Janeiro  Manaus/Amazonas</t>
  </si>
  <si>
    <t>11552 Compar Companhia Paraense de Refrigerantes PVH</t>
  </si>
  <si>
    <t>04928297001859</t>
  </si>
  <si>
    <t>Estrada Areia Branca, 2200  -   Areia Branca  Porto Velho/Rondônia</t>
  </si>
  <si>
    <t>11553 COMPAR Companhia Paraense de Refrigerantes RBR</t>
  </si>
  <si>
    <t>04928297002073</t>
  </si>
  <si>
    <t>TV do Café  -   Distrito Industrial  Rio Branco/Acre</t>
  </si>
  <si>
    <t>ET de Oliveira Eireli 
(Rent Hotel)</t>
  </si>
  <si>
    <t>05972228000167</t>
  </si>
  <si>
    <t>Rua Flamboyant ( o verde), 22 -   Coroado  Manaus/Amazonas</t>
  </si>
  <si>
    <t>ACTUS - Assessoria e Consultoria de Saúde Ocupacional e Meio Ambiente S/S Ltda</t>
  </si>
  <si>
    <t>00944911000177</t>
  </si>
  <si>
    <t>Av. Joaquim Nabuco, 2033  -   Centro  Manaus/Amazonas</t>
  </si>
  <si>
    <t>Condomínio Authentic Recife</t>
  </si>
  <si>
    <t>22695334000160</t>
  </si>
  <si>
    <t>Av. Mario Ypiranga N. 987  -   Adrianópolis  Manaus/Amazonas</t>
  </si>
  <si>
    <t>Condomínio do Edifício Sense Apart Hotel 
(Blue Three)</t>
  </si>
  <si>
    <t>11530031000170</t>
  </si>
  <si>
    <t>Av. Jornalista Umberto Calderaro Filho N. 817  -   Adrianópolis  Manaus/Amazonas</t>
  </si>
  <si>
    <t>F T Soares &amp; Cia Ltda</t>
  </si>
  <si>
    <t>05541594000161</t>
  </si>
  <si>
    <t>Av. Desembargador João Machado N. 1600  -   Alvorada I  Manaus/Amazonas</t>
  </si>
  <si>
    <t>Chibatão Navegação e Comercio Ltda
 (HTR - Armazéns, Transportes E Logística. )</t>
  </si>
  <si>
    <t>84098383000768</t>
  </si>
  <si>
    <t>Av. Presidente Kennedy, N. 920  -   Colônia Oliveira Machado  Manaus/Amazonas</t>
  </si>
  <si>
    <t>Sakura Exhaust do Brasil Ltda</t>
  </si>
  <si>
    <t>09623649000133</t>
  </si>
  <si>
    <t>Rua Rio Jaguarão N. 1842 -   Vila Buriti  Manaus/Amazonas</t>
  </si>
  <si>
    <t>Paula de Jesus Ribeiro da Silva</t>
  </si>
  <si>
    <t>22977669000170</t>
  </si>
  <si>
    <t>Av. Djalma Batista N. 98  -   Parque 10 de Novembro  Manaus/Amazonas</t>
  </si>
  <si>
    <t>Auto Posto Pedras Ltda</t>
  </si>
  <si>
    <t>26591472000150</t>
  </si>
  <si>
    <t>Rua Lagoa de Pedras N. 2  -   Nova Cidade  Manaus/Amazonas</t>
  </si>
  <si>
    <t>11564 Cargill Agricola S.A - Santarem</t>
  </si>
  <si>
    <t>60498706033594</t>
  </si>
  <si>
    <t>Av. Cuiaba S/N Cdp, Lote 04  Sale  Santarém/Pará</t>
  </si>
  <si>
    <t>Vagno Ferreira da Silva</t>
  </si>
  <si>
    <t>29420646000100</t>
  </si>
  <si>
    <t>Av. Ilhas Marquesas N. 19  -   Bairro da Paz  Manaus/Amazonas</t>
  </si>
  <si>
    <t>11566 SC Transportes Ltda</t>
  </si>
  <si>
    <t>04330304000178</t>
  </si>
  <si>
    <t>Av. Djalma Batista N. 1719  -   Chapada  Manaus/Amazonas</t>
  </si>
  <si>
    <t>Auto Posto Marcia Ltda</t>
  </si>
  <si>
    <t>34475061000631</t>
  </si>
  <si>
    <t>Av. Constantino Nery N. 1977  -   São Geraldo  Manaus/Amazonas</t>
  </si>
  <si>
    <t>Sociedade Fogas Ltda - Rio Branco</t>
  </si>
  <si>
    <t>04563672000751</t>
  </si>
  <si>
    <t>Rua Issac Benchimol N. 120  -   Distrito Industrial  Rio Branco/Acre</t>
  </si>
  <si>
    <t>Suguita e Kodama Restaurante e Comercio de Produtos Alimentícios Ltda</t>
  </si>
  <si>
    <t>30298926000176</t>
  </si>
  <si>
    <t>Rua Misushiro N. 210  -   Parque 10 de Novembro  Manaus/Amazonas</t>
  </si>
  <si>
    <t>11570 Pioneer do Brasil Ltda</t>
  </si>
  <si>
    <t>05553531000125</t>
  </si>
  <si>
    <t>Av. Torquato Tapajós N. 4920  -   Colônia Santo Antônio  Manaus/Amazonas</t>
  </si>
  <si>
    <t>Moto Honda da Amazonia Ltda</t>
  </si>
  <si>
    <t>04337168000148</t>
  </si>
  <si>
    <t>Rua Jurua N. 160  -   Distrito Industrial  Manaus/Amazonas</t>
  </si>
  <si>
    <t>Marchelli de Almeida Crispim Eireli</t>
  </si>
  <si>
    <t>29270189000114</t>
  </si>
  <si>
    <t>Av. Tefé N. 850  -   Japiim  Manaus/Amazonas</t>
  </si>
  <si>
    <t>Leonardo Soares de Souza Eireli</t>
  </si>
  <si>
    <t>7498786000168</t>
  </si>
  <si>
    <t>Av. Adolfo Ducker I N. 205  -   Coroado  Manaus/Amazonas</t>
  </si>
  <si>
    <t>Condomínio Concept</t>
  </si>
  <si>
    <t>20849612000160</t>
  </si>
  <si>
    <t>Ácido Bórico - como Borato, compostos inogânicos</t>
  </si>
  <si>
    <t>Av. Mario Ypiranga N. 1208  -   Adrianópolis  Manaus/Amazonas</t>
  </si>
  <si>
    <t>Livea Castro Dantas (Rico Engenharia)</t>
  </si>
  <si>
    <t>27339445000157</t>
  </si>
  <si>
    <t>Rua Rio Tiapana N. 33  -   São José Operário  Manaus/Amazonas</t>
  </si>
  <si>
    <t>Amazon Consultoria em Engenharia Ambiental e Segurança do Trabalho Ltda</t>
  </si>
  <si>
    <t>24835989000111</t>
  </si>
  <si>
    <t>Rua Hidelbrando Antony N. 409  -   Alvorada  Manaus/Amazonas</t>
  </si>
  <si>
    <t>KMA Fabricação e Comércio de Aparelhos de Refrigeração Ltda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</si>
  <si>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</si>
  <si>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14499581000162</t>
  </si>
  <si>
    <t>Rua Cumucim N. 122  -   Aleixo  Manaus/Amazonas</t>
  </si>
  <si>
    <t>Entec Maquinas e Equipamentos Ltda</t>
  </si>
  <si>
    <t>14593521000104</t>
  </si>
  <si>
    <t>Av. Cosme Ferreira N. 1620  Coroado  -   Manaus  Manaus/Amazonas</t>
  </si>
  <si>
    <t>Formapack Embalagens Plasticas Ltda</t>
  </si>
  <si>
    <t>Irritação TRS</t>
  </si>
  <si>
    <t>Filtro de éster de celulose</t>
  </si>
  <si>
    <t>Método NIOSH 7303</t>
  </si>
  <si>
    <t>Espectrofotometria</t>
  </si>
  <si>
    <t>1 - 4</t>
  </si>
  <si>
    <t>09397075000122</t>
  </si>
  <si>
    <t>Av. Abiurana N. 980  -   Distrito Industrial  Manaus/Amazonas</t>
  </si>
  <si>
    <t>240 - 960</t>
  </si>
  <si>
    <t>11580 Metalfino da Amazonia Ltda</t>
  </si>
  <si>
    <t>04414488000154</t>
  </si>
  <si>
    <t>Rua Ipe, 194  -   Distrito Industrial  Manaus/Amazonas</t>
  </si>
  <si>
    <t>Direcional Engenharia S/A (Filial Manaus)</t>
  </si>
  <si>
    <t>7697-37-2</t>
  </si>
  <si>
    <t>16614075000607</t>
  </si>
  <si>
    <t>Rua Acre N. 428  -   Nossa Senhora das Graças  Manaus/Amazonas</t>
  </si>
  <si>
    <t>Sony Brasil Ltda</t>
  </si>
  <si>
    <t>43447044000177</t>
  </si>
  <si>
    <t>Rua Ministro João Gonçalves de Araújo, N. 1274  -   Distrito Industrial Marechal Castelo Branco  Manaus/Amazonas</t>
  </si>
  <si>
    <t>11583 Brasil Norte Bebidas S/A - MAO</t>
  </si>
  <si>
    <t>34590315000158</t>
  </si>
  <si>
    <t>Av. Torquato Tapajós,5800  -   Colônia Terra Nova  Manaus/Amazonas</t>
  </si>
  <si>
    <t>Ácido Carboxílico de Hidrogênio</t>
  </si>
  <si>
    <t>Condomínio do Edifício The Future Manaus Flat</t>
  </si>
  <si>
    <t>006162241000113</t>
  </si>
  <si>
    <t>Rua Recife,1000  -   Adrianapolis  Manaus/Amazonas</t>
  </si>
  <si>
    <t>Tecnosonda S.A</t>
  </si>
  <si>
    <t>33841727000231</t>
  </si>
  <si>
    <t>Rua da Tailandia, 85  -   Gr. Rurais Presidente Varga  Salvador/Bahia</t>
  </si>
  <si>
    <t>Metalúrgica Sato da Amazônia Ltda</t>
  </si>
  <si>
    <t>34505214000131</t>
  </si>
  <si>
    <t>Av. Buriti , 5593  -   Distrito Industrial  Manaus/Amazonas</t>
  </si>
  <si>
    <t>11587 Flextronics da Amazonia Ltda (Masa da Amazônia)</t>
  </si>
  <si>
    <t>04454120000462</t>
  </si>
  <si>
    <t>Av. Torquato Tapajós, 7200  -   Colonia Terra Nova  Manaus/Amazonas</t>
  </si>
  <si>
    <t>Cidade Transporte Ltda</t>
  </si>
  <si>
    <t>06151511000190</t>
  </si>
  <si>
    <t>Rua Rio Itannana, 109  -   Nossa Senhora das Graças  Manaus/Amazonas</t>
  </si>
  <si>
    <t>Irritações no trato respiratório superior</t>
  </si>
  <si>
    <t>Bemol S/A</t>
  </si>
  <si>
    <t>04565289000570</t>
  </si>
  <si>
    <t>Av. Torquato Tapajós, 8251  -   Tarumã  Manaus/Amazonas</t>
  </si>
  <si>
    <t>Método NIOSH 2011</t>
  </si>
  <si>
    <t>11 590 Saúde Manaus Serviços Laboratoriais e Segurança do trabalho Eireli</t>
  </si>
  <si>
    <t>28631492000132</t>
  </si>
  <si>
    <t>Av. Ramos Ferreira, 498  -   Centro  Manaus/Amazonas</t>
  </si>
  <si>
    <t>11591 Hermasa Navegação da Amazonia Ltda - Terminal</t>
  </si>
  <si>
    <t>1 - 24</t>
  </si>
  <si>
    <t>84590892000207</t>
  </si>
  <si>
    <t>Estrada das Indústrias   Zona Urbana  Manaus/Amazonas</t>
  </si>
  <si>
    <t>Condomínio View Club e Home</t>
  </si>
  <si>
    <t>21695134000144</t>
  </si>
  <si>
    <t>Rua Raimundo Nonato de Castro, 550  -   Santo Agostinho  Manaus/Amazonas</t>
  </si>
  <si>
    <t>79-21-0</t>
  </si>
  <si>
    <t>SEST Serviço de Engenharia Eireli</t>
  </si>
  <si>
    <t>18222433000157</t>
  </si>
  <si>
    <t>Av. Rio Jutaí N. 7  -   Nossa Senhora das Graças  Manaus/Amazonas</t>
  </si>
  <si>
    <t>Batista e Belo Ltda (Amazonia Ship Service)</t>
  </si>
  <si>
    <t>21860467000181</t>
  </si>
  <si>
    <t>Rua Salvador N. 120  -   Adrianópolis  Manaus/Amazonas</t>
  </si>
  <si>
    <t>11595 Amaggi Exportação e Importação LTDA</t>
  </si>
  <si>
    <t>77294254002138</t>
  </si>
  <si>
    <t>Ácido clorídrico</t>
  </si>
  <si>
    <t>Estrada das Industrias  -   Zona Urbana  Itacoatiara/Amazonas</t>
  </si>
  <si>
    <t>Cód. e-Social: 01.09.001</t>
  </si>
  <si>
    <t>Pronatus Do Amazonas Indústria E Comércio De Produtos Farmaceuticos Cosméticos Ltda</t>
  </si>
  <si>
    <t>14186324000332</t>
  </si>
  <si>
    <t>Rua Vicente de Porto Alegre N. 432  -   Centro  Manaus/Amazonas</t>
  </si>
  <si>
    <t>Expresso Coroado Ltda</t>
  </si>
  <si>
    <t>Irritações no TRS</t>
  </si>
  <si>
    <t>12393289000135</t>
  </si>
  <si>
    <t>Rua Raimundo A. Borges N. 279  -   Manaus  Manaus/Amazonas</t>
  </si>
  <si>
    <t>LL Teixeira e Cia Ltda</t>
  </si>
  <si>
    <t>Método OSHA ID165-SG / 
OSHA ID-174-SG</t>
  </si>
  <si>
    <t>04764429000106</t>
  </si>
  <si>
    <t>Rod. Vital de Mendonça Estrada  - AM 010   Zona Rural  Itacoatiara/Amazonas</t>
  </si>
  <si>
    <t>Omni Táxi Aéreo S.A</t>
  </si>
  <si>
    <t>03670763000138</t>
  </si>
  <si>
    <t>30 - 600</t>
  </si>
  <si>
    <t>Av. Ayrton Senna N. 02541  -   Barra da Tijuca  Rio de Janeiro/Rio de Janeiro</t>
  </si>
  <si>
    <t>&lt; 0,005</t>
  </si>
  <si>
    <t>Via Verde Transportes Coletivos Ltda</t>
  </si>
  <si>
    <t>Prata</t>
  </si>
  <si>
    <t>09122002000128</t>
  </si>
  <si>
    <t>7664-93-9</t>
  </si>
  <si>
    <t>Av. Laguna N. 1380  -   Planalto  Manaus/Amazonas</t>
  </si>
  <si>
    <t>JR Saboia dos Santos</t>
  </si>
  <si>
    <t>11792762000194</t>
  </si>
  <si>
    <t>Rua Violeta Bayama N. 414  -   Gilberto Mestrinho  Manaus/Amazonas</t>
  </si>
  <si>
    <t>MAG Peças e Serviços de Motores Martimos Eireli</t>
  </si>
  <si>
    <t>06122036000124</t>
  </si>
  <si>
    <t>Av. Humaitá N. 465  -   Cachoeirinha  Manaus/Amazonas</t>
  </si>
  <si>
    <t>A. N. S. de Araújo (Ceramica Ximenes)</t>
  </si>
  <si>
    <t>Ácido fluorídrico</t>
  </si>
  <si>
    <t>03327489000107</t>
  </si>
  <si>
    <t>Rod. Manoel Urbano  -   Zona Rural  Manaus/Amazonas</t>
  </si>
  <si>
    <t>Cepal Construtora de Poço Artesianos e Serviços Ltda (Juvêncio Neto)</t>
  </si>
  <si>
    <t>07513569000108</t>
  </si>
  <si>
    <t>Rua Colider N. 14  -   Novo Aleixo  Manaus/Amazonas</t>
  </si>
  <si>
    <t>A. Fontes Revestimento Em Metais Ltda</t>
  </si>
  <si>
    <t>27187941000132</t>
  </si>
  <si>
    <t>2,5</t>
  </si>
  <si>
    <t>Av. Buriti N. 5000  -   Distrito Industrial  Manaus/Amazonas</t>
  </si>
  <si>
    <t>Navegação Nóbrega Ltda</t>
  </si>
  <si>
    <t>Irritações no TRS; Irritações noTRI; Irritações na pele; Irritações nos olhos; Fluorese.</t>
  </si>
  <si>
    <t>34486076000190</t>
  </si>
  <si>
    <t>Rua Rio Prapo N. 91  -   Vila Buriti  Manaus/Amazonas</t>
  </si>
  <si>
    <t>Ônix Empreendimentos Imobiliários Ltda (Direcional)</t>
  </si>
  <si>
    <t>Método NIOSH 7902</t>
  </si>
  <si>
    <t>10221375000135</t>
  </si>
  <si>
    <t>Condomínio Weekend Club Ponta Negra</t>
  </si>
  <si>
    <t>1 - 2</t>
  </si>
  <si>
    <t>15482527000177</t>
  </si>
  <si>
    <t>Rua Raimundo Nonato de Castro N. 773  -   Ponta Negra  Manaus/Amazonas</t>
  </si>
  <si>
    <t>Condomínio Residencial Tiradentes</t>
  </si>
  <si>
    <t>10780712000124</t>
  </si>
  <si>
    <t>Rua Nelson Batista de Sales N. 05  -   Aleixo  Manaus/Amazonas</t>
  </si>
  <si>
    <t>Sociedade Fogas Ltda (Porto Velho)</t>
  </si>
  <si>
    <t>04563672000409</t>
  </si>
  <si>
    <t>Av. dos Migrantes N. 0101  -   São Sebastião  Porto Velho/Rondônia</t>
  </si>
  <si>
    <t>15 - 1000</t>
  </si>
  <si>
    <t>Murano Veículos Ltda</t>
  </si>
  <si>
    <t>84492198000168</t>
  </si>
  <si>
    <t>Av. Cosme Ferreira N. 443  -   Aleixo  Manaus/Amazonas</t>
  </si>
  <si>
    <t>Condomínio do Edifício Jardim Adrianópolis</t>
  </si>
  <si>
    <t>64-17-5</t>
  </si>
  <si>
    <t>07165620000120</t>
  </si>
  <si>
    <t>Rua Via Lactea N. 1086  -   Aleixo  Manaus/Amazonas</t>
  </si>
  <si>
    <t>Terminais Fluviais do Brasil S/A</t>
  </si>
  <si>
    <t>11389394000219</t>
  </si>
  <si>
    <t>Rua Carlos Henrique Mohering N. 1300  -   Jauary II  Itacoatiara/Amazonas</t>
  </si>
  <si>
    <t>Auto Posto União Ltda</t>
  </si>
  <si>
    <t>23029382000858</t>
  </si>
  <si>
    <t>Av. Tefé N. 2165  -   Raiz  Manaus/Amazonas</t>
  </si>
  <si>
    <t>JMV Global Gestão Treinamento e Consultoria em SST Eireli</t>
  </si>
  <si>
    <t>Ácido fórmico</t>
  </si>
  <si>
    <t>27779236000124</t>
  </si>
  <si>
    <t>Rua Acre N. 00055  -   Centro  Rio de Janeiro/Rio de Janeiro</t>
  </si>
  <si>
    <t>Manauara Empreendimentos Imobiliários Ltda (Direcional)</t>
  </si>
  <si>
    <t>19329950000273</t>
  </si>
  <si>
    <t>Help Serviços Montagens e Soluções Industriais - Eireli</t>
  </si>
  <si>
    <t>08747087000177</t>
  </si>
  <si>
    <t>Av. Borba N. 775  -   Cachoeirinha  Manaus/Amazonas</t>
  </si>
  <si>
    <t>Tumpex Empresa Amazonense de Coleta de Lixo LTDA</t>
  </si>
  <si>
    <t>34485243000189</t>
  </si>
  <si>
    <t>Av. Torquato Tapajós N. 1292  -   Bairro da Paz  Manaus/Amazonas</t>
  </si>
  <si>
    <t>Sete Comercio e Serviços de Pneus LTDA</t>
  </si>
  <si>
    <t>10370780000115</t>
  </si>
  <si>
    <t>Av. Max Teixeira N. 30  -   Colônia Santo Antõnio  Manaus/Amazonas</t>
  </si>
  <si>
    <t>11620 Hermasa Navegação da Amazônia Ltda - Estaleiro</t>
  </si>
  <si>
    <t>84590892000975</t>
  </si>
  <si>
    <t>Est. Stone N. 900  -   Jauary I  Itacoatiara/Amazonas</t>
  </si>
  <si>
    <t>Souza Montagem e Locação Ltda - ME</t>
  </si>
  <si>
    <t>67-63-0</t>
  </si>
  <si>
    <t>21681726000107</t>
  </si>
  <si>
    <t>Rua 20 (CJ C Branco) N. 781  -   Parque 10 de Novembro  Manaus/Amazonas</t>
  </si>
  <si>
    <t>Rota Comércio e Transporte de Combustiveis Ltda</t>
  </si>
  <si>
    <t>22891608000196</t>
  </si>
  <si>
    <t>Av. Camapua, N. 0  -   Novo Aleixo  Manaus/Amazonas</t>
  </si>
  <si>
    <t>NorteBag Industria de Embalagens Eireli</t>
  </si>
  <si>
    <t>05399071000122</t>
  </si>
  <si>
    <t>Av. Buriti, 5500  -   Distrito Industrial I  Manaus/Amazonas</t>
  </si>
  <si>
    <t>Construtora Savassi Eireli</t>
  </si>
  <si>
    <t>Ácido fosfórico</t>
  </si>
  <si>
    <t>03952190000135</t>
  </si>
  <si>
    <t>Cód. e-Social: 01.12.001</t>
  </si>
  <si>
    <t>Av. Bispo Pedro Massa N. 12  -   Cidade Nova  Manaus/Amazonas</t>
  </si>
  <si>
    <t>Metalma da Amazonia Ltda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</si>
  <si>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</si>
  <si>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06207412000183</t>
  </si>
  <si>
    <t>Rua Igarapé Água Preta N. 194  -   Armando Mendes  Manaus/Amazonas</t>
  </si>
  <si>
    <t>JC de Oliveira Filho Construções e Terraplanagens Eirell</t>
  </si>
  <si>
    <t>32137147000114</t>
  </si>
  <si>
    <t>Rua Olegario Mariano, N. 99  -   Santo Agostinho  Manaus/Amazonas</t>
  </si>
  <si>
    <t>M. de Fátima Santiago (Arte Tubos)</t>
  </si>
  <si>
    <t>06866037000183</t>
  </si>
  <si>
    <t>Irritações nos olhos; Irritações na pele; Irritações no trato respiratório superior</t>
  </si>
  <si>
    <t>Rua Tereza D'avila N. 20  -   Santa Etelvina  Manaus/Amazonas</t>
  </si>
  <si>
    <t>D.D. Incorporações Imobiliárias Ltda</t>
  </si>
  <si>
    <t>09212963000123</t>
  </si>
  <si>
    <t>Av. Governador Jose Lindoso, N. 280  -   Aleixo  Manaus/Amazonas</t>
  </si>
  <si>
    <t>Bringer do Brasil Agenciamento de Cargas Nacionais e Internacionais Ltda</t>
  </si>
  <si>
    <t>1 - 5</t>
  </si>
  <si>
    <t>94001641000104</t>
  </si>
  <si>
    <t>Av. Cruzeiro N. 300  -   Distrito Industrial  Cachoeirinha/Rio Grande do Sul</t>
  </si>
  <si>
    <t>15 - 2000</t>
  </si>
  <si>
    <t>11630 White Solder da Amazônia Ltda</t>
  </si>
  <si>
    <t>04799871000178</t>
  </si>
  <si>
    <t>Av. Buriti N. 4021  -   Distrito Industrial  Manaus/Amazonas</t>
  </si>
  <si>
    <t>Portela Auto Posto Ltda</t>
  </si>
  <si>
    <t>107-13-1</t>
  </si>
  <si>
    <t>26588399000167</t>
  </si>
  <si>
    <t>Av. Coronel Teixeira, N. 9555  -   Ponta Negra  Manaus/Amazonas</t>
  </si>
  <si>
    <t>Makro Atacadista S.A</t>
  </si>
  <si>
    <t>47427653000468</t>
  </si>
  <si>
    <t>Av. Rodrigo Otávio N. 900  -   Japiim  Manaus/Amazonas</t>
  </si>
  <si>
    <t>Pousada de Pesca Esportiva Sucunduri Ltda</t>
  </si>
  <si>
    <t>32172921000128</t>
  </si>
  <si>
    <t>Av. Rio Sucunduri MD N. 10 HÁ  -   Zona Rural  Borba/Amazonas</t>
  </si>
  <si>
    <t>Wandesson Souza Silva (SegControl)</t>
  </si>
  <si>
    <t>Ácido nítrico</t>
  </si>
  <si>
    <t>23176377000100</t>
  </si>
  <si>
    <t>Rua Fialho D'Almeida N. 145B  -   Compensa  Manaus/Amazonas</t>
  </si>
  <si>
    <t>11635 Electrolux do Brasil S/A</t>
  </si>
  <si>
    <t>Irritação olhos e TRS; corrosão dental</t>
  </si>
  <si>
    <t>Método OSHA ID165-SG / OSHA ID-174-SG</t>
  </si>
  <si>
    <t>76487032005437</t>
  </si>
  <si>
    <t>Rua Jutaí N. 275  -   Distrito Industrial  Manaus/Amazonas</t>
  </si>
  <si>
    <t>Shizen Veiculos Ltda</t>
  </si>
  <si>
    <t>96-33-3</t>
  </si>
  <si>
    <t>02518679000130</t>
  </si>
  <si>
    <t>Av. Jornalista Umberto Calderaro Filho N. 1973  -   Parque 10 de Novembro  Manaus/Amazonas</t>
  </si>
  <si>
    <t>Beira Alta Industrial Ltda</t>
  </si>
  <si>
    <t>01481603000115</t>
  </si>
  <si>
    <t>Av. Cosme Ferreira N. 10590  -   Mauazinho  Manaus/Amazonas</t>
  </si>
  <si>
    <t>Carboxi - Indústria e Comércio de Gases Ltda</t>
  </si>
  <si>
    <t>05914165000192</t>
  </si>
  <si>
    <t>Rua Desembargador Cesar do Rego N. 897  -   Colônia Antônio Aleixo  Manaus/Amazonas</t>
  </si>
  <si>
    <t>Du Nort Comericio de Veículos Ltda</t>
  </si>
  <si>
    <t>32137508000122</t>
  </si>
  <si>
    <t>Av. Djalma Batista N. 3505  -   Flores  Manaus/Amazonas</t>
  </si>
  <si>
    <t>Vip Bauru Serviços e Locação de Mao de Obras Ltda</t>
  </si>
  <si>
    <t>Ácido peracético</t>
  </si>
  <si>
    <t>5030939000112</t>
  </si>
  <si>
    <t>Rua Gerson Franca Quadra N. 18 - 28  Jardim Estoril II  Bauru/São Paulo</t>
  </si>
  <si>
    <t>Toka da Karol Materiais de Contrrução Ltda</t>
  </si>
  <si>
    <t>84463918000167</t>
  </si>
  <si>
    <t>Av. Tancredo Neves N. 728  -   Parque Dez  Manaus/Amazonas</t>
  </si>
  <si>
    <t>Centro Educacional Risque e Rabisque Ltda</t>
  </si>
  <si>
    <t>24544062000122</t>
  </si>
  <si>
    <t>Rua Brasilia, 249   São Jorge  Manaus/Amazonas</t>
  </si>
  <si>
    <t>11643 Daikin Ar Condicionado Amazonas Ltda</t>
  </si>
  <si>
    <t>18073380000150</t>
  </si>
  <si>
    <t>Irritação olhos, pele e TRS</t>
  </si>
  <si>
    <t>Rua do Luso N. 1567  -   Taruma  Manaus/Amazonas</t>
  </si>
  <si>
    <t>Intermodal Brasil Logística Ltda - IBL</t>
  </si>
  <si>
    <t>3558055000533</t>
  </si>
  <si>
    <t>Método IT 10-220</t>
  </si>
  <si>
    <t>Rua Beija Flor Vermelho N. 232  -   Taruma  Manaus/Amazonas</t>
  </si>
  <si>
    <t>Condomínio do Edificio Vieiralves Business Center</t>
  </si>
  <si>
    <t>10392754000198</t>
  </si>
  <si>
    <t>15 - 120</t>
  </si>
  <si>
    <t>Weg Amazônia S/A</t>
  </si>
  <si>
    <t>06303603000149</t>
  </si>
  <si>
    <t>Rua Candelaria N. 395 -   Coroado  Manaus/Amazonas</t>
  </si>
  <si>
    <t>Águas Claras Serviços e Transportes Marítimos LTDA</t>
  </si>
  <si>
    <t>71-36-3</t>
  </si>
  <si>
    <t>4518968000165</t>
  </si>
  <si>
    <t>Rua Tobias Barreto N. 282  -   Compensa  Manaus/Amazonas</t>
  </si>
  <si>
    <t>Petrorep Servicos e Representacoes Ltda</t>
  </si>
  <si>
    <t>11922312000179</t>
  </si>
  <si>
    <t>Av. Luiz Tarquino Pontes N. 2580  -     Lauro de Freitas/Bahia</t>
  </si>
  <si>
    <t>Geo Strauss Engenharia de Fundações Da Amazônia Ltda</t>
  </si>
  <si>
    <t>9140647000193</t>
  </si>
  <si>
    <t>Av. do Turismo N. 381  -   Taruma  Manaus/Amazonas</t>
  </si>
  <si>
    <t>GBR Componentes da Amazônia Ltda</t>
  </si>
  <si>
    <t>5370795000143</t>
  </si>
  <si>
    <t>Av. Buriti N. 1900  -   Distrito Industrial  Manaus/Amazonas</t>
  </si>
  <si>
    <t>Gurguel Transportes Ltda</t>
  </si>
  <si>
    <t>4913173000151</t>
  </si>
  <si>
    <t>Rua Barão de Surui N. 16  -   Flores  Manaus/Amazonas</t>
  </si>
  <si>
    <t>11653 Boreo Indústria de Componentes Eletrônicos Ltda</t>
  </si>
  <si>
    <t>25096598000195</t>
  </si>
  <si>
    <t>Ácido Sulfúrico</t>
  </si>
  <si>
    <t>Rua Javari N. 1155  -   Distrito Industrial  Manaus/Amazonas</t>
  </si>
  <si>
    <t>Electrolux do Brasil S.A (Djalma)</t>
  </si>
  <si>
    <t>76487032004546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</si>
  <si>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</si>
  <si>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Av. Djalma Batista N. 1071  -   São Geraldo  Manaus/Amazonas</t>
  </si>
  <si>
    <t>Cimara Ozorio de Brito (Laboratório AudiFono)</t>
  </si>
  <si>
    <t>16623152000180</t>
  </si>
  <si>
    <t>Rua Cremona N. 335  -   Alvorada  Manaus/Amazonas</t>
  </si>
  <si>
    <t>Bioete da Amazonia LTDA</t>
  </si>
  <si>
    <t>30317591000196</t>
  </si>
  <si>
    <t>Rua Terezina N. 95  -   Adrianópolis  Manaus/Amazonas</t>
  </si>
  <si>
    <t>Função pulmonar</t>
  </si>
  <si>
    <t>UNIK Medicina e Segurança do Trabalho Ltda</t>
  </si>
  <si>
    <t>21616761000142</t>
  </si>
  <si>
    <t>Av. Carlos Gomes N. 1771  -   São Cristovão  Porto Velho/Rondônia</t>
  </si>
  <si>
    <t>Folha 03 de 03</t>
  </si>
  <si>
    <t xml:space="preserve">Método OSHA ID-113 </t>
  </si>
  <si>
    <t>Coral Empreendimentos Imobiliários Ltda</t>
  </si>
  <si>
    <t>10348152000303</t>
  </si>
  <si>
    <t>Administração de Bens de Infraestrutura S.A</t>
  </si>
  <si>
    <t xml:space="preserve">480 </t>
  </si>
  <si>
    <t>10701088000637</t>
  </si>
  <si>
    <t>Av. Maica N. 75  -   Santana  Santarém/Pará</t>
  </si>
  <si>
    <t>Transale Transportadora Ale Ltda</t>
  </si>
  <si>
    <t>05511290000151</t>
  </si>
  <si>
    <t>Av. Ministro Mario Anderazza   -   Mauazinho  Manaus/Amazonas</t>
  </si>
  <si>
    <t>7429-90-5</t>
  </si>
  <si>
    <t>Oliva Pinto Logistica Ltda</t>
  </si>
  <si>
    <t>07374179000196</t>
  </si>
  <si>
    <t>Rua Javari N. 1165  -   Distrito Industrial  Manaus/Amazonas</t>
  </si>
  <si>
    <t>Condominio Residencial Paradise Lake</t>
  </si>
  <si>
    <t>23590594000133</t>
  </si>
  <si>
    <t>Av. Pedro Teixeira N. 725  - Lote 04  Dom Pedro  Manaus/Amazonas</t>
  </si>
  <si>
    <t>Guascor do Brasil LTDA</t>
  </si>
  <si>
    <t>01676897002427</t>
  </si>
  <si>
    <t>Est. Coari Mamia  -   Zona Rural  Manaus/Amazonas</t>
  </si>
  <si>
    <t>Acrilato de Etila</t>
  </si>
  <si>
    <t>Nell Engenharia Eireli</t>
  </si>
  <si>
    <t>08596794000100</t>
  </si>
  <si>
    <t>Rua Escandio N. 47  -   Vila da Prata  Manaus/Amazonas</t>
  </si>
  <si>
    <t>Jabil Industrial do Brasil Ltda - TQT - 04.898.857.0001-21</t>
  </si>
  <si>
    <t>04898857000121</t>
  </si>
  <si>
    <t>Rua Anhandui N. 520  -   Flores  Manaus/Amazonas</t>
  </si>
  <si>
    <t>White Solder Metalurgica e Mineração Ltda</t>
  </si>
  <si>
    <t>04107120000143</t>
  </si>
  <si>
    <t>Rod. BR 421 N. 0  -   Apoio BR 421  Ariquemes/Rondônia</t>
  </si>
  <si>
    <t>Irritações gastrointestinal;
Irritações no trato respiratório superior;
Irritações nos olhos;
Comprometimento do sistema nervoso central;
Sensibilidade na pele</t>
  </si>
  <si>
    <t>CR Obras da Construção Ltda</t>
  </si>
  <si>
    <t>01756239000159</t>
  </si>
  <si>
    <t>Rua Rio Amapá N. 18  -   Nossa Senhora das Graças  Manaus/Amazonas</t>
  </si>
  <si>
    <t>Crown Embalagens Metálicas da Amazânia S/A</t>
  </si>
  <si>
    <t>33174335000185</t>
  </si>
  <si>
    <t>Rua Jutaí N. 405  -   Distrito Industrial  Manaus/Amazonas</t>
  </si>
  <si>
    <t>11670 Escola Internacional do Amazonas Ltda</t>
  </si>
  <si>
    <t>1-10</t>
  </si>
  <si>
    <t>07549572000173</t>
  </si>
  <si>
    <t>Rua dos Igarapés N. 0  -   Ponta Negra  Manaus/Amazonas</t>
  </si>
  <si>
    <t>Amatura Empreendimentos Imobiliários Ltda</t>
  </si>
  <si>
    <t>32039850000270</t>
  </si>
  <si>
    <t>12172-73-5</t>
  </si>
  <si>
    <t>Escavatec Aluguel de Maquinas e Equipamentes Ltda</t>
  </si>
  <si>
    <t>07122726000146</t>
  </si>
  <si>
    <t>Rua Sargento Bulcao N. 30  -   Flores  Manaus/Amazonas</t>
  </si>
  <si>
    <t>Plasticos Manaus Ltda</t>
  </si>
  <si>
    <t>34553677000179</t>
  </si>
  <si>
    <t>Av. Codajás N. 1566  -   Petrópolis  Manaus/Amazonas</t>
  </si>
  <si>
    <t>Callidus Industria, Comercio e Serviços de Placas e Componentes de Indormática S.A.</t>
  </si>
  <si>
    <t>08258870000177</t>
  </si>
  <si>
    <t>Acrilato de Metila</t>
  </si>
  <si>
    <t>Av. dos Oitis N. 2449  -   Armando Mendes  Manaus/Amazonas</t>
  </si>
  <si>
    <t>Instituto de Tecnologia e Biotecnologia do Amazonas</t>
  </si>
  <si>
    <t>29093966000100</t>
  </si>
  <si>
    <t>10 Rua Anhandui N. 520  -   Flores  Manaus/Amazonas</t>
  </si>
  <si>
    <t>New Mecânica Serviços Automotivos Ltda</t>
  </si>
  <si>
    <t>26179212000171</t>
  </si>
  <si>
    <t>Rua Duque de Caxias, 1921   Praça 14 de Janeiro  Manaus/Amazonas</t>
  </si>
  <si>
    <t>Alves e Amorim Comércio de Veiculos Ltda (Pedragon)</t>
  </si>
  <si>
    <t>10638915000180</t>
  </si>
  <si>
    <t>Av. Torquato Tapajós N. 1409  -   Bairro da Paz  Manaus/Amazonas</t>
  </si>
  <si>
    <t>Irritações nos olhos; Irritações na pele; Irritações no trato respiratório superior; Danos nos olhos</t>
  </si>
  <si>
    <t>Procuradoria Geral de Justiça do Estado do Amazonas (Ministério Público)</t>
  </si>
  <si>
    <t>04153748000185</t>
  </si>
  <si>
    <t>Av. Coronel Teixeira N. 7995  -   Nova Esperança  Manaus/Amazonas</t>
  </si>
  <si>
    <t>Método NIOSH 1459</t>
  </si>
  <si>
    <t>Mega Pack Plasticos S.A (Filial)</t>
  </si>
  <si>
    <t>19631376000203</t>
  </si>
  <si>
    <t>Av. Buriti N. 6170  -   Distrito Industrial  Manaus/Amazonas</t>
  </si>
  <si>
    <t>Condominio Conquista Torquato Tapajós</t>
  </si>
  <si>
    <t>32921539000170</t>
  </si>
  <si>
    <t>&lt;0,004</t>
  </si>
  <si>
    <t>Av. Torquato Tapajós N. 7080  -   Colonia Terra Nova  Manaus/Amazonas</t>
  </si>
  <si>
    <t>Procargo Serviços de Administração de Empresas Ltda</t>
  </si>
  <si>
    <t>07142861000153</t>
  </si>
  <si>
    <t>7664-41-7</t>
  </si>
  <si>
    <t>Rua Manoel Marques de Souza (CJ Branco) N. 348  -   Parque 10 de Novembro  Manaus/Amazonas</t>
  </si>
  <si>
    <t>Assoc. Adv. Norte Brasileira de Prevenção e Assistência a Saúde (Hospital Adventista de Manaus)</t>
  </si>
  <si>
    <t>83367342000767</t>
  </si>
  <si>
    <t>Av. Governador Danilo Areosa N. 139  -   Distrito Industrial  Manaus/Amazonas</t>
  </si>
  <si>
    <t>11683 Super Terminais Comércio e Indústria Ltda</t>
  </si>
  <si>
    <t>04335535000255</t>
  </si>
  <si>
    <t>Rua Ponta Grossa N. 256  -   Colônia Oliveira Machado  Manaus/Amazonas</t>
  </si>
  <si>
    <t>José Leandro da Costa da Lima (JJ Climatização)</t>
  </si>
  <si>
    <t>28735927000199</t>
  </si>
  <si>
    <t>Rua Frei Miguel Angelo N. 328  -   Gilberto Mestrinho  Manaus/Amazonas</t>
  </si>
  <si>
    <t>Acrilonitrila</t>
  </si>
  <si>
    <t>Powertech Engenharia Serviços e Locações de Geradores de Energia, Máquinas e Equipamentos S.A</t>
  </si>
  <si>
    <t>Cód. e-Social: 01.19.002</t>
  </si>
  <si>
    <t>12302292000368</t>
  </si>
  <si>
    <t>Est. Feliciano AS  -   Dom Bosco  Manicoré/Amazonas</t>
  </si>
  <si>
    <t>Residenza Empreendimentos Imobiliários Ltda</t>
  </si>
  <si>
    <t>10374558000190</t>
  </si>
  <si>
    <t>Rua Belo Horizonte N. 19  -   Adrianopolis  Manaus/Amazonas</t>
  </si>
  <si>
    <t>W.H.B do Brasil Ltda</t>
  </si>
  <si>
    <t>01111039000491</t>
  </si>
  <si>
    <t>Av. Ceci N. 238  -   Tamboré  Barueri/São Paulo</t>
  </si>
  <si>
    <t>Primeira Igreja Batista da Restauração em Manaus</t>
  </si>
  <si>
    <t>Comprometimento do SNC; Irritações no TRI</t>
  </si>
  <si>
    <t>63693576000100</t>
  </si>
  <si>
    <t>Av. Coronel Teixeira N. 1  -   Santo Agostinho  Manaus/Amazonas</t>
  </si>
  <si>
    <t>Método NIOSH 1604</t>
  </si>
  <si>
    <t>VP Flexgen (Brazil) SPE Ltda (BORBA)</t>
  </si>
  <si>
    <t>28231767000655</t>
  </si>
  <si>
    <t>Est. Do Jatuarana  -   Cristo Rei  Borba/Amazonas</t>
  </si>
  <si>
    <t>VP Flexgen (Brazil) SPE Ltda - (NOVA OLINDA)</t>
  </si>
  <si>
    <t>28231767000221</t>
  </si>
  <si>
    <t>3,5 - 20</t>
  </si>
  <si>
    <t>Est. do Curupira  -   Zona Urbana  Nova Olinda do Norte/Amazonas</t>
  </si>
  <si>
    <t>&lt;0,002</t>
  </si>
  <si>
    <t>VP Flexgen (Brazil) SPE Ltda - (AUTAZES)</t>
  </si>
  <si>
    <t>28231767000302</t>
  </si>
  <si>
    <t>Rod. AZ -   KM 3  Autazes/Amazonas</t>
  </si>
  <si>
    <t>7440-36-0</t>
  </si>
  <si>
    <t>PR Construções e Terraplanagem Ltda</t>
  </si>
  <si>
    <t>84496033000164</t>
  </si>
  <si>
    <t>Av. 7 de Maio N. 37  -   Santa Etelvina  Manaus/Amazonas</t>
  </si>
  <si>
    <t>Genesis Administração de Bens Ltda
 (Scórpios da Amazônia)</t>
  </si>
  <si>
    <t>35978752000106</t>
  </si>
  <si>
    <t>Rua Paris N.14  -   Planalto  Manaus/Amazonas</t>
  </si>
  <si>
    <t>Porto do Cimento e Navegação Eirili</t>
  </si>
  <si>
    <t>07104898000197</t>
  </si>
  <si>
    <t>Rua Ponta Grossa, n° 20  -   Col. Oliveira Machado  Manaus/Amazonas</t>
  </si>
  <si>
    <t>Álcool Etílico</t>
  </si>
  <si>
    <t>Radio TV do Amazonas Ltda</t>
  </si>
  <si>
    <t>04387825000161</t>
  </si>
  <si>
    <t>Av. André Araújo N. 1555  -   Aleixo  Manaus/Amazonas</t>
  </si>
  <si>
    <t>Masseg Transportes e Assessoria Ltda</t>
  </si>
  <si>
    <t>05158534000164</t>
  </si>
  <si>
    <t>Rua Desembargador Cesar do rego N. 270  -   Colônia Antônio Aleixo  Manaus/Amazonas</t>
  </si>
  <si>
    <t>Impram - Impressora Amazonense Ltda</t>
  </si>
  <si>
    <t>04755065000106</t>
  </si>
  <si>
    <t>Av. dos Oitis N. 307  -   Distrito Industrial  Manaus/Amazonas</t>
  </si>
  <si>
    <t>Edifer Comercio e Representações Ltda (Industria Plástica de Manaus)</t>
  </si>
  <si>
    <t>63706089000126</t>
  </si>
  <si>
    <t>Av. Professor Nilton Lins N. 385  -   Flores  Manaus/Amazonas</t>
  </si>
  <si>
    <t>OZN Health Spe S.A</t>
  </si>
  <si>
    <t>18080368000172</t>
  </si>
  <si>
    <t>Av. Torquato Tapajós N. 9250  -   Colônia Terra Nova  Manaus/Amazonas</t>
  </si>
  <si>
    <t>Sodecia da Amazonia Ltda</t>
  </si>
  <si>
    <t>02422460000133</t>
  </si>
  <si>
    <t>Av. Cosme Fereira N. 11398  -   Colônia Antônio Aleixo  Manaus/Amazonas</t>
  </si>
  <si>
    <t>Maikom Medeiros de Oliveira (MM Engenharia)</t>
  </si>
  <si>
    <t>0,1 - 1</t>
  </si>
  <si>
    <t>22305182000141</t>
  </si>
  <si>
    <t>TV Professora Isaura Barroncas N. 23  -   Alvorada  Manaus/Amazonas</t>
  </si>
  <si>
    <t>11703 Compar Companhia Paraense de Refrigerantes Belem</t>
  </si>
  <si>
    <t>7440-38-2</t>
  </si>
  <si>
    <t>Rod. Augusto Montenegro S/N  -   Nova Marambaia  Belém/Pará</t>
  </si>
  <si>
    <t>Mais Vida Clinica Médica e Corretora de Seguro Eireli</t>
  </si>
  <si>
    <t>28726734000171</t>
  </si>
  <si>
    <t>Av. Djalma Batista N. 1661  -   Chapada  Manaus/Amazonas</t>
  </si>
  <si>
    <t>Gree Electric Appliances do Brasil Ltda</t>
  </si>
  <si>
    <t>03519135000156</t>
  </si>
  <si>
    <t>Av. dos Oitis N. 6360  -   Distrito Industrial II  Manaus/Amazonas</t>
  </si>
  <si>
    <t>Água Pura Serviços de Analises Tecnicas Ltda</t>
  </si>
  <si>
    <t>02809871000186</t>
  </si>
  <si>
    <t>Álcool Isopropílico</t>
  </si>
  <si>
    <t>Avenida do Turismo, 7057  -   Tarumã  Manaus/Amazonas</t>
  </si>
  <si>
    <t>Infrutas Indústria de Frutas da Amazônia S/A</t>
  </si>
  <si>
    <t>02951316000194</t>
  </si>
  <si>
    <t>Rua Nossa Senhora de Fátima N. 1055  -   Santa Etelvina  Manaus/Amazonas</t>
  </si>
  <si>
    <t>Manauara IV Empreendimento Imobiliários SPE Ltda (Direcional)</t>
  </si>
  <si>
    <t>24396084000192</t>
  </si>
  <si>
    <t>Rua Acre,428  -   Nossa Senhora das Graças  Manaus/Amazonas</t>
  </si>
  <si>
    <t>11709 Coimpa Industrial LTDA</t>
  </si>
  <si>
    <t>04222428000130</t>
  </si>
  <si>
    <t>Irritações nos olhos; Irritações noTRS; Comprometimento do SNC</t>
  </si>
  <si>
    <t>Av. Rodrigo Otávio, 3047 -   Distrito Industrial  Manaus/Amazonas</t>
  </si>
  <si>
    <t>O resultado é valido exclusivamente para a amostra analisada.</t>
  </si>
  <si>
    <t>Comserviço LTDA</t>
  </si>
  <si>
    <t>03552884000185</t>
  </si>
  <si>
    <t>Av. Autaz Mirim,  10775  -   Cidade de Deus  Manaus/Amazonas</t>
  </si>
  <si>
    <t>Arris Industria Eletronica do Brasil LTDA</t>
  </si>
  <si>
    <t>09154836000115</t>
  </si>
  <si>
    <t>Av. Torquato Tapajós, n° 9475  -   Tarumã  Manaus/Amazonas</t>
  </si>
  <si>
    <t>Emops Controle Ambiental Eireli</t>
  </si>
  <si>
    <t>08014539000101</t>
  </si>
  <si>
    <t>7440-39-3</t>
  </si>
  <si>
    <t>Av. Constantino Nery, n° 1771  -  Sala 2   São Geraldo  Manaus/Amazonas</t>
  </si>
  <si>
    <t>Psicovida Clínica de Psicologia Ltda ME</t>
  </si>
  <si>
    <t>12563691000110</t>
  </si>
  <si>
    <t>O limite de Tolerância da ACGIH neste relatório foi corrigido através do Método Brief e Scala para jornada de trabalho de 44 horas/semanais.</t>
  </si>
  <si>
    <t>Rua Luiz Antony, n° 963  -   Nossa Senhora Aparecida  Manaus/Amazonas</t>
  </si>
  <si>
    <t>Grafisa Grafica e Editora LTDA</t>
  </si>
  <si>
    <t>03633502000148</t>
  </si>
  <si>
    <t>Rua Pará , n° 630  -   Nossa Senhora das Graças  Manaus/Amazonas</t>
  </si>
  <si>
    <t>Condomínio Splendore Confort Residence</t>
  </si>
  <si>
    <t>Álcool Metílico</t>
  </si>
  <si>
    <t>28679493000157</t>
  </si>
  <si>
    <t>Av. Jacira Reis, n° 275  -   São Jorge  Manaus/Amazonas</t>
  </si>
  <si>
    <t>Marcia Batista da Silva</t>
  </si>
  <si>
    <t>00077807588268</t>
  </si>
  <si>
    <t xml:space="preserve"> -     Manaus/Amazonas</t>
  </si>
  <si>
    <t>Elson Francisco Torres Rivorêdo</t>
  </si>
  <si>
    <t>31020720204</t>
  </si>
  <si>
    <t>Av. Do Turismo, n° 14.370  -   Tarumã  Manaus/Amazonas</t>
  </si>
  <si>
    <t>Guascor do Brasil LTDA - Pará</t>
  </si>
  <si>
    <t>Dor de Cabeça; Danos nos olhos; Tontura; Nausea</t>
  </si>
  <si>
    <t>01676897000211</t>
  </si>
  <si>
    <t>Av. Augusto Montenegro 4300  -   Distrito Bengui  Belém/Pará</t>
  </si>
  <si>
    <t>JF Serviços</t>
  </si>
  <si>
    <t>09508073000163</t>
  </si>
  <si>
    <t>Av. Presidente Dutra N. 427, Sala 04  -   São Raimundo  Manaus/Amazonas</t>
  </si>
  <si>
    <t>Infotec Consultoria e Planejamento LTDA</t>
  </si>
  <si>
    <t>1-5</t>
  </si>
  <si>
    <t>29884632000147</t>
  </si>
  <si>
    <t>Rua Teofilo Otoni N. 63, Sala 1101 -   Centro  Manaus/Amazonas</t>
  </si>
  <si>
    <t>Purissima da Amazonia, Industria e Comercio de Agua e Ceramica Ltda</t>
  </si>
  <si>
    <t>10907534000230</t>
  </si>
  <si>
    <t>Rod Manoel Urbano  -  AM 070, S/N; Km 74   Zona Rural  Manacapuru/Amazonas</t>
  </si>
  <si>
    <t>71-43-2</t>
  </si>
  <si>
    <t>Jomaga Participações LTDA</t>
  </si>
  <si>
    <t>04606250001607</t>
  </si>
  <si>
    <t>RuaTiodolina Cordeiro, 127; Andar 01 Sala 02  -   Parque 10 de Novembro  Manaus/Amazonas</t>
  </si>
  <si>
    <t>Wild Amazon Flavors Concentrados e Corantes para Bebidas LTDA</t>
  </si>
  <si>
    <t>07540217000133</t>
  </si>
  <si>
    <t>Av. Torquato Tapajós, n° 1695  -   Bairro da Paz  Manaus/Amazonas</t>
  </si>
  <si>
    <t>Incinere Resíduos LTDA</t>
  </si>
  <si>
    <t>17475314000143</t>
  </si>
  <si>
    <t>Álcool n-butílico</t>
  </si>
  <si>
    <t>Rod. PA - 150 S/N, Quadra G Lote 09   Setor Dist. Ind - Nova Marabá  Marabá/Pará</t>
  </si>
  <si>
    <t>Manoel de Jesus Vieira de Araujo - Saniete</t>
  </si>
  <si>
    <t>15539911000169</t>
  </si>
  <si>
    <t>Rua Gurupi, N. 1618  -   Redenção  Manaus/Amazonas</t>
  </si>
  <si>
    <t>Indústria de Papel Sovel da Amazônia Ltda</t>
  </si>
  <si>
    <t>15774508000114</t>
  </si>
  <si>
    <t>Rua Dr. João de Paula N. 600  -   Col. Antônio Aleixo  Manaus/Amazonas</t>
  </si>
  <si>
    <t>Sovel da Amazônia Ltda</t>
  </si>
  <si>
    <t>04278669000109</t>
  </si>
  <si>
    <t>Cond. Residencial Eldorado Park Torre Inka</t>
  </si>
  <si>
    <t>Método NIOSH 1401</t>
  </si>
  <si>
    <t>07505216000158</t>
  </si>
  <si>
    <t>Rua Virgilio Freire N. 140  -   Parque 10  Manaus/Amazonas</t>
  </si>
  <si>
    <t>A. W Faber - Castell Amazonia S.A</t>
  </si>
  <si>
    <t>07656227000139</t>
  </si>
  <si>
    <t xml:space="preserve">2 - 10 </t>
  </si>
  <si>
    <t>Av. Do Turismo, n° 2.539 Letra C  -   Ponta Negra  Manaus/Amazonas</t>
  </si>
  <si>
    <t>E M Bastos da Silva e Silva Engenharia LTDA</t>
  </si>
  <si>
    <t>35763173000146</t>
  </si>
  <si>
    <t>7440-41-7</t>
  </si>
  <si>
    <t>Rua Itapecerica, n° 32  -   Novo Aleixo  Manaus/Amazonas</t>
  </si>
  <si>
    <t>Amazonia Cabo LTDA</t>
  </si>
  <si>
    <t>02311604000184</t>
  </si>
  <si>
    <t>AB, n° 12  -  Morada do Sol, Quadra B   Aleixo  Manaus/Amazonas</t>
  </si>
  <si>
    <t>Guascor do Brasil LTDA - Rio Branco</t>
  </si>
  <si>
    <t>01676897000483</t>
  </si>
  <si>
    <t>Rua Rio Grande do Sul, n° 1.000  -  Galpão 01    Manaus/Amazonas</t>
  </si>
  <si>
    <t>Gagliardi Norte Distribuidora de Lubrificantes LTDA</t>
  </si>
  <si>
    <t>12742655000114</t>
  </si>
  <si>
    <t>Rua Wagner, n° 205  -   Redenção  Manaus/Amazonas</t>
  </si>
  <si>
    <t>HCS Mota e Cia Ltda - HC Transporte</t>
  </si>
  <si>
    <t>07764398000181</t>
  </si>
  <si>
    <t>Rua Dona Benedita Castelo Branco N.1, Galpão 01  -   Flores  Manaus/Amazonas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</si>
  <si>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</si>
  <si>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11736 Nansen Instrumentos de Precisão LTDA</t>
  </si>
  <si>
    <t>17155276000575</t>
  </si>
  <si>
    <t>Av. Abiurana, n° 1655  -   Distrito Industrial  Manaus/Amazonas</t>
  </si>
  <si>
    <t>Kinglog Transportes Multimodais LTDA</t>
  </si>
  <si>
    <t>26002003000158</t>
  </si>
  <si>
    <t>Rua Anhandui, n° 520  -   Flores  Manaus/Amazonas</t>
  </si>
  <si>
    <t>Pneumoconiose; Irritação TRI neurotoxicidade</t>
  </si>
  <si>
    <t>Aliança Serviços de Edificações e Trans. LTDA</t>
  </si>
  <si>
    <t>06044947000180</t>
  </si>
  <si>
    <t>Av. Da Floresta, n° 5.800  -   Tarumã  Manaus/Amazonas</t>
  </si>
  <si>
    <t>CST Engenharia LTDA</t>
  </si>
  <si>
    <t>16958792000141</t>
  </si>
  <si>
    <t>R. Atroaris, n° 31  -   Cidade Nova  Manaus/Amazonas</t>
  </si>
  <si>
    <t>45 - 1000</t>
  </si>
  <si>
    <t>Washington Feitosa</t>
  </si>
  <si>
    <t>00071200304268</t>
  </si>
  <si>
    <t>L B BARROS COM DE ELETROELETRONICOS EIRELI</t>
  </si>
  <si>
    <t>1303-96-4</t>
  </si>
  <si>
    <t>08832601000172</t>
  </si>
  <si>
    <t>Rua Emílio Moreira, N° 496 – Centro -   Centro  Manaus/Amazonas</t>
  </si>
  <si>
    <t>TS Serviços, Transporte e Logística Ltda</t>
  </si>
  <si>
    <t>10892021000112</t>
  </si>
  <si>
    <t>Rua Claudiano Moreira, N° 1113  -   São Lazário  Manaus/Amazonas</t>
  </si>
  <si>
    <t>Personality Treinament e Desenv. Profissional LTDA</t>
  </si>
  <si>
    <t>14343914000160</t>
  </si>
  <si>
    <t>Rua Emílio Moreira, N° 289 – Centro -   Centro  Manaus/Amazonas</t>
  </si>
  <si>
    <t>Amianto</t>
  </si>
  <si>
    <t>FIH do Brasil Industria e Comercio de Eletronicos LTDA</t>
  </si>
  <si>
    <t>04009604000150</t>
  </si>
  <si>
    <t>Cód. e-Social: 01.02.001</t>
  </si>
  <si>
    <t>Rua Ipê, n° 535  -   Distrito Industrial  Manaus/Amazonas</t>
  </si>
  <si>
    <t>f/cc</t>
  </si>
  <si>
    <t>Frooty Comércio e Indústria de Alimentos S.A</t>
  </si>
  <si>
    <t>68093095001060</t>
  </si>
  <si>
    <t>Av. Pedro MOura, n° 397   Terra Preta  Manacapuru/Amazonas</t>
  </si>
  <si>
    <t>P D M de Santiago Serviços</t>
  </si>
  <si>
    <t>21426966000165</t>
  </si>
  <si>
    <t>Rua 2 de Agosto, n° 70  -   Parque  10 de Novembro  Manaus/Amazonas</t>
  </si>
  <si>
    <t>11748 EMAM - Emulsões e Transportes LTDA</t>
  </si>
  <si>
    <t>04420916000151</t>
  </si>
  <si>
    <t>R. Nelson Rodrigues, n° 1  -   Compensa  Manaus/Amazonas</t>
  </si>
  <si>
    <t>11749 LSL Transportes da Amazônia Ltda</t>
  </si>
  <si>
    <t>21026335000159</t>
  </si>
  <si>
    <t>Rua Juruá, N° 160 – Sala III  -   Distrito Industrial I  Manaus/Amazonas</t>
  </si>
  <si>
    <t>Elsys Equipamentos Eletrônicos LTDA</t>
  </si>
  <si>
    <t>34484188000102</t>
  </si>
  <si>
    <t>Av. Torquato Tapajós, n° 1052  -   Flores  Manaus/Amazonas</t>
  </si>
  <si>
    <t>Clinica Master Saúde</t>
  </si>
  <si>
    <t>18422079000104</t>
  </si>
  <si>
    <t>Rua Doutor Machado, n° 106  -   Centro  Manaus/Amazonas</t>
  </si>
  <si>
    <t>R&amp;J Consultoria</t>
  </si>
  <si>
    <t>23075584000160</t>
  </si>
  <si>
    <t>Pneumoconiose; Câncer no pulmão; Mesotelioma.</t>
  </si>
  <si>
    <t>Rua Afonso de Souza, n° 137  -   Raiz  Manaus/Amazonas</t>
  </si>
  <si>
    <t>Cassete condutivo com filtro de éster de celulose</t>
  </si>
  <si>
    <t>MRV Engenharia e Participações S.A</t>
  </si>
  <si>
    <t>08343492061005</t>
  </si>
  <si>
    <t>Método NIOSH 7402</t>
  </si>
  <si>
    <t>Rua Belo Horizonte N. 19 SALA 906 Edif The Palace Busine  -   Adrianopolis  Manaus/Amazonas</t>
  </si>
  <si>
    <t>Microscópia de Transmissão de Elétrons</t>
  </si>
  <si>
    <t>Aslan Curso de Idiomas LTDA</t>
  </si>
  <si>
    <t>12403015000422</t>
  </si>
  <si>
    <t>Av. Djalma Batista, n° 34  -   Chapada  Manaus/Amazonas</t>
  </si>
  <si>
    <t>720</t>
  </si>
  <si>
    <t>11755 TCL SEMP Indústria e Comércio de Condicionadores de Ar S.A</t>
  </si>
  <si>
    <t>26794410000145</t>
  </si>
  <si>
    <t>Avenida dos Oitis, Nº 1.720  Distrito Industrial II  Manaus/Amazonas</t>
  </si>
  <si>
    <t>i</t>
  </si>
  <si>
    <t>11756 Elgin Industrial da Amazônia Ltda</t>
  </si>
  <si>
    <t>14200166000166</t>
  </si>
  <si>
    <t>Av. Abiurana, N. 579  -   Distrito Industrial  Manaus/Amazonas</t>
  </si>
  <si>
    <t>Conselho Regional de Enfermagem do Amazonas</t>
  </si>
  <si>
    <t>04667846000130</t>
  </si>
  <si>
    <t>Rua Tapajós, n° 350  -   Centro  Manaus/Amazonas</t>
  </si>
  <si>
    <t>Fenix Industria de Ceramicas e artefatos LTDA</t>
  </si>
  <si>
    <t>04382781000187</t>
  </si>
  <si>
    <t>Estrada Bela Vista, S/N° Lote 15 Km 55 Am070  -   Expansão Urbana   Manacapuru/Amazonas</t>
  </si>
  <si>
    <t>VP FLEXGEN BRAZIL SPE LTDA - HUMAITA</t>
  </si>
  <si>
    <t>Amônia</t>
  </si>
  <si>
    <t>28231767000574</t>
  </si>
  <si>
    <t>Rua 01 S/N°  -   Parque Industrial  Humaitá/Amazonas</t>
  </si>
  <si>
    <t>TST José Emiliano da Silva</t>
  </si>
  <si>
    <t>00063597330215</t>
  </si>
  <si>
    <t>BDA Serviços em construção e Comercio EIRELI</t>
  </si>
  <si>
    <t>17010074000101</t>
  </si>
  <si>
    <t>Av. Jutai, n° 124  -   Nossa Senhora das Graças  Manaus/Amazonas</t>
  </si>
  <si>
    <t>Procter e Gamble do Brasil S.A - Rio Solimões</t>
  </si>
  <si>
    <t>Dano olhos; Irritação TRS</t>
  </si>
  <si>
    <t>59476770000158</t>
  </si>
  <si>
    <t>Av. Guaruba, Nº 740  Distrito Industrial  Manaus/Amazonas</t>
  </si>
  <si>
    <t>Francilene Mendonça da Silva (Marajoara)</t>
  </si>
  <si>
    <t>Método NIOSH 6016</t>
  </si>
  <si>
    <t>31785469000107</t>
  </si>
  <si>
    <t>Rua Marrocos, nº 190  -   Flores  Manaus/Amazonas</t>
  </si>
  <si>
    <t>0,1 - 0,5</t>
  </si>
  <si>
    <t>Jr Comércio de Artefatos Metálicos Ltda</t>
  </si>
  <si>
    <t>09565801000179</t>
  </si>
  <si>
    <t>1,5 - 96</t>
  </si>
  <si>
    <t>São Tomaz de Aquino, nº 158  -   São Geraldo  Manaus/Amazonas</t>
  </si>
  <si>
    <t>Auto Post Ozival XI ( Grupo Oziel Mustafa)</t>
  </si>
  <si>
    <t>04643904001168</t>
  </si>
  <si>
    <t>Avenida Torquato Tapajós, n.º 5201 A  -   Flores  Manaus/Amazonas</t>
  </si>
  <si>
    <t>7726-95-6</t>
  </si>
  <si>
    <t>Glayciane Sabino Laranjeira</t>
  </si>
  <si>
    <t>68872410215</t>
  </si>
  <si>
    <t>Emam Logistica LTDA</t>
  </si>
  <si>
    <t>11105987000125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</si>
  <si>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</si>
  <si>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Irritações na pele;
Irritações no TRS</t>
  </si>
  <si>
    <t>106-97-8</t>
  </si>
  <si>
    <t>Cód. e-Social: 01.01.001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</si>
  <si>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</si>
  <si>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Câncer do pulmão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</si>
  <si>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</si>
  <si>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Irritação olhos, pele e GI; estim muscular</t>
  </si>
  <si>
    <t>R.Nelson Rodrigues 01  -   Compensa  Manaus/Amazonas</t>
  </si>
  <si>
    <t>7440-43-9</t>
  </si>
  <si>
    <t>11768 Intelbras S.A Ind. De Telecomunicação Eletrônica Brasileira</t>
  </si>
  <si>
    <t>82901000001522</t>
  </si>
  <si>
    <t>Av. Tefé, n° 3105  -   Japiim  Manaus/Amazonas</t>
  </si>
  <si>
    <t>Hitachi Astemo Manaus Chassis Systens LTDA (Showa)</t>
  </si>
  <si>
    <t>Rua Quixito, n° 1376  -   Distrito Industrial  Manaus/Amazonas</t>
  </si>
  <si>
    <t>Engenheira Carolina</t>
  </si>
  <si>
    <t>Amazon Aço Indústria e Comércio LTDA</t>
  </si>
  <si>
    <t>Cód. e-Social: 01.03.001</t>
  </si>
  <si>
    <t>05477207000175</t>
  </si>
  <si>
    <t>Av. Puraquequara, N. 5328  -   Puraquequara  Manaus/Amazonas</t>
  </si>
  <si>
    <t>Navegação Cunha LTDA - MAO</t>
  </si>
  <si>
    <t>04616801000137</t>
  </si>
  <si>
    <t>Rua da Granja Azul N. 02  -  Terreo   Colônia Oliveira Machado  Manaus/Amazonas</t>
  </si>
  <si>
    <t>11774 Zilia Technologies Industria e Comércio de Componentes Eletrônicos LTDA</t>
  </si>
  <si>
    <t>11576445000211</t>
  </si>
  <si>
    <t>Av. Dos Oitis, n° 1720  -   Distrito Industrial II  Manaus/Amazonas</t>
  </si>
  <si>
    <t>VP Flexgen (Brazil) SPE Ltda - São Gabriel da Cachoeira</t>
  </si>
  <si>
    <t>28231767000493</t>
  </si>
  <si>
    <t>Síndrome mielodisplásica; Leucemia mieolóide aguda; Leucemia; Efeitos hematológicos; Dano cromossômico</t>
  </si>
  <si>
    <t>Estrada de Camanaus, n° S/N  -   Zona Rural  Manaus/Amazonas</t>
  </si>
  <si>
    <t>SMX Agroindustrial Ltda</t>
  </si>
  <si>
    <t>05399225000186</t>
  </si>
  <si>
    <t xml:space="preserve">Método NIOSH 1501 </t>
  </si>
  <si>
    <t>Estrada ZF 1  -   KM 26/ Distritro Agropecuário da Suframa  Manaus/Amazonas</t>
  </si>
  <si>
    <t>Francisco Afonso de Souza – EPP</t>
  </si>
  <si>
    <t>04763698000158</t>
  </si>
  <si>
    <t>Rua Santa Ana Nery, N° 07, Quadra D, Lote 07 Carijó  -   Coroado  Manaus/Amazonas</t>
  </si>
  <si>
    <t>La Rondine Indústria e Comércio de Embalagens Ltda</t>
  </si>
  <si>
    <t>&lt; 0,011</t>
  </si>
  <si>
    <t>04176315000145</t>
  </si>
  <si>
    <t>AV. SOLIMÕES, 805  -   DISTRITO INDUSTRIAL I  Manaus/Amazonas</t>
  </si>
  <si>
    <t>Sociedade Porvir Cientifico (La Salle)</t>
  </si>
  <si>
    <t>7439-92-1</t>
  </si>
  <si>
    <t>92741990004124</t>
  </si>
  <si>
    <t>Av. Dom Pedro I, N° 151  -   Dom Pedro  Manaus/Amazonas</t>
  </si>
  <si>
    <t>Amazon Etiquetas Indústria e Comércio Ltda</t>
  </si>
  <si>
    <t>03486616000148</t>
  </si>
  <si>
    <t>Rua Germanio, N° 443  -   Vila da Prata  Manaus/Amazonas</t>
  </si>
  <si>
    <t>Engenheiro Marivaldo</t>
  </si>
  <si>
    <t>GD Santos</t>
  </si>
  <si>
    <t>Berílio</t>
  </si>
  <si>
    <t>Tuboaços da Amazônia LTDA</t>
  </si>
  <si>
    <t>Cód. e-Social: 01.04.001</t>
  </si>
  <si>
    <t>Conclusão</t>
  </si>
  <si>
    <t>05236056000163</t>
  </si>
  <si>
    <t>Av Tefe, n° 2.837  -   Japiim  Manaus/Amazonas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</si>
  <si>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</si>
  <si>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Apis Floresta Produtos Apicolos LTDA</t>
  </si>
  <si>
    <t>84664937000151</t>
  </si>
  <si>
    <t>Rua Juruaia, n° 141  -   Santa Etelvina  Manaus/Amazonas</t>
  </si>
  <si>
    <t>Tim Live Manaus</t>
  </si>
  <si>
    <t>02421421003137</t>
  </si>
  <si>
    <t>Rua Guilherme Paraense, 93, Adrianópolis -   Adrianopólis  Manaus/Amazonas</t>
  </si>
  <si>
    <t>Dipon Gás</t>
  </si>
  <si>
    <t>Sensibilidade ao berílio; Doença crônica do berílio (beriliose)</t>
  </si>
  <si>
    <t>01506543000148</t>
  </si>
  <si>
    <t>R. Deolindo Tavares, n° 133  -   Imbiribeira  Recife/Pernambuco</t>
  </si>
  <si>
    <t>JDS Serviços de Estrutura Metálica Ltda</t>
  </si>
  <si>
    <t>2 para IOM</t>
  </si>
  <si>
    <t>480</t>
  </si>
  <si>
    <t>NÃO ENCONTREI</t>
  </si>
  <si>
    <t>Sigular</t>
  </si>
  <si>
    <t>09502722000119</t>
  </si>
  <si>
    <t>Flor de Laranjeira, N° 204  -   Tarumã  Manaus/Amazonas</t>
  </si>
  <si>
    <t>CNN – Cia Norte de Navegação</t>
  </si>
  <si>
    <t>14160269000140</t>
  </si>
  <si>
    <t>Rua Desembargador Cesar do Rego, N° 850  -   Colônia Antônio Aleixo  Manaus/Amazonas</t>
  </si>
  <si>
    <t>Speed Transporte Multimodal de Cargas Limitada</t>
  </si>
  <si>
    <t>De acordo com o resultado encontrado é possível afirmar que a concentração do agente monitorado, encontra-se dentro dos limites exigidos pelas referências acima, índices esses também aceitos pela Associaçao Brasileira de Higienistas Ocupacionais - ABHO e Ministério do Trabalho e Emprego.</t>
  </si>
  <si>
    <t>31145051000135</t>
  </si>
  <si>
    <t>Av. Solimões N. 500  -   Distrito Industrial II  Manaus/Amazonas</t>
  </si>
  <si>
    <t>Borato de sódio</t>
  </si>
  <si>
    <t>Serviço Nacional de Aprendizagem - SENAI</t>
  </si>
  <si>
    <t>03795071001350</t>
  </si>
  <si>
    <t>Av. Orlando Gomes, N° 1845, Piata  -   Salvador  Salvador/Bahia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</si>
  <si>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</si>
  <si>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 xml:space="preserve">11791 Terminal Portuário Novo Remanso S/A </t>
  </si>
  <si>
    <t>13999991000100</t>
  </si>
  <si>
    <t>Ramal Macaco Cego, 755 - Bloco TGSA  Rural  Itacoatiara/Amazonas</t>
  </si>
  <si>
    <t>Masa Indústria de Plásticos da Amazônia Ltda</t>
  </si>
  <si>
    <t>31303127000103</t>
  </si>
  <si>
    <t>AV. SOLIMÕES, 805  -   Distrito Industrial  Manaus/Amazonas</t>
  </si>
  <si>
    <t>Plural</t>
  </si>
  <si>
    <t>Allan Kardec Bandeira de Melo Filho</t>
  </si>
  <si>
    <t>Alameda Rio Negro, Numero 02. Condominio Vila da barra, casa 45 -     Manaus/Amazonas</t>
  </si>
  <si>
    <t>Alterosa Empreendimentos Imobiliários Ltda</t>
  </si>
  <si>
    <t>28014788000376</t>
  </si>
  <si>
    <t>Rua Acre, N° 428  -   Nossa Senhora das Graças  Manaus/Amazonas</t>
  </si>
  <si>
    <t>Nascseg Assessoria e Consultoria Empresarial</t>
  </si>
  <si>
    <t>11993348000143</t>
  </si>
  <si>
    <t>Travessa L - 6 (CJ COHAB), n° 213   Compina de Icoaraci  Belém/Pará</t>
  </si>
  <si>
    <t>Frigorífico Rio Maria Ltda</t>
  </si>
  <si>
    <t>04749233000142</t>
  </si>
  <si>
    <t>Rod. BR 155, KM 85,3  -     Belém/Pará</t>
  </si>
  <si>
    <t>74-90-8</t>
  </si>
  <si>
    <t>Marthina S da Costa Serviços</t>
  </si>
  <si>
    <t>29616375000162</t>
  </si>
  <si>
    <t>Av. 01, N° 03  -     Iranduba/Amazonas</t>
  </si>
  <si>
    <t xml:space="preserve">BP Serviços de Esterilização SPE S.A´- Matriz </t>
  </si>
  <si>
    <t>21821773000109</t>
  </si>
  <si>
    <t>Travessa Castro Leite,  - Lote 3 - Parque Shangrila VII  Parque Dez de Novembro  Manaus/Amazonas</t>
  </si>
  <si>
    <t>Biopulos Com. e Rep. de Medicamentos e Serviços de Equipamentos Medico-Hospitalares Ltda</t>
  </si>
  <si>
    <t>08992424000191</t>
  </si>
  <si>
    <t>Av. Cosme Ferreira, N° 1877  -   Aleixo  Manaus/Amazonas</t>
  </si>
  <si>
    <t>Boro</t>
  </si>
  <si>
    <t>Civilcorp Icorporações LTDA - Residencial Morada dos Passaros</t>
  </si>
  <si>
    <t>03187301000164</t>
  </si>
  <si>
    <t>Av. André Araújo, N° 2.755  -   Aleixo  Manaus/Amazonas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</si>
  <si>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</si>
  <si>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11801 Positivo Tecnologia S.A</t>
  </si>
  <si>
    <t>81243735001977</t>
  </si>
  <si>
    <t>Rua Javari N° 1155  -   Distrito Industrial  Manaus/Amazonas</t>
  </si>
  <si>
    <t>Foco Agencia de Cargas LTDA</t>
  </si>
  <si>
    <t>07784967000401</t>
  </si>
  <si>
    <t>Av. Torquato Tapajós, n° 1960  -   Flores  Manaus/Amazonas</t>
  </si>
  <si>
    <t>Petrobras Distribuidora S.A - BARAC</t>
  </si>
  <si>
    <t>34274233014588</t>
  </si>
  <si>
    <t>Av. Dr. Zany, n° 852  -   Livramento  Caracaraí/Roraima</t>
  </si>
  <si>
    <t>Marcos José Miiler</t>
  </si>
  <si>
    <t>00001655364111</t>
  </si>
  <si>
    <t>11805 FIT Instituto de Tecnologia da Amazonia</t>
  </si>
  <si>
    <t>28494214000180</t>
  </si>
  <si>
    <t>Av. Torquato Tapajós, n° 7200A  -   Colônia Terra Nova  Manaus/Amazonas</t>
  </si>
  <si>
    <t>Serv. Autonomo de Água e Esgoto de Itacoatiara</t>
  </si>
  <si>
    <t>04320180000140</t>
  </si>
  <si>
    <t>Rua Adamastor de Figueiredo, n° 2401  -   Centro  Manaus/Amazonas</t>
  </si>
  <si>
    <t>Dafra da Amazonia Ind. De Com de Motocicletas LTDA</t>
  </si>
  <si>
    <t>08322908000123</t>
  </si>
  <si>
    <t>110-82-7</t>
  </si>
  <si>
    <t>Av. Torquato Tapajós, n° 11.600  -   Santa Etelvina  Manaus/Amazonas</t>
  </si>
  <si>
    <t>Elcoa Industria e Comércio LTDA</t>
  </si>
  <si>
    <t>02782499000242</t>
  </si>
  <si>
    <t>Rua Javari, n° 1.065  -   Distrito Industrial  Manaus/Amazonas</t>
  </si>
  <si>
    <t>Ocupacional Safety Serviços Medicos Amb.</t>
  </si>
  <si>
    <t>22568408000105</t>
  </si>
  <si>
    <t>Rua Gonçalves Dias n° 145   Centro  Porto Velho/Rondônia</t>
  </si>
  <si>
    <t>Residencial Villa Poupex</t>
  </si>
  <si>
    <t>11040225000198</t>
  </si>
  <si>
    <t>Rua Sobral nº 181  -   São José Operário  Manaus/Amazonas</t>
  </si>
  <si>
    <t>Bromo</t>
  </si>
  <si>
    <t>11811 Valgroup AM Indústria de Embalagens Flexiveis LTDA</t>
  </si>
  <si>
    <t>Cód. e-Social: 01.05.001</t>
  </si>
  <si>
    <t>04807608000183</t>
  </si>
  <si>
    <t>Rua Tento, n° 763  -   Distrito Industrial II  Manaus/Amazonas</t>
  </si>
  <si>
    <t>Vista Serrana Empreendimentos Imobiliarios LTDA</t>
  </si>
  <si>
    <t>31259382000287</t>
  </si>
  <si>
    <t>Av. Torquato Tapajós, n° 0 Lote 2  - Lote 02  Col. Terra Nova  Manaus/Amazonas</t>
  </si>
  <si>
    <t>Município de Pindaré</t>
  </si>
  <si>
    <t>06189344000177</t>
  </si>
  <si>
    <t>Av. Elias Haikel, S/N   -   Centro  Manaus/Amazonas</t>
  </si>
  <si>
    <t>Chibatão Navegação e Comércio LTDA - Alfandegado</t>
  </si>
  <si>
    <t>Irritação TRS e TRI; Dano pulmão</t>
  </si>
  <si>
    <t>84098383000172</t>
  </si>
  <si>
    <t>Filtro de PTFE</t>
  </si>
  <si>
    <t>Rua Zebu, n° 201  -   Colônia Oliveira Machado  Manaus/Amazonas</t>
  </si>
  <si>
    <t>Método NIOSH 6001</t>
  </si>
  <si>
    <t>Mais Proteção Santarem</t>
  </si>
  <si>
    <t xml:space="preserve"> -     Santarém/Pará</t>
  </si>
  <si>
    <t>Felipe Ricardo Oliveira Alencar - Everest Consultoria</t>
  </si>
  <si>
    <t>7,5 - 30</t>
  </si>
  <si>
    <t>35599255000105</t>
  </si>
  <si>
    <t>Rua Canoa Quebrada, n° 80  -   Tarumã  Manaus/Amazonas</t>
  </si>
  <si>
    <t>Roberto Wag Chen</t>
  </si>
  <si>
    <t>108-93-0</t>
  </si>
  <si>
    <t>Françoise Paloma Mamede</t>
  </si>
  <si>
    <t>00051535556234</t>
  </si>
  <si>
    <t>Pinheiro e Rodrigues LTDA - Frigorifico de Pescado da Am</t>
  </si>
  <si>
    <t>84488170000157</t>
  </si>
  <si>
    <t>Av. Correnteza n° 2472  -  Corrente Manacapuru    Manacapuru/Amazonas</t>
  </si>
  <si>
    <t>11820 Itacol Com e Serv. De Material de Construção LTDA</t>
  </si>
  <si>
    <t>Butano (N-Butano)</t>
  </si>
  <si>
    <t>01426994000175</t>
  </si>
  <si>
    <t>Rua Rio Mutuzinho, n° 839  -   Armando Mendes  Manaus/Amazonas</t>
  </si>
  <si>
    <t>Cód. e-Social: 01.17.001</t>
  </si>
  <si>
    <t>CONTROL AMB. SUSTENTABILIDADE E MEIO AMBIENTE S.A</t>
  </si>
  <si>
    <t>10550896000721</t>
  </si>
  <si>
    <t>Rua Rio Javari, n° 16  -   Nossa senhora das Graças  Manaus/Amazonas</t>
  </si>
  <si>
    <t>Alcance Transportes LTDA</t>
  </si>
  <si>
    <t>02149109000544</t>
  </si>
  <si>
    <t>Rua Marques de Muritiba, n° 528  -   Flores  Manaus/Amazonas</t>
  </si>
  <si>
    <t>Nort Tech Serviços em Energia LTDA</t>
  </si>
  <si>
    <t>33822061000436</t>
  </si>
  <si>
    <t>Av. Torquato Tapajós, n° 12363  -   Novo Israel  Manaus/Amazonas</t>
  </si>
  <si>
    <t>Comprometimento do SNC</t>
  </si>
  <si>
    <t>José Ribamar</t>
  </si>
  <si>
    <t>Balão de Tedlar de 5 L</t>
  </si>
  <si>
    <t>Método T. 10-22/00</t>
  </si>
  <si>
    <t>Kawasaki Motores Do Brasil Ltda</t>
  </si>
  <si>
    <t>Rua Arraias, n° 286  -   Colônia Antônio Aleixo  Manaus/Amazonas</t>
  </si>
  <si>
    <t>Jucirley Rodrigues</t>
  </si>
  <si>
    <t>00056002696253</t>
  </si>
  <si>
    <t xml:space="preserve">máximo de 5 </t>
  </si>
  <si>
    <t>Estrada Manoel Urbano Km 50 -     Iranduba/Amazonas</t>
  </si>
  <si>
    <t>Tercom Terraplanagem LTDA</t>
  </si>
  <si>
    <t>14198006000120</t>
  </si>
  <si>
    <t>Av. Max Teixeira, n° 3.159  -   Cidade Nova  Manaus/Amazonas</t>
  </si>
  <si>
    <t>108-94-1</t>
  </si>
  <si>
    <t>Real Bebidas da Amazonia LTDA</t>
  </si>
  <si>
    <t>06990011000142</t>
  </si>
  <si>
    <t>Rua Maceio, n° 426  -   Adrianópolis  Manaus/Amazonas</t>
  </si>
  <si>
    <t>Jesus Eduardo Barbosa Martins</t>
  </si>
  <si>
    <t>20191621000107</t>
  </si>
  <si>
    <t>R. Gabriel Gomes Silva , n° 23  -   Col. Santo Antonio  Manaus/Amazonas</t>
  </si>
  <si>
    <t>Chibatão Navegação e Comércio LTDA - ATR</t>
  </si>
  <si>
    <t>84098383000687</t>
  </si>
  <si>
    <t>Av. Presidente Kennedy, n° 1520  -   Colônia Oliveira Machado  Manaus/Amazonas</t>
  </si>
  <si>
    <t>Butanol</t>
  </si>
  <si>
    <t>Chibatão Navegação e Comércio LTDA - Colonia</t>
  </si>
  <si>
    <t>84098383000415</t>
  </si>
  <si>
    <t>Av. Presidente Kennedy, n° 1850  -   Colônia Oliveira Machado  Manaus/Amazonas</t>
  </si>
  <si>
    <t>J. F. De Oliveira Navegação LTDA - Ceasa</t>
  </si>
  <si>
    <t>22797070000155</t>
  </si>
  <si>
    <t>11833 FW Serviços e Manutenção Elétrica LTDA</t>
  </si>
  <si>
    <t>18568875000150</t>
  </si>
  <si>
    <t>Rua Tupiniquim, n° 32  -   Cidade Nova  Manaus/Amazonas</t>
  </si>
  <si>
    <t>Chistiano Queiroz da Costa EIRELI</t>
  </si>
  <si>
    <t>36209499000199</t>
  </si>
  <si>
    <t>Rua Clemente de Alexandria, n° 83  -   Petrópolis  Manaus/Amazonas</t>
  </si>
  <si>
    <t>Tubo de Carvão</t>
  </si>
  <si>
    <t>Arosuco Aromas e Sucos LTDA - Cerv da Amazônia</t>
  </si>
  <si>
    <t>03134910000236</t>
  </si>
  <si>
    <t>Av. Constantino Nery, n° 2575  -   Flores  Manaus/Amazonas</t>
  </si>
  <si>
    <t>Cerâmica Manauara LTDA</t>
  </si>
  <si>
    <t>05564611000186</t>
  </si>
  <si>
    <t>Estrada do Iranduba, S/N°  -   Rural  Manaus/Amazonas</t>
  </si>
  <si>
    <t>2 - 10</t>
  </si>
  <si>
    <t>Vega Manaus Transporte de Passageiros LTDA</t>
  </si>
  <si>
    <t>13928488000163</t>
  </si>
  <si>
    <t>Av. Do Turismo, n° 6.000  -   Tarumã  Manaus/Amazonas</t>
  </si>
  <si>
    <t>Federal Mogul Industria de Autopeças LTDA</t>
  </si>
  <si>
    <t>09241710000188</t>
  </si>
  <si>
    <t>Av. Cupiuba, n° 761  -   Distrito Industrial  Manaus/Amazonas</t>
  </si>
  <si>
    <t>Erinete Valentim Jeronimo</t>
  </si>
  <si>
    <t>110-83-8</t>
  </si>
  <si>
    <t>00047476737253</t>
  </si>
  <si>
    <t>Rua |Rubens Besencrim, n° 38F  -   Jappim II  Manaus/Amazonas</t>
  </si>
  <si>
    <t>Alfaprint Derpac Industria Gráfica LTDA</t>
  </si>
  <si>
    <t>03645131000114</t>
  </si>
  <si>
    <t>Rua Constelação de Gêmeos, n° 150  -   Aleixo  Manaus/Amazonas</t>
  </si>
  <si>
    <t>Condominio Solar dos Franceses</t>
  </si>
  <si>
    <t>17002943000156</t>
  </si>
  <si>
    <t>Rua Brigadeiro João Camarão, n° 39  -   Dom Pedro  Manaus/Amazonas</t>
  </si>
  <si>
    <t>Cal-Comp Indústria e Comércio de Eletrônicos e Informática LTDA</t>
  </si>
  <si>
    <t>07200194000118</t>
  </si>
  <si>
    <t>Avenida Torquato Tapajós, nº 7.367 - Galpão 1  Tarumã  Manaus/Amazonas</t>
  </si>
  <si>
    <t>Condominio Residencial Portugal</t>
  </si>
  <si>
    <t>08939052000130</t>
  </si>
  <si>
    <t>Avenida Professor Nilton Lins, nº 600  -   Flores  Manaus/Amazonas</t>
  </si>
  <si>
    <t>Vivante Norte S.A</t>
  </si>
  <si>
    <t>04647470000100</t>
  </si>
  <si>
    <t>Avenida Carvalho Leal, nº 1668  -   Cachoeirinha  Manaus/Amazonas</t>
  </si>
  <si>
    <t>Jessica Silva de Castro</t>
  </si>
  <si>
    <t>00002209989221</t>
  </si>
  <si>
    <t>Avenida Cosme Ferreira, nº 631  -   Coroado  Manaus/Amazonas</t>
  </si>
  <si>
    <t>CONTERMA ENERGIA EIRELI EPP</t>
  </si>
  <si>
    <t>06635157000250</t>
  </si>
  <si>
    <t>Av. Cupiuba, n° 10  -   Distrito Industrial  Manaus/Amazonas</t>
  </si>
  <si>
    <t>Tae Yang do Brasil Ind e Com de Injeção Plastica LTDA</t>
  </si>
  <si>
    <t>14675968000122</t>
  </si>
  <si>
    <t>Butil Glicol</t>
  </si>
  <si>
    <t>Av. do Oitis, n° 7530  -   Distrito Industrial II  Manaus/Amazonas</t>
  </si>
  <si>
    <t>White Martins Gases Ind. do Norte LTDA</t>
  </si>
  <si>
    <t>34597955000432</t>
  </si>
  <si>
    <t>Av. Autaz Mirim, n° 1053  -   Distrito Industrial I  Manaus/Amazonas</t>
  </si>
  <si>
    <t>SC Bueno LTDA - Compol</t>
  </si>
  <si>
    <t>17290530000114</t>
  </si>
  <si>
    <t>Rua Iça, n° 100  -   Distrito Industrial I  Manaus/Amazonas</t>
  </si>
  <si>
    <t>11851 Frank Abilio Andrade de Souza</t>
  </si>
  <si>
    <t>12613366000115</t>
  </si>
  <si>
    <t>Rua Francisco Marques Filho, n° 118  -   Alvorada   Manaus/Amazonas</t>
  </si>
  <si>
    <t>Leandro Manoel Beiga</t>
  </si>
  <si>
    <t>24219136000155</t>
  </si>
  <si>
    <t>Av. Djalma Batista, n° 98  -   Parque 10 de Novembro  Manaus/Amazonas</t>
  </si>
  <si>
    <t>R H E Empreendimentos Imobiliarios LTDA - 
Hiroshi Nakatani</t>
  </si>
  <si>
    <t>42841455000180</t>
  </si>
  <si>
    <t>Rua Heisei N. 285, lote n. 10 B - 1  Parque 10  Manaus/Amazonas</t>
  </si>
  <si>
    <t>Derjam Rocha de Oliveira Ltda</t>
  </si>
  <si>
    <t>42381927000169</t>
  </si>
  <si>
    <t>Rua Leão Rodrigues Vieira, n° 93  -   Alvorada  Manaus/Amazonas</t>
  </si>
  <si>
    <t>Lima Consultoria e Assessoria Empresarial EIRELLI</t>
  </si>
  <si>
    <t>27874531000160</t>
  </si>
  <si>
    <t>Rua Professor Lourival Muniz, n° 376  -   Glória  Manaus/Amazonas</t>
  </si>
  <si>
    <t>Vila Olimpia Empreendimentos Imobiliários Ltda</t>
  </si>
  <si>
    <t>40036230000125</t>
  </si>
  <si>
    <t>11857 Alex Rojas Salvioni - Globo da Amazônia</t>
  </si>
  <si>
    <t>05167811000103</t>
  </si>
  <si>
    <t>Rua Barão de Paranapiacaba (PRQ Laranjeiras), n° 08   Flores  Manaus/Amazonas</t>
  </si>
  <si>
    <t>SABOR DE CHEF INDUSTRIA DE PRODUTOS ALIMENTICIOS LTDA</t>
  </si>
  <si>
    <t>Cód. e-Social: 01.06.001</t>
  </si>
  <si>
    <t>40072752000182</t>
  </si>
  <si>
    <t>Rua da Legião, n° 268  -   Presidente Vargas  Manaus/Amazonas</t>
  </si>
  <si>
    <t>Canaã Infinity Assistencial e Serviço Funerário Ltda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</si>
  <si>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</si>
  <si>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30045646000156</t>
  </si>
  <si>
    <t>Av. Camapuã, n° 126  -   Novo Aleixo  Manaus/Amazonas</t>
  </si>
  <si>
    <t>Silvaclin Clinica em Medicina do Trabalho Ltda</t>
  </si>
  <si>
    <t>14515700000123</t>
  </si>
  <si>
    <t>Av. Ramos Ferreira, n° 1302  -   Centro  Manaus/Amazonas</t>
  </si>
  <si>
    <t>Tecplam Indústria Eletrônica LTDA</t>
  </si>
  <si>
    <t>01775542000107</t>
  </si>
  <si>
    <t>Dano rins</t>
  </si>
  <si>
    <t>Rua Bambuzinho, n° 386  -   Distrito Industrial II  Manaus/Amazonas</t>
  </si>
  <si>
    <t>Bridge Industria de Produtos Plásticos da Amazonia Ltda</t>
  </si>
  <si>
    <t>24352003000152</t>
  </si>
  <si>
    <t>Av. dos Oitis, N° 4467  -   Distrito Industrial  Manaus/Amazonas</t>
  </si>
  <si>
    <t>TST Denilson</t>
  </si>
  <si>
    <t>Tx-Fuel Serviços de Apoio Administrativo e ao Comércio Eireli</t>
  </si>
  <si>
    <t>25337354000238</t>
  </si>
  <si>
    <t>Av. Ephigênio Sales, n° 1299  -   Aleixo  Manaus/Amazonas</t>
  </si>
  <si>
    <t>Estrutura Comércio e Transportes de Asfalto Ltda</t>
  </si>
  <si>
    <t>287-92-3</t>
  </si>
  <si>
    <t>35617510000197</t>
  </si>
  <si>
    <t>Rua  Constelção de Gemeos, n° 533  -   Aleixo  Manaus/Amazonas</t>
  </si>
  <si>
    <t>3R Material de Construção</t>
  </si>
  <si>
    <t>08082848000119</t>
  </si>
  <si>
    <t>Rua Vista Alegre, n° 39  -   Colônia Oliveira Machado  Manaus/Amazonas</t>
  </si>
  <si>
    <t>Giese Silva de Digueiredo Costa - 
Cond. Villa dos Passaros</t>
  </si>
  <si>
    <t>00051391015215</t>
  </si>
  <si>
    <t>Avenida Saíra Amarela N. 11.265  - Cond. Villa dos Pássaros,casa 144  Tarumã  Manaus/Amazonas</t>
  </si>
  <si>
    <t>Messias Serviços</t>
  </si>
  <si>
    <t>Cód. e-Social: 01.08.001</t>
  </si>
  <si>
    <t>Ravibrás Embalagens da Amazônia LTDA</t>
  </si>
  <si>
    <t>08658519000173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</si>
  <si>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</si>
  <si>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Rua Ipê, n° 200  -   Distrito Industrial  Manaus/Amazonas</t>
  </si>
  <si>
    <t>Vanderleia Castro</t>
  </si>
  <si>
    <t>Clínica Saúde Para Todos Ltda</t>
  </si>
  <si>
    <t>40823576000173</t>
  </si>
  <si>
    <t>Av. Castelo Branco, N° 663  -   Cachoeirinha  Manaus/Amazonas</t>
  </si>
  <si>
    <t>Nicel Comércio Importação e Repr. LTDA</t>
  </si>
  <si>
    <t>Comprometimento do SNC; Comprometimento do sistema nervoso periférico; Efeitos hematológicos</t>
  </si>
  <si>
    <t>05326461000172</t>
  </si>
  <si>
    <t>Av. Mario Ypiranga, n° 1431  -   Nossa Senhora das Graças   Manaus/Amazonas</t>
  </si>
  <si>
    <t>AJ Ind. e Comércio de Metais LTDA</t>
  </si>
  <si>
    <t>08651435000108</t>
  </si>
  <si>
    <t>Rua Costelação de Gêmeos, n° 169  -   Aleixo  Manaus/Amazonas</t>
  </si>
  <si>
    <t>Engenheiro Paulo Sérgio</t>
  </si>
  <si>
    <t>11876 Benevides Águas S/A - BVB</t>
  </si>
  <si>
    <t>15887193000200</t>
  </si>
  <si>
    <t>Av. das Industrias, 445 - A   Distrito Industrial Gov. Aquilino Mota Duarte  Boa Vista/Roraima</t>
  </si>
  <si>
    <t>11877 Compar Companhia Paraense de Refrigerantes - Ji Paraná</t>
  </si>
  <si>
    <t>7782-50-5</t>
  </si>
  <si>
    <t>04928297001930</t>
  </si>
  <si>
    <t>Av. Transcontinental,  2555  -   Riachelo  Ji-Paraná/Rondônia</t>
  </si>
  <si>
    <t>Dantas Trasportes</t>
  </si>
  <si>
    <t>Rua Utinga, 310  -   Lirio do Vale  Manaus/Amazonas</t>
  </si>
  <si>
    <t>Condominio Residencial do Bosque</t>
  </si>
  <si>
    <t>39742470000166</t>
  </si>
  <si>
    <t>Rua Dom Jackson D. Rodrigues -   Flores  Manaus/Amazonas</t>
  </si>
  <si>
    <t>11 880 Compalead Eletrônica do Brasil Indústria e Comércio LTDA</t>
  </si>
  <si>
    <t>Cianeto de Hidrogênio</t>
  </si>
  <si>
    <t>10142624000369</t>
  </si>
  <si>
    <t>Rua Javari, 1055   Distrito Industrial  Manaus/Amazonas</t>
  </si>
  <si>
    <t>Porto Franco Empreendimentos Imobiliarios LTDA</t>
  </si>
  <si>
    <t>32583093000200</t>
  </si>
  <si>
    <t>Guilherme Caliri</t>
  </si>
  <si>
    <t>A M P Pereira Assessoria - Engetrab Comércio e Consultoria</t>
  </si>
  <si>
    <t>Irritações no TRS;
Dor de cabeça;
Náusea;
Efeitos na tireóide</t>
  </si>
  <si>
    <t>25079800000170</t>
  </si>
  <si>
    <t>Rua Professora Santina Felizeda, n° 62  -   Novo Israel  Manaus/Amazonas</t>
  </si>
  <si>
    <t>Método NIOSH 7904</t>
  </si>
  <si>
    <t>Engenheiro João Bosco</t>
  </si>
  <si>
    <t>Ions</t>
  </si>
  <si>
    <t>0,5 - 1</t>
  </si>
  <si>
    <t>AMO Assessoria em Medicina Ocupacional</t>
  </si>
  <si>
    <t>10 - 180</t>
  </si>
  <si>
    <t>40710471000108</t>
  </si>
  <si>
    <t>Rua Japurá, 1309  -   Praça 14  Manaus/Amazonas</t>
  </si>
  <si>
    <t>Marcus Guerra Junior</t>
  </si>
  <si>
    <t>75-45-6</t>
  </si>
  <si>
    <t>Ambipar Response Control Environ Consulting S/A</t>
  </si>
  <si>
    <t>10550896000136</t>
  </si>
  <si>
    <t>Rua Manoel Feu Subtil,  60  - Enseada Suá     Vitória/Espírito Santo</t>
  </si>
  <si>
    <t>Três Corações Alimentos S/A</t>
  </si>
  <si>
    <t>63310411003461</t>
  </si>
  <si>
    <t>Av. Torquato Tapajós, 3125  - lote 01B  Lago Azul  Manaus/Amazonas</t>
  </si>
  <si>
    <t>Jumara Pinho Maciel - Flutuante SUP Amazonas</t>
  </si>
  <si>
    <t>43275286000120</t>
  </si>
  <si>
    <t>Cianetos</t>
  </si>
  <si>
    <t>Rua Edson Marreiros Ramos, 26  -   Coroado  Manaus/Amazonas</t>
  </si>
  <si>
    <t>RD-Tronics Industria e Comercio de Componentes Eletrônicos Ltda</t>
  </si>
  <si>
    <t>38315730000154</t>
  </si>
  <si>
    <t>Rua Anhanduí, 520 – A – Galpão 6 – Bairro Flores. -   Flores   Manaus/Amazonas</t>
  </si>
  <si>
    <t>CDC Empreendimentos Ltda</t>
  </si>
  <si>
    <t>84524842000132</t>
  </si>
  <si>
    <t>Rua Praia do Timbau, 320  -   Tarumã  Manaus/Amazonas</t>
  </si>
  <si>
    <t>Matprim Solutions Fabricação de Refrescos Concentrados LTDA</t>
  </si>
  <si>
    <t>15383358000118</t>
  </si>
  <si>
    <t>Rua Azaleia, 149  - Bloco D1/D2   Distrito Industrial II  Manaus/Amazonas</t>
  </si>
  <si>
    <t>Irritações no trato respiratório superior;
Dor de cabeça;
Náusea;
Efeitos na tireóide</t>
  </si>
  <si>
    <t>Ambientallix Soluções em Resíduos LTDA</t>
  </si>
  <si>
    <t>15062166000100</t>
  </si>
  <si>
    <t>Rodovia BR 153 KM 480; Zona Rural; Paraíso do Tocantins  -     Palmas/Tocantins</t>
  </si>
  <si>
    <t>Carboquimica da Amazônia LTDA</t>
  </si>
  <si>
    <t>04952792000155</t>
  </si>
  <si>
    <t>Avenida dos Oitis, 8255  -   Distrito Industrial  Manaus/Amazonas</t>
  </si>
  <si>
    <t>Monica Maricaua Carvalho</t>
  </si>
  <si>
    <t>00000500809208</t>
  </si>
  <si>
    <t>180</t>
  </si>
  <si>
    <t>Ana Claudia Oliveira da Silva - CASST</t>
  </si>
  <si>
    <t>37742768000140</t>
  </si>
  <si>
    <t>Rua Voluntários da Pátria,  598  -   Vila da Prata  Manaus/Amazonas</t>
  </si>
  <si>
    <t>67-66-3</t>
  </si>
  <si>
    <t>I 3 M Engenharia LTDA</t>
  </si>
  <si>
    <t>05526543000160</t>
  </si>
  <si>
    <t>Avenida Tefé, 3186  -   Japiim  Manaus/Amazonas</t>
  </si>
  <si>
    <t>Saquarema Empreendimentos Imobiliarios Ltda</t>
  </si>
  <si>
    <t>31259563000203</t>
  </si>
  <si>
    <t>Avenida Frederico Baird, 2880  - Ponta Negra (Referência: Entrada para Marina Tauá)    Manaus/Amazonas</t>
  </si>
  <si>
    <t>Jaks Industria e Comercio de Papel Ltda</t>
  </si>
  <si>
    <t>05464685000140</t>
  </si>
  <si>
    <t>Rua Barralandia 84  -   Santa Etelvina  Manaus/Amazonas</t>
  </si>
  <si>
    <t>Ciclohexano</t>
  </si>
  <si>
    <t>Clinica Popular do Amazonas Eireli</t>
  </si>
  <si>
    <t>32652662000132</t>
  </si>
  <si>
    <t>Av. Margarita, 16  - QD 178 Conjunto   Nova Cidade  Manaus/Amazonas</t>
  </si>
  <si>
    <t>Thiago Kazuto Almeida Yamamoto</t>
  </si>
  <si>
    <t>00080486703215</t>
  </si>
  <si>
    <t>Rua Rene de Napoles, 53  -   Adranópolis  Manaus/Amazonas</t>
  </si>
  <si>
    <t>Moura Consulting Gestão de Segurança do Trabalho</t>
  </si>
  <si>
    <t>31269543000132</t>
  </si>
  <si>
    <t>Rua Goiatins, 22 Qd. 57   São José  Manaus/Amazonas</t>
  </si>
  <si>
    <t>Fundação Amazônia Sustentável</t>
  </si>
  <si>
    <t>09351359000188</t>
  </si>
  <si>
    <t>Rua álvaro Braga, 351  -   Parque Dez  Manaus/Amazonas</t>
  </si>
  <si>
    <t>TSA Industria e Comércio de Peças e Serviços LTDA</t>
  </si>
  <si>
    <t>07652832000131</t>
  </si>
  <si>
    <t>Av. Curua - Una, 2291   Urumari  Santarém/Pará</t>
  </si>
  <si>
    <t>Clinman Serviços de Saúde Ocupacional LTDA</t>
  </si>
  <si>
    <t>44100439000161</t>
  </si>
  <si>
    <t>Av. Joaquim Nabuco, 2219  -   Centro  Manaus/Amazonas</t>
  </si>
  <si>
    <t>11907 L.P L. de AraúJo Eireli</t>
  </si>
  <si>
    <t>31999124000156</t>
  </si>
  <si>
    <t>Rua Vicente Lauria. 12  - Anexo B   Aleixo  Manaus/Amazonas</t>
  </si>
  <si>
    <t>T Freitas da Silva</t>
  </si>
  <si>
    <t>27424057000174</t>
  </si>
  <si>
    <t>Rua Camacari, 236  -   Conjunto Cidade Nova  Manaus/Amazonas</t>
  </si>
  <si>
    <t>Natanael Viana da Silva - Econk Engenharia</t>
  </si>
  <si>
    <t>39229578000150</t>
  </si>
  <si>
    <t>Rua Boninas, 42  -   Novo Aleixo  Manaus/Amazonas</t>
  </si>
  <si>
    <t>Rubberon Ind, Com, Imp e Exportação S.A</t>
  </si>
  <si>
    <t>09641540000552</t>
  </si>
  <si>
    <t>Av. Buriti, 5500  - Bloco 3B   Distrito Industrial  Manaus/Amazonas</t>
  </si>
  <si>
    <t>11 911 J Cruz Industria de Bebidas LTDA - Matriz</t>
  </si>
  <si>
    <t>04398251000127</t>
  </si>
  <si>
    <t>Avenida Mario Ypranga, 1500  -   Adrianopólis  Manaus/Amazonas</t>
  </si>
  <si>
    <t>Ana Stefanie da Costa Paiva Eirelli - Paiva Gestão Ambiental e de Segurança do Trabalho</t>
  </si>
  <si>
    <t>35634627000189</t>
  </si>
  <si>
    <t>Rua Tito Bittencourt, 5  -   São Francisco  Manaus/Amazonas</t>
  </si>
  <si>
    <t>Royal Pet Center Comércio Imp. e Exp. LTDA</t>
  </si>
  <si>
    <t>01015512000194</t>
  </si>
  <si>
    <t>Rua Álvaro Braga, 456  -   Parque Dez  Manaus/Amazonas</t>
  </si>
  <si>
    <t>Conveniencia Adrianopólis Comércio de Bebidas e Alimentos LTDA</t>
  </si>
  <si>
    <t>17101251000165</t>
  </si>
  <si>
    <t>Rua Maceio,  426  -   Adrianópolis  Manaus/Amazonas</t>
  </si>
  <si>
    <t>ADS Transporte e Serviços</t>
  </si>
  <si>
    <t>25340362000152</t>
  </si>
  <si>
    <t>Rua Ipaguaçu ,93 A  -   Alvorada  Manaus/Amazonas</t>
  </si>
  <si>
    <t>Caren Luana de Souza Assante - Overview Consultoria</t>
  </si>
  <si>
    <t>15787824000120</t>
  </si>
  <si>
    <t>Rua Padre Agostinho Caballero Martin, 163  -   São Raimundo  Manaus/Amazonas</t>
  </si>
  <si>
    <t>Mercantil Nova Era LTDA - Santa Etelvina</t>
  </si>
  <si>
    <t>04240370001803</t>
  </si>
  <si>
    <t>Rua Dona Debla Henriques, . 244  -   Santa Etelvina  Manaus/Amazonas</t>
  </si>
  <si>
    <t>Mercantil Nova Era LTDA - Cidade de Deus</t>
  </si>
  <si>
    <t>04240370003504</t>
  </si>
  <si>
    <t>Rua Francisca Mendes,  2360  -   Cidade de Deus  Manaus/Amazonas</t>
  </si>
  <si>
    <t>Mercantil Nova Era LTDA - Crespo</t>
  </si>
  <si>
    <t>04240370003415</t>
  </si>
  <si>
    <t>Avenida Silves ,2091  -   Crespo  Manaus/Amazonas</t>
  </si>
  <si>
    <t>Mercantil Nova Era LTDA- Tarumã-Açu</t>
  </si>
  <si>
    <t>04240370003334</t>
  </si>
  <si>
    <t>Avenida Torquato Tapajós , 11.559 -   Tarumã  Manaus/Amazonas</t>
  </si>
  <si>
    <t>Mercantil Nova Era LTDA - Centro</t>
  </si>
  <si>
    <t>04240370003253</t>
  </si>
  <si>
    <t>Rua dos Barés, N. 425  -   Centro  Manaus/Amazonas</t>
  </si>
  <si>
    <t>Mercantil Nova Era LTDA - Novo Aleixo</t>
  </si>
  <si>
    <t>04240370003172</t>
  </si>
  <si>
    <t>Avenida Nathan Xavier de Albuquerque  230  -   Novo Aleixo  Manaus/Amazonas</t>
  </si>
  <si>
    <t>Mercantil Nova Era LTDA - Santo Agostinho</t>
  </si>
  <si>
    <t>04240370003687</t>
  </si>
  <si>
    <t>Avenida Coronel Cyrillo Neves N. 200  -   Santo Agostinho  Manaus/Amazonas</t>
  </si>
  <si>
    <t>Comprometimento do SNC;
Irritações nos olhos; Irritações no TRS.</t>
  </si>
  <si>
    <t>Gabriela - Arimar</t>
  </si>
  <si>
    <t>Espantalhos Pneus LTDA</t>
  </si>
  <si>
    <t>02314882000357</t>
  </si>
  <si>
    <t>Av. Pedro Teixeira,  359  -   Dom Pedro I  Manaus/Amazonas</t>
  </si>
  <si>
    <t>Tec Toy S.A - Filial</t>
  </si>
  <si>
    <t>22770366002207</t>
  </si>
  <si>
    <t>Avenida Mário Andreazza, 4.120  -     Manaus/Amazonas</t>
  </si>
  <si>
    <t>Debora Elaine Penteado -Aptamedi</t>
  </si>
  <si>
    <t>29293809000130</t>
  </si>
  <si>
    <t>Rua Expedicionario Paulo Emidio Pereira, 393  -   Jardim dos Calegaris  Paulínia/São Paulo</t>
  </si>
  <si>
    <t>K N S Batista Engenharia</t>
  </si>
  <si>
    <t>45682543000174</t>
  </si>
  <si>
    <t>Rua Sobrinho Maranhão, 20  -   São Francisco  Manaus/Amazonas</t>
  </si>
  <si>
    <t>Douglas Alessandro de Araújo - Daraujo Consultoria</t>
  </si>
  <si>
    <t>44026934000178</t>
  </si>
  <si>
    <t>Rua Guaianases, 229  -     Mogi Guaçu/São Paulo</t>
  </si>
  <si>
    <t>Hitachi Astemo Manaus Brake Systems LTDA</t>
  </si>
  <si>
    <t>01771241000105</t>
  </si>
  <si>
    <t>Av. dos Oitis ,534  -   Distrito Industrial  Manaus/Amazonas</t>
  </si>
  <si>
    <t>IF Engenharia</t>
  </si>
  <si>
    <t>21921392000100</t>
  </si>
  <si>
    <t>Rua Conde de Itaguai,  374  -   Flores  Manaus/Amazonas</t>
  </si>
  <si>
    <t xml:space="preserve">Leonardo Wilson Souza </t>
  </si>
  <si>
    <t>Transnorte Logistica LTDA</t>
  </si>
  <si>
    <t>Coplast Indústria Química LTDA</t>
  </si>
  <si>
    <t xml:space="preserve"> 04672291000115</t>
  </si>
  <si>
    <t>Av. Dos Oitis n° 571  Distrito Industrial  Manaus/Amazonas</t>
  </si>
  <si>
    <t>SP Posto Comércio de Combustível para Veículos LTDA</t>
  </si>
  <si>
    <t>18234915000127</t>
  </si>
  <si>
    <t>Av. Jornalista Umberto Calderaro, n°1712  Adrianópoles  Manaus/Amazonas</t>
  </si>
  <si>
    <t>Mecsam Serviços de Engenharia EIRELI</t>
  </si>
  <si>
    <t>HF Comércio de Máquinas e Equipamentos LTDA</t>
  </si>
  <si>
    <t>01038511000165</t>
  </si>
  <si>
    <t>Rua Barão de Araruna - Quadra F1 - lote 47-49 51  Flores  Manaus/Amazonas</t>
  </si>
  <si>
    <t>Sylvio Pereira das Chagas Neto - SN Refrigeração</t>
  </si>
  <si>
    <t>Construtora Alcance LTDA</t>
  </si>
  <si>
    <t>03018149000196</t>
  </si>
  <si>
    <t>Entre Avenida Rodrigo Otávio e Igarapé do Quarenta - Margem direita  -   Japiim  Manaus/Amazonas</t>
  </si>
  <si>
    <t>SP Restaurantes LTDA</t>
  </si>
  <si>
    <t>26277931000125</t>
  </si>
  <si>
    <t>Av. Jornalista Umberto Calderaro Filho, n° 1712 - Loja 02  Adrianópolis  Manaus/Amazonas</t>
  </si>
  <si>
    <t>Vitta Verdi Espaço de Festas LTDA</t>
  </si>
  <si>
    <t>32597044000137</t>
  </si>
  <si>
    <t>Beco Marcos Furtado, n° 03  Aleixo  Manaus/Amazonas</t>
  </si>
  <si>
    <t>CENTRO DO ALUMINIO INDUSTRIA E COMERCIO DE FERRAGENS, FERRAMENTAS E MADEIRAS LTDA</t>
  </si>
  <si>
    <t>33906812000150</t>
  </si>
  <si>
    <t>Av. Tancredo Neves, n° 1.110  Parque 10 de Novembro  Manaus/Amazonas</t>
  </si>
  <si>
    <t>Antonelly Construções e Serviços Eirelli</t>
  </si>
  <si>
    <t xml:space="preserve">Samel Serviços de Assistência Médico Hospitalar </t>
  </si>
  <si>
    <t xml:space="preserve">13383 C de S Amorim Engenharia </t>
  </si>
  <si>
    <t>43294413000139</t>
  </si>
  <si>
    <t>Rua Itapora, n° 25  São José Operário  Manaus/Amazonas</t>
  </si>
  <si>
    <t>Método NIOSH 1500</t>
  </si>
  <si>
    <t>Nilton Lins - Prédio Acadêmico</t>
  </si>
  <si>
    <t>Reman Petrobras</t>
  </si>
  <si>
    <t>Brother</t>
  </si>
  <si>
    <t>08584308000133</t>
  </si>
  <si>
    <t>Rua Professor Antônio Giulesse, 354  Alvorada II  Manaus/Amazonas</t>
  </si>
  <si>
    <t>Cond. Maison</t>
  </si>
  <si>
    <t xml:space="preserve">Cervejaria Ambev - Maués </t>
  </si>
  <si>
    <t>ETN Soluções Ambientais</t>
  </si>
  <si>
    <t>18871441000124</t>
  </si>
  <si>
    <t>Rua Guiana Francesa, n° 01 - Sala 05  Parque 10 de Novembro  Manaus/Amazonas</t>
  </si>
  <si>
    <t>Prédio Ediman</t>
  </si>
  <si>
    <t>04.606.250/0016-07</t>
  </si>
  <si>
    <t>Avenida Darcy Vargas, 645 -   Parque 10 de Novembro  Manaus/Amazonas</t>
  </si>
  <si>
    <t>Magi Clean Serviços Prestados a Empresas LTDA</t>
  </si>
  <si>
    <t>29638209000167</t>
  </si>
  <si>
    <t>Avenida Carvalho Leal, 1688 - Sala 3  Cachoeirinha  Manaus/Amazonas</t>
  </si>
  <si>
    <t>Home Center</t>
  </si>
  <si>
    <t>15.001.549/0001-78</t>
  </si>
  <si>
    <t xml:space="preserve"> Av. Cosme Ferreira, 631  Coroado  Manaus/Amazonas</t>
  </si>
  <si>
    <t>Cond. Rio Amazonas</t>
  </si>
  <si>
    <t>03208558000155</t>
  </si>
  <si>
    <t xml:space="preserve">NC Engenharia </t>
  </si>
  <si>
    <t>24784834000101</t>
  </si>
  <si>
    <t>Rua Toy Hashi, n° 11 - Quadra F Lote 03 - Residencial Jardim Sumire  Parque 10 de Novembro  Manaus/Amazonas</t>
  </si>
  <si>
    <t>RN Indústria e Comércio de Produtos Alimentícios LTDA - Negobom Padaria e Confeitaria</t>
  </si>
  <si>
    <t>63643191000120</t>
  </si>
  <si>
    <t>Rua Leonardo Malcher, 1515  Centro  Manaus/Amazonas</t>
  </si>
  <si>
    <t>I. J. P. Farias - Seven Print</t>
  </si>
  <si>
    <t>16.631.344/0001-39</t>
  </si>
  <si>
    <t>Rua Balbi Carreira, 79 - Casa B  Alvorada  Manaus/Amazonas</t>
  </si>
  <si>
    <t>Fábrica Virrosas LTDA</t>
  </si>
  <si>
    <t>04559019000123</t>
  </si>
  <si>
    <t>Rua Padre Agostin C Martin, 197  Compensa  Manaus/Amazonas</t>
  </si>
  <si>
    <t>Azevedo Transportes LTDA</t>
  </si>
  <si>
    <t>84507920000190</t>
  </si>
  <si>
    <t>Avenida dos Oitis, 4245  Distrito Industrial II  Manaus/Amazonas</t>
  </si>
  <si>
    <t xml:space="preserve">LVIEIRA ENGENHARIA E CONSULTORIA </t>
  </si>
  <si>
    <t>43424281000112</t>
  </si>
  <si>
    <t>Rua Rio Javari, 361  Nossa Senhora das Graças   Manaus/Amazonas</t>
  </si>
  <si>
    <t>Smart Service Assessoria e Treinamento</t>
  </si>
  <si>
    <t>35850573000199</t>
  </si>
  <si>
    <t>Avenida Domingos Jorge Velho, 265  Som Pedro I  Manaus/Amazonas</t>
  </si>
  <si>
    <t>Azulão Geração de Energia</t>
  </si>
  <si>
    <t>30185130000450</t>
  </si>
  <si>
    <t>Felinto Neto</t>
  </si>
  <si>
    <t>MAM Participações e Contruções LTDA</t>
  </si>
  <si>
    <t>07423141000247</t>
  </si>
  <si>
    <t>Av. Cartola Joaquina, n° 87 - sala 11 - Conj. Castelo Branco  Parque 10 de Novembro  Manaus/Amazonas</t>
  </si>
  <si>
    <t>13450 Clinica Saúde Manaus</t>
  </si>
  <si>
    <t>28.631.492/0001-32</t>
  </si>
  <si>
    <t>Avenida Ramos Ferreira  Centro  Manaus/Amazonas</t>
  </si>
  <si>
    <t>Viação São Pedro</t>
  </si>
  <si>
    <t>17256249000165</t>
  </si>
  <si>
    <t>Rua do Riacho Ecologico  Tarumã  Manaus/Amazonas</t>
  </si>
  <si>
    <t>Cunha e Correa LTDA</t>
  </si>
  <si>
    <t>15121216000182</t>
  </si>
  <si>
    <t>Av. Professor Nilton Lins N. 3259   Flores  Manaus/Amazonas</t>
  </si>
  <si>
    <t>Sena Transporte e Comércio LTDA</t>
  </si>
  <si>
    <t>02516267000161</t>
  </si>
  <si>
    <t>Av. Autaz Mirim N. 1929  Distrito Industrial I  Manaus/Amazonas</t>
  </si>
  <si>
    <t>Amazon Clean Serviços de Incineração LTDA</t>
  </si>
  <si>
    <t>04659617000174</t>
  </si>
  <si>
    <t>Rua Hibisco, n° 1350  Distrito Industrial II  Manaus/Amazonas</t>
  </si>
  <si>
    <t>Inventus Power Eletrônica do Brasil LTDA</t>
  </si>
  <si>
    <t>00399541000134</t>
  </si>
  <si>
    <t>LPB Consultoria, Serviços e Construções Eirelli</t>
  </si>
  <si>
    <t>12565113000113</t>
  </si>
  <si>
    <t>Rua Guiana N. 2736  Embratel  Porto Velho/Rondônia</t>
  </si>
  <si>
    <t xml:space="preserve">Solutions 2 Go Do Brasil Industria, Comercio E Distribuicao Ltda -  Cupiuba </t>
  </si>
  <si>
    <t>07305913000165</t>
  </si>
  <si>
    <t>Avenida Cupiuba N. 260 - Bloco 2 Parte II, Bloco 3  Distrito Industrial   Manaus/Amazonas</t>
  </si>
  <si>
    <t xml:space="preserve">Mercantil Nova Era LTDA - Santo Antônio </t>
  </si>
  <si>
    <t>04.240.370/0007-42</t>
  </si>
  <si>
    <t>Avenida Padre Agostinho Caballero Martin, 2610  Santo Antônio  Manaus/Amazonas</t>
  </si>
  <si>
    <t>Mercantil Nova Era LTDA - Da Paz</t>
  </si>
  <si>
    <t>04240370001048</t>
  </si>
  <si>
    <t>Avenida Torquato Tapajós, 2871  Da Paz  Manaus/Amazonas</t>
  </si>
  <si>
    <t>Brothers Indústria de Alimentos LTDA</t>
  </si>
  <si>
    <t>Rua Monte Carlo, 159 - Conj. Campos Eliseos  Planalto  Manaus/Amazonas</t>
  </si>
  <si>
    <t>Condomínio Residencial Rio Amazonas</t>
  </si>
  <si>
    <t>Rua das Rosas, 20 - Conj. Tiradentes  Aleixo  Manaus/Amazonas</t>
  </si>
  <si>
    <t>Condomínio Edifício Maison Noblesse</t>
  </si>
  <si>
    <t>Avenida Darcy Vargas, 545  Parque Dez de Novembro  Manaus/Amazonas</t>
  </si>
  <si>
    <t>Qualitech Indústria, Comércio e Representações LTDA</t>
  </si>
  <si>
    <t>04104523000139</t>
  </si>
  <si>
    <t>Rua Flor de Pedra, 51A  Distrito Industrial  Manaus/Amazonas</t>
  </si>
  <si>
    <t>Sociedade Fogas LTDA - Cuiabá</t>
  </si>
  <si>
    <t>04563672002614</t>
  </si>
  <si>
    <t>Rua N n°1456  - Quadra Industrial 7 Lote 25 a 33  Distrito Industrial  Cuiabá/Mato Grosso</t>
  </si>
  <si>
    <t xml:space="preserve">Concessionária dos Aeroportos da Amazônia S.A - CNPJ 42548035000100 - Insc. Est. Isento - Insc. Suframa 210176318 - Insc Munic 50585801 - End: Av. Santos Dumont, n° 1.350 Tarumã, CEP 69.041-000 Manaus/Am </t>
  </si>
  <si>
    <t>42548035000100</t>
  </si>
  <si>
    <t>Av. Santos Dumont, n° 1.250  Tarumã  Manaus/Amazonas</t>
  </si>
  <si>
    <t>Manauara 01 Empreend. Imobiliarios Spe Ltda - RD Engenharia</t>
  </si>
  <si>
    <t>17613905000130</t>
  </si>
  <si>
    <t>Av. Gabriel Correa Pedrosa, 125  Parque Dez  Manaus/Amazonas</t>
  </si>
  <si>
    <t>Flextronics da Amazônia Ltda</t>
  </si>
  <si>
    <t>04454120000624</t>
  </si>
  <si>
    <t>Av. Torquatro Tapajos N 7200  Colônia Terra Nova  Manaus/Amazonas</t>
  </si>
  <si>
    <t>Mattoso Extratos Naturais LTDA</t>
  </si>
  <si>
    <t>08165605000144</t>
  </si>
  <si>
    <t>Rua Hugor Zarpelon, 21   Parque Real   Campinas/São Paulo</t>
  </si>
  <si>
    <t>13514 Manauara VII Empreendimentos Imobiliarios SPE LTDA</t>
  </si>
  <si>
    <t>25237626000147</t>
  </si>
  <si>
    <t>Rua Acre N. 428 - Qd 50 sl 45 Cond. Vieiralves  Nossa Senhora das Graças  Manaus/Amazonas</t>
  </si>
  <si>
    <t>Rio Limpo Industria e Comércio de Resíduos LTDA</t>
  </si>
  <si>
    <t>06030520000123</t>
  </si>
  <si>
    <t>Companhia de Saneamento do Amazonas</t>
  </si>
  <si>
    <t>04406195000125</t>
  </si>
  <si>
    <t>Rua General Miranda Reis, 20 - Conj. Celetramazon  Adrianópolis  Manaus/Amazonas</t>
  </si>
  <si>
    <t>Nortexlog Transporte LTDA</t>
  </si>
  <si>
    <t>11094826000183</t>
  </si>
  <si>
    <t>Av. Do Turismo, n° 10072 A4  Tarumã  Manaus/Amazonas</t>
  </si>
  <si>
    <t>Condomínio do Edfício Porto Seguro</t>
  </si>
  <si>
    <t>06224404000145</t>
  </si>
  <si>
    <t>Alameda Alasca   Ponta Negra  Manaus/Amazonas</t>
  </si>
  <si>
    <t xml:space="preserve">Alessandra Dias de Lima - ADL Assessoria </t>
  </si>
  <si>
    <t>34610561000124</t>
  </si>
  <si>
    <t>Rua Aureliano Lessa, 59  Tarumã  Manaus/Amazonas</t>
  </si>
  <si>
    <t>TNL Manutenção e Reparação de Coletas e Resíduos Eireli</t>
  </si>
  <si>
    <t>12621210000186</t>
  </si>
  <si>
    <t>Rua Piratininga, 138  Raiz  Manaus/Amazonas</t>
  </si>
  <si>
    <t>Oxe Energia Participações S.A</t>
  </si>
  <si>
    <t>36.159.996/0001-20</t>
  </si>
  <si>
    <t>Rua Levindo Inácio de Oliveira N. 1117 - Sl 5  Paraviana  Boa Vista/Roraima</t>
  </si>
  <si>
    <t>Diego Oliveira Damasceno</t>
  </si>
  <si>
    <t>30816241856</t>
  </si>
  <si>
    <t>K S Lima Consultoria Química e Ambiental</t>
  </si>
  <si>
    <t>45726967000193</t>
  </si>
  <si>
    <t>Rua Moçambique N. 30 Qd 111 A  Nova Cidade  Manaus/Amazonas</t>
  </si>
  <si>
    <t xml:space="preserve">Patrick Matos da Silva </t>
  </si>
  <si>
    <t>51620901234</t>
  </si>
  <si>
    <t>Avenida Buriti, n. 1492,   Distrito Industrial I  Manaus/Amazonas</t>
  </si>
  <si>
    <t xml:space="preserve">Secretaria Estadual do Meio Ambiente </t>
  </si>
  <si>
    <t>05.562.326/0001-26</t>
  </si>
  <si>
    <t>Av. Mario Ypiranga N 3280  Parque 10 de Novembro  Manaus/Amazonas</t>
  </si>
  <si>
    <t>RA Engenharia - Rafael Alves Marques</t>
  </si>
  <si>
    <t>42686767000166</t>
  </si>
  <si>
    <t>Jasmim do Campo, n40  Cidade Nova  Manaus/Amazonas</t>
  </si>
  <si>
    <t>Bonfim Geração e Comércio de Energia SPE S/A - Serra da Lua</t>
  </si>
  <si>
    <t>34714313000204</t>
  </si>
  <si>
    <t>ROD RR 207, FAZENDA SANTA LUCIA DESM, GLEBA TACUTU  DISTRITO RURAL  Cantá/Roraima</t>
  </si>
  <si>
    <t>Cantá Geração e Comércio de Energia SPE S/A - Serra da Lua</t>
  </si>
  <si>
    <t>34714322000203</t>
  </si>
  <si>
    <t>ROD RR 207, FAZENDA SANTA LUCIA DESM, GLEBA TACUTU  ZONA RURAL  Cantá/Roraima</t>
  </si>
  <si>
    <t xml:space="preserve">Pau Rainha Geração e Comércio de Energia SPE S/A - Jacitara </t>
  </si>
  <si>
    <t>34714305000268</t>
  </si>
  <si>
    <t>A BR 174, FAZENDA JACITARA II, GLEBA MURUPU  AREA RURAL DE BOA VISTA  Boa Vista/Roraima</t>
  </si>
  <si>
    <t>Santa Luz Geração e Comércio de Energia SPE S/A - Jacitara</t>
  </si>
  <si>
    <t>34745410000264</t>
  </si>
  <si>
    <t>Pedro Santiago</t>
  </si>
  <si>
    <t>3PL Brasil Logística S.A</t>
  </si>
  <si>
    <t>23429671002707</t>
  </si>
  <si>
    <t>Avenida dos Oitis, 1607  Armando Mendes  Manaus/Amazonas</t>
  </si>
  <si>
    <t>Centro de Pesquisa e Diagnósticos Especializados LTDA</t>
  </si>
  <si>
    <t>34574038000190</t>
  </si>
  <si>
    <t>Rua Ramos Ferreira, 1110  Centro  Manaus/Amazonas</t>
  </si>
  <si>
    <t xml:space="preserve">Stahl Talhas Equipamentos de Movimentação LTDA </t>
  </si>
  <si>
    <t xml:space="preserve">05811776000105 </t>
  </si>
  <si>
    <t>Rod. Regis Bittencourt s/n KM292,7  Potuverá  Itapecerica da Serra/São Paulo</t>
  </si>
  <si>
    <t>Flatex - Fabricação de Componentes Eletrônicos Eirelli</t>
  </si>
  <si>
    <t>13460174000189</t>
  </si>
  <si>
    <t>Avenida Santa Tereza D'Avilla, 13  Lago Azul  Manaus/Amazonas</t>
  </si>
  <si>
    <t>Condomínio Residencial Villa Lobos</t>
  </si>
  <si>
    <t>07108043000134</t>
  </si>
  <si>
    <t>Alameda Alaska, 785  Ponta Negra  Manaus/Amazonas</t>
  </si>
  <si>
    <t>Valmar Serviços Industriais LTDA - Alagoas</t>
  </si>
  <si>
    <t>00469393000187</t>
  </si>
  <si>
    <t>R CEL. PRESCILIANO SARMENTO  São Jorge  Maceió/Alagoas</t>
  </si>
  <si>
    <t>Hotelaria Accor Brasil S.A</t>
  </si>
  <si>
    <t>09967852000127</t>
  </si>
  <si>
    <t>Avenida Mandi, 4  Distrito Industrial I  Manaus/Amazonas</t>
  </si>
  <si>
    <t>Centro Educacional Risque e Rabisque LTDA - Filial</t>
  </si>
  <si>
    <t>24544062000203</t>
  </si>
  <si>
    <t>Avenida São Jorge, 1001  São Jorge  Manaus/Amazonas</t>
  </si>
  <si>
    <t>Ronaldo Macedo</t>
  </si>
  <si>
    <t>13633 Yamamoto Engenharia Eireli</t>
  </si>
  <si>
    <t>32968855000105</t>
  </si>
  <si>
    <t>Rua Professora Aurora Barroso, 132  Adrianopólis  Manaus/Amazonas</t>
  </si>
  <si>
    <t>Cal-comp Industria de Semicondutores S.A - CCBS</t>
  </si>
  <si>
    <t>21315035000190</t>
  </si>
  <si>
    <t>Avenida Torquato Tapajós, nº 7.503    Tarumã  Manaus/Amazonas</t>
  </si>
  <si>
    <t>J G Rodrigues e CIA LTDA - Garcia Veículos</t>
  </si>
  <si>
    <t>04565503000165</t>
  </si>
  <si>
    <t>Avenida Constatino Nery, 2085  São Geraldo  Manaus/Amazonas</t>
  </si>
  <si>
    <t>Mundial Exportação Comercial LTDA</t>
  </si>
  <si>
    <t>15741077000190</t>
  </si>
  <si>
    <t>Tv. Pauxis, n° 223   Centro  Manaus/Amazonas</t>
  </si>
  <si>
    <t>RF Comércio de Materiais de Construção Eirelli</t>
  </si>
  <si>
    <t>14207076000105</t>
  </si>
  <si>
    <t>Estrada do Arrozal, margem esquerda s/n°  Liberdade  Urucurituba/Amazonas</t>
  </si>
  <si>
    <t>ST Ocupacional - T L ALENCAR EIRELI</t>
  </si>
  <si>
    <t>27372289000126</t>
  </si>
  <si>
    <t>Rua Horizonte N.118 Qd. 51  Cidade Nova 1  Manaus/Amazonas</t>
  </si>
  <si>
    <t>FRTB - Consultoria Ambiental</t>
  </si>
  <si>
    <t>39305618000103</t>
  </si>
  <si>
    <t>Rua SA Peixoto, 90  Educandos  Manaus/Amazonas</t>
  </si>
  <si>
    <t>Foxconn MOEBG Ind de Eletronicos Ltda - Acaí</t>
  </si>
  <si>
    <t>08986284000149</t>
  </si>
  <si>
    <t>Av Açaí N. 1580 A   Distrito Industrial  Manaus/Amazonas</t>
  </si>
  <si>
    <t>Pontual Construtora LTDA</t>
  </si>
  <si>
    <t>02311117000111</t>
  </si>
  <si>
    <t>Elson Rivorêdo</t>
  </si>
  <si>
    <t>Microservice Tecnologia Digital da Amazonia LTDA</t>
  </si>
  <si>
    <t>34.525.444/0003-24</t>
  </si>
  <si>
    <t>Av Eusebio Matoso N. 1375 Conj. 401/402 4 Andar Edif. Company Plaza  Butantã  Manaus/Amazonas</t>
  </si>
  <si>
    <t>3 M Manaus Ind. De Produtos Químicos Ltda</t>
  </si>
  <si>
    <t>08014346000150</t>
  </si>
  <si>
    <t>13668 Condomínio Geral do Millennium Center</t>
  </si>
  <si>
    <t>07119723000153</t>
  </si>
  <si>
    <t>Av Djalma Batista N. 1661  Chapada  Manaus/Amazonas</t>
  </si>
  <si>
    <t>HVJB Consultoria em Gestão Empresarial LTDA - Consult SGI</t>
  </si>
  <si>
    <t>22770852000109</t>
  </si>
  <si>
    <t>Rua Chaves, nº8  Dom Pedro  Manaus/Amazonas</t>
  </si>
  <si>
    <t>Associação dos Revendedores de Agrotóxicos do Amazonas LTDA - ARAM</t>
  </si>
  <si>
    <t>06144569000107</t>
  </si>
  <si>
    <t>Avenida Flanboyant, 585  Distrito Industrial II  Manaus/Amazonas</t>
  </si>
  <si>
    <t>CENESUP - Centro Nacional de Ensino Superior LTDA</t>
  </si>
  <si>
    <t>05474470002154</t>
  </si>
  <si>
    <t>Rua 10 de Julho N. 873  Centro  Manaus/Amazonas</t>
  </si>
  <si>
    <t>2,5 - 5</t>
  </si>
  <si>
    <t>7440-48-4</t>
  </si>
  <si>
    <t>Ciclohexanol</t>
  </si>
  <si>
    <t>Irritação olhos; compr SNC</t>
  </si>
  <si>
    <t>Método NIOSH 1402</t>
  </si>
  <si>
    <t>&lt; 0,003</t>
  </si>
  <si>
    <t>7440-50-8</t>
  </si>
  <si>
    <t>Ciclohexanona</t>
  </si>
  <si>
    <t xml:space="preserve">Método NIOSH 1300 </t>
  </si>
  <si>
    <t>Sticker Print Serviços de Acabamento Gráficos LTDA</t>
  </si>
  <si>
    <t>7440-47-3</t>
  </si>
  <si>
    <t>20219797000120</t>
  </si>
  <si>
    <t>Roberto Amorim</t>
  </si>
  <si>
    <t>Energy Assets do Brasil LTDA</t>
  </si>
  <si>
    <t>01676897002508</t>
  </si>
  <si>
    <t>Ciclohexeno</t>
  </si>
  <si>
    <t xml:space="preserve"> Rua Augusto Calheiro N. 1550  Jardim Sonia Maria  Mauá/São Paulo</t>
  </si>
  <si>
    <t>Santa Etelvina Empreendimentos Imobiliários LTDA</t>
  </si>
  <si>
    <t>35201910000117</t>
  </si>
  <si>
    <t>Rua dos Otoni N. 177  Santa Efigenia  Manaus/Amazonas</t>
  </si>
  <si>
    <t>Britânia Componentes Eletrônicos LTDA - BRIC 351</t>
  </si>
  <si>
    <t>13699433/000129</t>
  </si>
  <si>
    <t>Efeito no fígado</t>
  </si>
  <si>
    <t>Rua Palmeira do Miriti, 287  Gilberto Mestrinho  Manaus/Amazonas</t>
  </si>
  <si>
    <t>13 699 Protect Segurança do Trabalho  LTDA</t>
  </si>
  <si>
    <t>5 - 7</t>
  </si>
  <si>
    <t>84989-04-8</t>
  </si>
  <si>
    <t>Ciclohexilamina</t>
  </si>
  <si>
    <t>48189178000159</t>
  </si>
  <si>
    <t>Método OSHA PV 2016</t>
  </si>
  <si>
    <t>10 - 20</t>
  </si>
  <si>
    <t>98-82-8</t>
  </si>
  <si>
    <t>Ciclopentano</t>
  </si>
  <si>
    <t>68334-30-5</t>
  </si>
  <si>
    <t>Cloro</t>
  </si>
  <si>
    <t>Rua libertador N. 913 Sala 8 V  Nossa Senhora das Graças  Manaus/Amazonas</t>
  </si>
  <si>
    <t xml:space="preserve">Grancity Comércio de Materiais de Construção Eireli </t>
  </si>
  <si>
    <t>23828170000164</t>
  </si>
  <si>
    <t>Rua Visconde de Utinga, N04  Flores  Manaus/Amazonas</t>
  </si>
  <si>
    <t xml:space="preserve">Irritação TRS; Extrema reação nas vias aéreas; Edema pulmonar. </t>
  </si>
  <si>
    <t>Instituto de Desenvolvimento Tecnologico</t>
  </si>
  <si>
    <t xml:space="preserve"> Impinger </t>
  </si>
  <si>
    <t>04.802.134/0002-68</t>
  </si>
  <si>
    <t>Método OSHA ID - 101</t>
  </si>
  <si>
    <t>123-42-2</t>
  </si>
  <si>
    <t>Alameda Desembargador Joao Machado, 1520  Planalto  Manaus/Amazonas</t>
  </si>
  <si>
    <t>Melo Sorveteria ltda</t>
  </si>
  <si>
    <t>Horizonte da Amazonia Logistica LTDA</t>
  </si>
  <si>
    <t>Av Torquato Tapajos N. 12685 Km 11  Tarumã  Manaus/Amazonas</t>
  </si>
  <si>
    <t>Taupo Consultoria e Projetos Ambientais LTDA</t>
  </si>
  <si>
    <t>29034632000158</t>
  </si>
  <si>
    <t>Al Oscar Niemeyer N. 322  Vale do Sereno  Nova Lima/Minas Gerais</t>
  </si>
  <si>
    <t>PMI South América Indúdtria de Plásticos LTDA</t>
  </si>
  <si>
    <t>08211330000138</t>
  </si>
  <si>
    <t>Rua Jutai 500, Lote 2.23  Distrito Industrial  Manaus/Amazonas</t>
  </si>
  <si>
    <t>Ventisol da Amazonia Industria de Aparelhos Eletricos LTDA</t>
  </si>
  <si>
    <t>17417928000179</t>
  </si>
  <si>
    <t>Rua Azaleia n°2421   Distrito Industrial II  Manaus/Amazonas</t>
  </si>
  <si>
    <t>Hipermercado DB</t>
  </si>
  <si>
    <t>Condominio River Park Residencial clube</t>
  </si>
  <si>
    <t>16617732000165</t>
  </si>
  <si>
    <t>Av Torquato Tapajos N. 6740  Colonia Terra Nova  Manaus/Amazonas</t>
  </si>
  <si>
    <t>JG Pericia do Trabalho LTDA</t>
  </si>
  <si>
    <t>42119674000150</t>
  </si>
  <si>
    <t>Rua V Conjunto Vila Camara N. 58 Qd F  Aleixo  Manaus/Amazonas</t>
  </si>
  <si>
    <t>Procter &amp; Gamble do Brasil LTDA - Rio Negro</t>
  </si>
  <si>
    <t>59476770004064</t>
  </si>
  <si>
    <t>Rua Ministro João Gonçalves de Araújo, nº 182  Distrito Industrial  Manaus/Amazonas</t>
  </si>
  <si>
    <t>Pioneiro Combustiveis LTDA</t>
  </si>
  <si>
    <t>84010040001933</t>
  </si>
  <si>
    <t>Av do Turismo N. 7228 Sl 1  Taruma  Manaus/Amazonas</t>
  </si>
  <si>
    <t>Vibra Energia S.A</t>
  </si>
  <si>
    <t>Avenida Doutor Zany,   Caracai  Caracaraí/Roraima</t>
  </si>
  <si>
    <t>13741 Pam Indústria de Plásticos Injetados LTDA - Matriz (04.413.977/0001-91)</t>
  </si>
  <si>
    <t>04413977000191</t>
  </si>
  <si>
    <t>Rua Javari, 1045  Distrito Industrial I  Manaus/Amazonas</t>
  </si>
  <si>
    <t>Nortlub Industria de Óleos Minerais e Sintéticos LTDA</t>
  </si>
  <si>
    <t>06294505000192</t>
  </si>
  <si>
    <t>V. Euricleia N. 1 Chacara Emuto  Tarumã  Manaus/Amazonas</t>
  </si>
  <si>
    <t>Oliveira Energia S.A</t>
  </si>
  <si>
    <t>04210423000197</t>
  </si>
  <si>
    <t>Avenida do Turismo, 7057  Tarumã  Manaus/Amazonas</t>
  </si>
  <si>
    <t>Entre Pontos Serviços de Logísticas LTDA</t>
  </si>
  <si>
    <t>26915771000100</t>
  </si>
  <si>
    <t>Rua Campos Bravos, 480  Redenção  Manaus/Amazonas</t>
  </si>
  <si>
    <t>Condomínio Amsterdam Village</t>
  </si>
  <si>
    <t>29.280.795/0001-10</t>
  </si>
  <si>
    <t>Rua Santo Antenodoro N. 139 Conj. Parque das Laranjeiras  Flores  Manaus/Amazonas</t>
  </si>
  <si>
    <t>Ativa Engenharia Serviços e Treinamentos</t>
  </si>
  <si>
    <t>24322214000142</t>
  </si>
  <si>
    <t>Rua Paraná Autaz Mirim, 138  Tarumã  Manaus/Amazonas</t>
  </si>
  <si>
    <t>Water Meyer Tratamento de Água e do Ar LTDA</t>
  </si>
  <si>
    <t>08274464000289</t>
  </si>
  <si>
    <t>Rua Otávio Risolen, 785  Jardim Terras de Santo Antônio  Manaus/Amazonas</t>
  </si>
  <si>
    <t xml:space="preserve"> 13764 Amazon Clipper Cruises Turismo LTDA</t>
  </si>
  <si>
    <t>05822223000158</t>
  </si>
  <si>
    <t>Rua Sucupira, 249 - Conjunto Kissia  Dom Pedro  Manaus/Amazonas</t>
  </si>
  <si>
    <t>Northpav Pavimentação e Locação Eireli</t>
  </si>
  <si>
    <t>35346917000127</t>
  </si>
  <si>
    <t>Avenida Torquato Tapajós, km 15 - Área de Transição Urbana  Tarumã Açu  Manaus/Amazonas</t>
  </si>
  <si>
    <t>13767 Sidia Instituto de Ciência e Tecnologia - Matriz (05.994.459/0001-71)</t>
  </si>
  <si>
    <t>05994459000171</t>
  </si>
  <si>
    <t>Avenida Darcy Vargas, 654  Parque Dez de Novembro  Manaus/Amazonas</t>
  </si>
  <si>
    <t>13768 Sidia Instituto de Ciência e Tecnologia - TQT (05.994.459/0009-29)</t>
  </si>
  <si>
    <t>05994459000929</t>
  </si>
  <si>
    <t>Avenida Torquato Tapajós, 6770  Colônia Terra Nova  Manaus/Amazonas</t>
  </si>
  <si>
    <t>13769 Sidia Instituto de Ciência e Tecnologia - Autaz (05.994.459/0003-33)</t>
  </si>
  <si>
    <t>05994459000333</t>
  </si>
  <si>
    <t>Avenida Autaz Mirim, 2271  Distrito Industrial Marechal Castelo Branco  Manaus/Amazonas</t>
  </si>
  <si>
    <t>13774 R.O Barros de Souza - Ilustre Confecções</t>
  </si>
  <si>
    <t>45736802000100</t>
  </si>
  <si>
    <t>Rua Professor Evangelista Brown, 413  Santo Antônio  Manaus/Amazonas</t>
  </si>
  <si>
    <t>Condomínio Carlos Drummond de Andrade</t>
  </si>
  <si>
    <t>09067960000143</t>
  </si>
  <si>
    <t>Avenida Mário Ypiranga, 1939  Adrianopólis  Manaus/Amazonas</t>
  </si>
  <si>
    <t>Jonas Dias da Silva - JD Engenharia e Assessoria</t>
  </si>
  <si>
    <t>44772123000116</t>
  </si>
  <si>
    <t>Rua Edson Marreiros Ramos, 20  Coroado  Manaus/Amazonas</t>
  </si>
  <si>
    <t>MG Instalações de Serviços Elétricos LTDA</t>
  </si>
  <si>
    <t xml:space="preserve">30268377000197 </t>
  </si>
  <si>
    <t>Rua Kaxinaua, 12  Cidade Nova  Manaus/Amazonas</t>
  </si>
  <si>
    <t>Arcon Tube Indústria e Comércio de Componentes para Refrigeração LTDA</t>
  </si>
  <si>
    <t>03088923000135</t>
  </si>
  <si>
    <t>Rua Acará, n° 203 -  Lote 122, ECV, Prédio 12 - Letra A  Distrito Industrial I  Manaus/Amazonas</t>
  </si>
  <si>
    <t>Metalúrgica Magalhães Comércio e Indústria LTDA</t>
  </si>
  <si>
    <t>04491148000127</t>
  </si>
  <si>
    <t>Avenida Rodrigo Otávio, 5459  Japiim  Manaus/Amazonas</t>
  </si>
  <si>
    <t>Amorim e Abnader e LTDA - Sonho de Bolo</t>
  </si>
  <si>
    <t>23328406000101</t>
  </si>
  <si>
    <t>Avenida Via Láctea  - Conjunto Morada do Sol  Aleixo  Manaus/Amazonas</t>
  </si>
  <si>
    <t>13791 E De Moura Pinto Filho - Costelão do Edinho</t>
  </si>
  <si>
    <t>42602994000166</t>
  </si>
  <si>
    <t>Rua Comandante Waldir Bastos, 143   Conjunto Santos Dummond  Manaus/Amazonas</t>
  </si>
  <si>
    <t>Erin Estaleiros Rio Negro LTDA</t>
  </si>
  <si>
    <t>04.222.584/0002-81</t>
  </si>
  <si>
    <t>Rodovia Arthur Bernardes N. 6291  Tapana  Belém/Pará</t>
  </si>
  <si>
    <t>Guadalupe Empreendimentos Imobiliários LTDA</t>
  </si>
  <si>
    <t>34393483000234</t>
  </si>
  <si>
    <t>Av. Thales Loureiro, 1.030  Ponta Negra  Manaus/Amazonas</t>
  </si>
  <si>
    <t>JCS Comércio Varejista de Portas e Janelas LTDA</t>
  </si>
  <si>
    <t>23456331000136</t>
  </si>
  <si>
    <t>Avenida Brasil, 3897  Vila da Prata  Manaus/Amazonas</t>
  </si>
  <si>
    <t>V E Industria Comércio e Serviços Gráficos LTDA</t>
  </si>
  <si>
    <t>07439885000179</t>
  </si>
  <si>
    <t>Rua Fragata, n° 871 - Conj. Jardim Petrópolis  Petropolis  Manaus/Amazonas</t>
  </si>
  <si>
    <t>SV Instalações LTDA</t>
  </si>
  <si>
    <t>84089358000203</t>
  </si>
  <si>
    <t>Rua Santos Dumont, 495  Nossa Senhora das Gracas  Manaus/Amazonas</t>
  </si>
  <si>
    <t>DM Fundações e Soldagens LTDA</t>
  </si>
  <si>
    <t>35831685000100</t>
  </si>
  <si>
    <t>Rua Santa Agata, 0  Monte das Oliveiras  Manaus/Amazonas</t>
  </si>
  <si>
    <t>APH Logistica ltda</t>
  </si>
  <si>
    <t>33.147.599/0001-40</t>
  </si>
  <si>
    <t>Avenida Rodrigo Otavio, 672  Crespo  Manaus/Amazonas</t>
  </si>
  <si>
    <t>Construtora Progresso LTDA</t>
  </si>
  <si>
    <t>06219583000122</t>
  </si>
  <si>
    <t>Avenida Manaus, 85 -   Distrito Industrial I  Manaus/Amazonas</t>
  </si>
  <si>
    <t>Rezende Caminhões Comércio e Representações LTDA</t>
  </si>
  <si>
    <t>09006295000188</t>
  </si>
  <si>
    <t>Avenida Centenário, 1077  Centenário  Boa Vista/Roraima</t>
  </si>
  <si>
    <t>Viação Caravelas LTDA - Vical</t>
  </si>
  <si>
    <t>05471255000156</t>
  </si>
  <si>
    <t>Avenida Cosme Ferreira, 0 - Lote B2  Colonia Antônio Aleixo  Manaus/Amazonas</t>
  </si>
  <si>
    <t>Clinica de Atendimento Popular e Medicina Especializada do Trabalho</t>
  </si>
  <si>
    <t>46985053000100</t>
  </si>
  <si>
    <t>Rua General Elizario Paim, 1398, Lote 22 Setor 03 anexo 02 Quadra 22  Jardim V Alegre  Ribas do Rio Pardo/Mato Grosso do Sul</t>
  </si>
  <si>
    <t>Osmar Ambrósio dos Santos Biscaro - Sanear</t>
  </si>
  <si>
    <t>07290186000100</t>
  </si>
  <si>
    <t>Avenida Ephigenio Salles, 1299  Aleixo  Manaus/Amazonas</t>
  </si>
  <si>
    <t>Tempus Comércio de Alimentos da Amazônia LTDA</t>
  </si>
  <si>
    <t>13471215000132</t>
  </si>
  <si>
    <t>Rua Rio Purus, 32   Nossa Senhora das Graças   Manaus/Amazonas</t>
  </si>
  <si>
    <t xml:space="preserve">Jojo Limpeza e Higienização LTDA </t>
  </si>
  <si>
    <t>26398402000180</t>
  </si>
  <si>
    <t>Rua Castro Alves, 70   Colônia Santo Antônio  Manaus/Amazonas</t>
  </si>
  <si>
    <t>Rita Melo</t>
  </si>
  <si>
    <t>229-830-742-34</t>
  </si>
  <si>
    <t>Brasil Bio Fuels S.A - UTE Palmeiras do Javari</t>
  </si>
  <si>
    <t>09478309000166</t>
  </si>
  <si>
    <t>ROD BR: 210, GLEBA JAUAPERI, SITIO BOA UNIAO, S/N LOTE 574  Zona Rural  Tabatinga/Amazonas</t>
  </si>
  <si>
    <t>Ivonede Peixoto</t>
  </si>
  <si>
    <t>João Mendes do Nascimento</t>
  </si>
  <si>
    <t>MRX Produtos para Impressão e Acabamento Gráfico LTDA</t>
  </si>
  <si>
    <t>29495655000160</t>
  </si>
  <si>
    <t>Rua Tingo, 150  Tarumã  Manaus/Amazonas</t>
  </si>
  <si>
    <t>Brasil Bio Fuels S.A - Feijoal</t>
  </si>
  <si>
    <t>Rod. BR210, Gleba Jauaperi, sitio Boa União, S/N° Lote 574 - Zona Rural   Zona Rural  São João da Baliza/Roraima</t>
  </si>
  <si>
    <t>Brasil Bio Fuels S.A - Palmeiras do Javari</t>
  </si>
  <si>
    <t>Rod. BR 210, Gleba Jauaperi, sitio Boa União, S/N° Lote 574  Zona Rural  São João da Baliza/Roraima</t>
  </si>
  <si>
    <t>Brasil Bio Fuel S.A - Estirão do Equador</t>
  </si>
  <si>
    <t>Rod. BR 210, Gleba Jauaperi, sitio Boa União S/N° lote 574  Zona rural  São João da Baliza/Roraima</t>
  </si>
  <si>
    <t>Brasil Bio Fuels S.A- Envira</t>
  </si>
  <si>
    <t>09478309000751</t>
  </si>
  <si>
    <t>Rua Bela Cintra, n° 904   Consolação  São Paulo/São Paulo</t>
  </si>
  <si>
    <t>Brasil Bio Fuels S.A - Ipixuna</t>
  </si>
  <si>
    <t>09478309000851</t>
  </si>
  <si>
    <t>Rua Bela Cintra, n°904  Consolação  São Paulo/São Paulo</t>
  </si>
  <si>
    <t>Metálica Comércio de Ferragem e Montagem LTDA</t>
  </si>
  <si>
    <t>07030188000160</t>
  </si>
  <si>
    <t>Rua Souto Soares, 10  Lírio do Vale  Manaus/Amazonas</t>
  </si>
  <si>
    <t>Santa Etelvina Empreendimentos Imobiliários Ltda</t>
  </si>
  <si>
    <t>35201910000206</t>
  </si>
  <si>
    <t>Rua Acre, n° 428  Nossa Senhora das Graças  Manaus/Amazonas</t>
  </si>
  <si>
    <t>Gla Amazônia Indústria de Embalagens Plásticos LTDA</t>
  </si>
  <si>
    <t>39539918000149</t>
  </si>
  <si>
    <t>Avenida do Turismo, 13529 - Bloco B Galpão 01  Tarumã  Manaus/Amazonas</t>
  </si>
  <si>
    <t>Eciana Santana</t>
  </si>
  <si>
    <t>Deborah Hounsell</t>
  </si>
  <si>
    <t>Napoli Empreendimentos ImobilÍarios LTDA</t>
  </si>
  <si>
    <t>21596349000299</t>
  </si>
  <si>
    <t>Av Doutor Cardoso de Melo N. 900 Conjunto 31 e 32  Vila Olimpia  São Paulo/São Paulo</t>
  </si>
  <si>
    <t>Toyolex Autos S.A</t>
  </si>
  <si>
    <t>Clorodifluormetano</t>
  </si>
  <si>
    <t>Comprometimento do SNC;
Asfixia; Senbilizante cardíaco</t>
  </si>
  <si>
    <t>Método NIOSH 1018</t>
  </si>
  <si>
    <t>76-14-2</t>
  </si>
  <si>
    <t>Clorofórmio</t>
  </si>
  <si>
    <t>Dano fígado; dano embrio/fetal; compr SNC</t>
  </si>
  <si>
    <t>Método NIOSH 1003</t>
  </si>
  <si>
    <t xml:space="preserve">1 - 50 </t>
  </si>
  <si>
    <t>75-09-2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</si>
  <si>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</si>
  <si>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Mudanças na função pulmonar.</t>
  </si>
  <si>
    <t>68-12-2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</si>
  <si>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</si>
  <si>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Irritação; GI; febre dos fumos metálicos</t>
  </si>
  <si>
    <t>124-38-9</t>
  </si>
  <si>
    <t>Cresol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</si>
  <si>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</si>
  <si>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Filtro de fibra de vidro (IOM) + Tubo de resina XAD-7 de 100/50</t>
  </si>
  <si>
    <t>Método NIOSH 2546</t>
  </si>
  <si>
    <t>0,01 - 0,1</t>
  </si>
  <si>
    <t>07234453002094</t>
  </si>
  <si>
    <t>Avenida Ville Roy, 370  Canarinho  Boa Vista/Roraima</t>
  </si>
  <si>
    <t xml:space="preserve">Matsuda Manaus </t>
  </si>
  <si>
    <t xml:space="preserve"> </t>
  </si>
  <si>
    <t>Av. Solimões, 2934  -   Conjunto Jardim Maua  Manaus/Amazonas</t>
  </si>
  <si>
    <t>EcoTeste</t>
  </si>
  <si>
    <t>00000000000000</t>
  </si>
  <si>
    <t xml:space="preserve">SL Serviços - S L dos R Moraes LTDA </t>
  </si>
  <si>
    <t>07928761000157</t>
  </si>
  <si>
    <t>Avenida Arquiteto José Henrique Bento Rodrigues   Santa Etelvina  Manaus/Amazonas</t>
  </si>
  <si>
    <t>Cód. e-Social: 01.10.001</t>
  </si>
  <si>
    <t>Suzi Elen Alves da Silva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</si>
  <si>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</si>
  <si>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Rua Professora Optaciana de Queiroz, 807  Tarumã  Manaus/Amazonas</t>
  </si>
  <si>
    <t>Terra Indústria e Comércio de Componentes Eletrônicos LTDA EPP</t>
  </si>
  <si>
    <t>13505978000157</t>
  </si>
  <si>
    <t>RUA ORIENTAL, 31. - 1o Andar, Sala 01  Aleixo  Manaus/Amazonas</t>
  </si>
  <si>
    <t>Serviço Social da Industria - Dep. Regional de Roraima</t>
  </si>
  <si>
    <t>03.786.915/0001-62</t>
  </si>
  <si>
    <t>Av. Brigadeiro Edusrdo Gomes, n° 3.710  Aeroporto  Boa Vista/Roraima</t>
  </si>
  <si>
    <t xml:space="preserve">CHR Aluguéis de Máquinas e Veículos </t>
  </si>
  <si>
    <t>05327035000153</t>
  </si>
  <si>
    <t>Avenida Cravina dos Poetas, 320  Planalto  Manaus/Amazonas</t>
  </si>
  <si>
    <t>Francinete Carneiro</t>
  </si>
  <si>
    <t>José Lima</t>
  </si>
  <si>
    <t>95333622272</t>
  </si>
  <si>
    <t>&lt; 0,02</t>
  </si>
  <si>
    <t>Norte Ambiental Tratamento de Resíduos LTDA - Acre</t>
  </si>
  <si>
    <t>10102-44-0</t>
  </si>
  <si>
    <t>14214776000542</t>
  </si>
  <si>
    <t>Rod. Transacreana, AC 90, Km 05 - Zona Rural  Floresta Sul  Rio Branco/Acre</t>
  </si>
  <si>
    <t>Wesley Lima</t>
  </si>
  <si>
    <t>STECK DA AMAZONIA INDUSTRIA ELETRICA LTDA</t>
  </si>
  <si>
    <t>06048486000114</t>
  </si>
  <si>
    <t>Rua Bambuzinho s/n - Lote 10 C1 e Lote 10 C2  Distrito Industrial II  Manaus/Amazonas</t>
  </si>
  <si>
    <t>Jair Raimundo Pinheiro Pinto</t>
  </si>
  <si>
    <t>Cromo Hexavalente</t>
  </si>
  <si>
    <t>59651466200</t>
  </si>
  <si>
    <t>Thais Nunes Coutinho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</si>
  <si>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</si>
  <si>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Consórcio Construtor Logístico do Amazonas</t>
  </si>
  <si>
    <t>47881486000188</t>
  </si>
  <si>
    <t>Avenida Torquato Tapajós, 8251  Tarumã  Manaus/Amazonas</t>
  </si>
  <si>
    <t>14905 Imperius Agenciamento de Cargas LTDA</t>
  </si>
  <si>
    <t>11706554000125</t>
  </si>
  <si>
    <t>Rua Inhapi, 351   Alvorada  Manaus/Amazonas</t>
  </si>
  <si>
    <t>Câncer de Pulmão; Cancer sinonasal; Irritação Trato Respiratório; Asma.</t>
  </si>
  <si>
    <t>ARMASETO COMERCIO E SERVICOS LTDA</t>
  </si>
  <si>
    <t>Filtro de fibra de vidro</t>
  </si>
  <si>
    <t>02247217000126</t>
  </si>
  <si>
    <t>Av Maues, n° 1398 - Sala 02  Cachoeirinha  Manaus/Amazonas</t>
  </si>
  <si>
    <t xml:space="preserve">Método MDHS 14/3 </t>
  </si>
  <si>
    <t>FABITECK SANEAMENTO LIMITADA</t>
  </si>
  <si>
    <t>05503214000102</t>
  </si>
  <si>
    <t>Av. Maues, n° 1398  Cachoeirinha  Manaus/Amazonas</t>
  </si>
  <si>
    <t>480 - 960</t>
  </si>
  <si>
    <t>Breitener Tambaqui S.A</t>
  </si>
  <si>
    <t>07390807000127</t>
  </si>
  <si>
    <t>Av Solimões, 2257  Mauazinho  Manaus/Amazonas</t>
  </si>
  <si>
    <t>Breitener Jaraqui S.A</t>
  </si>
  <si>
    <t>13463-67-7</t>
  </si>
  <si>
    <t>07387573000169</t>
  </si>
  <si>
    <t>Avenida Torquato Tapajós, 10469  Tarumã  Manaus/Amazonas</t>
  </si>
  <si>
    <t>14918 Frutal Empreendimentos imobiliarios Ltda</t>
  </si>
  <si>
    <t>35729667000295</t>
  </si>
  <si>
    <t>dias(s) após a data de emissão da NF  Rua Cachoeira do Niágara, 355  Novo Aleixo  Manaus/Amazonas</t>
  </si>
  <si>
    <t>Isotropica Engenharia e Consultoria</t>
  </si>
  <si>
    <t>46988196000175</t>
  </si>
  <si>
    <t>Rua Darcy Michiles, 5 - Casa A  Centro  Manaus/Amazonas</t>
  </si>
  <si>
    <t>Torres Consultoria Empresarial e Engenharia Eirelli</t>
  </si>
  <si>
    <t>40710487000110</t>
  </si>
  <si>
    <t>Rua 7, 20 - Quadra 40A  Cidade Nova  Manaus/Amazonas</t>
  </si>
  <si>
    <t>14925 Unicoba Energia S.A</t>
  </si>
  <si>
    <t>23650282000259</t>
  </si>
  <si>
    <t>Avenida dos Oitis, 1720  Distrito Industrial II  Manaus/Amazonas</t>
  </si>
  <si>
    <t>Recauchutadora Elo LTDA</t>
  </si>
  <si>
    <t>05486691000107</t>
  </si>
  <si>
    <t>Avenida Torquato Tapajós, 1762  Flores  Manaus/Amazonas</t>
  </si>
  <si>
    <t>Adenoma TRS; efeito neurológico</t>
  </si>
  <si>
    <t xml:space="preserve">Condomínio Fechado Jardim dos Eucaliptos </t>
  </si>
  <si>
    <t>34490.086/000108</t>
  </si>
  <si>
    <t>Estrada do Aeroclube, 600 - Parque das Laranjeiras  Flores  Manaus/Amazonas</t>
  </si>
  <si>
    <t>Método NIOSH 1501</t>
  </si>
  <si>
    <t xml:space="preserve">Centro Médico Sanvie LTDA </t>
  </si>
  <si>
    <t>21296516/000103</t>
  </si>
  <si>
    <t>Rua Comendador Clementino, 220  Centro  Manaus/Amazonas</t>
  </si>
  <si>
    <t xml:space="preserve">Amatur Amazônia Turismo LTDA </t>
  </si>
  <si>
    <t>1 - 30</t>
  </si>
  <si>
    <t>34805903000242</t>
  </si>
  <si>
    <t>R. Padre Monteiro de Noronha, 420  - Bloco B  Flores  Manaus/Amazonas</t>
  </si>
  <si>
    <t xml:space="preserve">14937 Condomínio Residencial Moradas do Parque </t>
  </si>
  <si>
    <t>10791129000119</t>
  </si>
  <si>
    <t>Avenida Professor Nilton Lins, 2274   Flores  Manaus/Amazonas</t>
  </si>
  <si>
    <t>7440-31-5</t>
  </si>
  <si>
    <t>11105987/0006-30</t>
  </si>
  <si>
    <t>Rua Estrada do Terminal, S/N°  Panair  Porto Velho/Rondônia</t>
  </si>
  <si>
    <t xml:space="preserve">FOS Consultoria e Assessoria </t>
  </si>
  <si>
    <t>14946 Construtora Soma LTDA</t>
  </si>
  <si>
    <t>01088713000464</t>
  </si>
  <si>
    <t>Diacetona Álcool</t>
  </si>
  <si>
    <t>Avenida Torquato Tapajós, 12075  Tarumã  Manaus/Amazonas</t>
  </si>
  <si>
    <t>Origem Indústria e Comércio de Motos LTDA</t>
  </si>
  <si>
    <t>31723373000114</t>
  </si>
  <si>
    <t>Avenida Dona Otília, 1490  Tarumã  Manaus/Amazonas</t>
  </si>
  <si>
    <t>14 952 Condomínio do Conjunto Habitacional Tocantins (2° etapa)</t>
  </si>
  <si>
    <t>05532080/000140</t>
  </si>
  <si>
    <t>Avenida Constatino Nery, 2229  Chapada  Manaus/Amazonas</t>
  </si>
  <si>
    <t xml:space="preserve">Clinica Roraiclin do Trabalho Prosseg </t>
  </si>
  <si>
    <t>23167099000116</t>
  </si>
  <si>
    <t>Irr olhos e TRS</t>
  </si>
  <si>
    <t>Avenida Capitão Júlio Bezerra, 1145  São Francisco  Boa Vista/Roraima</t>
  </si>
  <si>
    <t xml:space="preserve">Techinicolor Brasil Mídia e Entretenimento LTDA </t>
  </si>
  <si>
    <t>0277353/000142</t>
  </si>
  <si>
    <t>Avenida Max Teixeira, 2319  Colônia Santo Antônio   Manaus/Amazonas</t>
  </si>
  <si>
    <t xml:space="preserve">Mente Segura Treinamento e Serviços de Engenharia </t>
  </si>
  <si>
    <t>41513499000118</t>
  </si>
  <si>
    <t>Rua dos Tangentes, 14  Jorge Teixeira  Manaus/Amazonas</t>
  </si>
  <si>
    <t>Opmedical LTDA</t>
  </si>
  <si>
    <t>22486909000134</t>
  </si>
  <si>
    <t>Avenida Cosme Ferreira, 1877  Aleixo  Manaus/Amazonas</t>
  </si>
  <si>
    <t>Rio Negro Engenharia e Serviços de Manutenção S/A SPE</t>
  </si>
  <si>
    <t>15715379000193</t>
  </si>
  <si>
    <t>Rio Solimões Engenharia e Serviços de Manutenção S/A SPE</t>
  </si>
  <si>
    <t>15715222000168</t>
  </si>
  <si>
    <t>Avenida Cosme Ferreira, 1877 -   Aleixo  Manaus/Amazonas</t>
  </si>
  <si>
    <t>Morada do Peixe Restaurante e Lava Jato - RA Pontes LTDA</t>
  </si>
  <si>
    <t>23606880000140</t>
  </si>
  <si>
    <t>Rua Goianapolis, 3  Planalto  Manaus/Amazonas</t>
  </si>
  <si>
    <t>Brasil Bio Fuels S.A - UTE Belém do Solimões</t>
  </si>
  <si>
    <t xml:space="preserve">RM Indústria Química da Amazônia </t>
  </si>
  <si>
    <t>Método IT 10-07</t>
  </si>
  <si>
    <t>12643919000182</t>
  </si>
  <si>
    <t>Rua Toledo, 25  - LT-23 25 LOT. SAO F  Santa Etelvina  Manaus/Amazonas</t>
  </si>
  <si>
    <t>Gertec Brasil LTDA</t>
  </si>
  <si>
    <t>03654119000338</t>
  </si>
  <si>
    <t>Av. Buriti, 1900 - Lote 3.38/1 EPCV  Distrito Industrial  Manaus/Amazonas</t>
  </si>
  <si>
    <t>Thiago Pinheiro</t>
  </si>
  <si>
    <t>14986 Delegacia da Receita Federal do Brasil em Manaus</t>
  </si>
  <si>
    <t>100-42-5</t>
  </si>
  <si>
    <t>00394460007235</t>
  </si>
  <si>
    <t>Avenida Governador Danilo de Matos Areosa, 1530  Distrito Industrial   Manaus/Amazonas</t>
  </si>
  <si>
    <t>Centro Educacional Josephina de Mello</t>
  </si>
  <si>
    <t>01784135000158</t>
  </si>
  <si>
    <t>Cachoeira de São Gabriel, 133  Aleixo  Manaus/Amazonas</t>
  </si>
  <si>
    <t xml:space="preserve">SLV Engenharia </t>
  </si>
  <si>
    <t>25193927000116</t>
  </si>
  <si>
    <t>Rua José Pinto Corrêa  Parque 10 de Novembro  Manaus/Amazonas</t>
  </si>
  <si>
    <t>Diclorometano</t>
  </si>
  <si>
    <t>Aço Verde do Brasil</t>
  </si>
  <si>
    <t>07636657000270</t>
  </si>
  <si>
    <t>ROD BR 222 GLEBA ITINGA, KM 14,5  Distrito de Pequia  Açailândia/Maranhão</t>
  </si>
  <si>
    <t>CONDOMINIO LE BOULEVARD</t>
  </si>
  <si>
    <t>Manaus Aerotáxi Participações LTDA</t>
  </si>
  <si>
    <t>02324940000161</t>
  </si>
  <si>
    <t>Avenida Santos Dumont, 1350  Tarumã  Manaus/Amazonas</t>
  </si>
  <si>
    <t>Carboxihemoglobinemia; Comprometimento do SNC.</t>
  </si>
  <si>
    <t>Condomínio Smart Vista do Sol I</t>
  </si>
  <si>
    <t>40258518000144</t>
  </si>
  <si>
    <t>Rua Ilha Oregon, 61  Lírio do Vale  Manaus/Amazonas</t>
  </si>
  <si>
    <t>RAA Transporte - Revelino Aparecido de Almeida</t>
  </si>
  <si>
    <t>Método  NIOSH 1005</t>
  </si>
  <si>
    <t>46339264000175</t>
  </si>
  <si>
    <t>Rua Cachoeira do Niagara, n° 330  Novo Aleixo  Manaus/Amazonas</t>
  </si>
  <si>
    <t>Céu Azul Empreendimentos Imobiliários LTDA</t>
  </si>
  <si>
    <t>40726730000199</t>
  </si>
  <si>
    <t>0,5 - 2,5</t>
  </si>
  <si>
    <t>Rua Dona Debla Henriques, nº 244  Lago Azul  Manaus/Amazonas</t>
  </si>
  <si>
    <t>EAN Transportes</t>
  </si>
  <si>
    <t>39288704000147</t>
  </si>
  <si>
    <t>Rua Visconde de Ouro Preto, 6 - Quadra A 20  Flores  Manaus/Amazonas</t>
  </si>
  <si>
    <t>Honda Trading Brasil LTDA</t>
  </si>
  <si>
    <t>01421979000487</t>
  </si>
  <si>
    <t>Rua Juruá, 160A  Distrito Industrial  Manaus/Amazonas</t>
  </si>
  <si>
    <t>JE Comércio de Materiais e Construções de Poços LTDA</t>
  </si>
  <si>
    <t>06637210000171</t>
  </si>
  <si>
    <t>Avenida do Futuro - Lote 2  Tarumã  Manaus/Amazonas</t>
  </si>
  <si>
    <t>Flextronics International Tecnologia LTDA - 74.404.229/0009-85</t>
  </si>
  <si>
    <t>74404229000985</t>
  </si>
  <si>
    <t>Diclorotetrafluoretano</t>
  </si>
  <si>
    <t>Avenida Torquato Tapajós, 7200 - G - KM 12  Colônia Terra Nova  Manaus/Amazonas</t>
  </si>
  <si>
    <t>Companhia Energética Amazonense S/A</t>
  </si>
  <si>
    <t>48448938000103</t>
  </si>
  <si>
    <t>Rua Desembargador César do Rego, 0  Colônia Antônio Aleixo  Manaus/Amazonas</t>
  </si>
  <si>
    <t>Nelson Gutierrez Losada</t>
  </si>
  <si>
    <t>07862719000180</t>
  </si>
  <si>
    <t>Rua Garça Azul, n° 193   Gilberto Mestrinho  Manaus/Amazonas</t>
  </si>
  <si>
    <t>Cargill Agrícola S.A - Itaituba</t>
  </si>
  <si>
    <t>60498706040108</t>
  </si>
  <si>
    <t>Margem Direita do Rio Tapajós N 6133  Miritituba  Itaituba/Pará</t>
  </si>
  <si>
    <t>Efeito na função pulmonar</t>
  </si>
  <si>
    <t xml:space="preserve">Energias do Acre SPE LTDA </t>
  </si>
  <si>
    <t>42767382000123</t>
  </si>
  <si>
    <t>Rua Rio Grande do Sul, n° 1000  25 de Agosto  Manaus/Amazonas</t>
  </si>
  <si>
    <t>Método  NIOSH 1018</t>
  </si>
  <si>
    <t xml:space="preserve">Akmos Engenharia e Montagens Industriais LTDA </t>
  </si>
  <si>
    <t>36751283000150</t>
  </si>
  <si>
    <t>Rua das Colhereiras, 03, 15, A  Cidade de Deus  Manaus/Amazonas</t>
  </si>
  <si>
    <t>Apek Serviços Médicos Ambulatoriais LTDA</t>
  </si>
  <si>
    <t>12825671000170</t>
  </si>
  <si>
    <t>Rua Cachoeira do Niagara, n° 330   Novo Aleixo  Manaus/Amazonas</t>
  </si>
  <si>
    <t>15041 Hermasa Navegação da Amazônia LTDA 84.590.892/0001-18</t>
  </si>
  <si>
    <t>141-43-5</t>
  </si>
  <si>
    <t>84590892000118</t>
  </si>
  <si>
    <t>Avenida Djalma Batista, 1661  Chapada  Manaus/Amazonas</t>
  </si>
  <si>
    <t xml:space="preserve">15042 Ferraro Engenharia - Leonel Coutinho da Fonseca </t>
  </si>
  <si>
    <t>32137512000190</t>
  </si>
  <si>
    <t>Rua Aexandre Magno, 91   Parque Dez de Novembro  Manaus/Amazonas</t>
  </si>
  <si>
    <t>Visteon Amazonas LTDA</t>
  </si>
  <si>
    <t>02651366000156</t>
  </si>
  <si>
    <t>Avenida Autaz Mirim, 1030  Distrito Industrial II  Manaus/Amazonas</t>
  </si>
  <si>
    <t xml:space="preserve">VIP Serviços Gerais LTDA </t>
  </si>
  <si>
    <t>Diesel</t>
  </si>
  <si>
    <t>02598002000150</t>
  </si>
  <si>
    <t>Rua Gerson Franca Quadra , 18-28  Jardim Estoril II  Bauru/São Paulo</t>
  </si>
  <si>
    <t>Mantena Empreendimentos Imobiliário LTDA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</si>
  <si>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</si>
  <si>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35726180000259</t>
  </si>
  <si>
    <t>Rua Vicente Martins, 932  Santa Etelvina  Manaus/Amazonas</t>
  </si>
  <si>
    <t>GR Gestão e Treinamento Profissional LTDA</t>
  </si>
  <si>
    <t>23314072000109</t>
  </si>
  <si>
    <t>Rua Costa Azevedo, n° 117  Centro  Manaus/Amazonas</t>
  </si>
  <si>
    <t xml:space="preserve">Braspress Transportes Urgentes LTDA </t>
  </si>
  <si>
    <t>48740351005396</t>
  </si>
  <si>
    <t>Dermatite</t>
  </si>
  <si>
    <t>Avenida Buriti, 4019  Distrito Industrial  Manaus/Amazonas</t>
  </si>
  <si>
    <t>Filtro de Fibra de Vidro + Tubo de Carvão Ativado</t>
  </si>
  <si>
    <t xml:space="preserve">
Método  NIOSH 1550</t>
  </si>
  <si>
    <t>Condomínio Britannia Park Offices</t>
  </si>
  <si>
    <t>36958203000132</t>
  </si>
  <si>
    <t>Avenida Coronel Teixeira, 6225   Ponta Negra  Manaus/Amazonas</t>
  </si>
  <si>
    <t xml:space="preserve">Cerâmica Vera Cruz - O Yamane Fontenelle </t>
  </si>
  <si>
    <t>17448485000183</t>
  </si>
  <si>
    <t>Estrada Manoel Urbano, s/n - KM 43 - AM 070  Expansão Urbana  Manaus/Amazonas</t>
  </si>
  <si>
    <t>Technos da Amazônia Indústria e Comércio S.A</t>
  </si>
  <si>
    <t>04628426000145</t>
  </si>
  <si>
    <t>13588-28-8</t>
  </si>
  <si>
    <t>Rua Mogno, 600  Distrito Industrial   Manaus/Amazonas</t>
  </si>
  <si>
    <t>Condomínio do Edifício Nápoles</t>
  </si>
  <si>
    <t>08648499000150</t>
  </si>
  <si>
    <t>Rua 8, Conjunto Parque Tropical - Nº 28 -   Parque Dez de Novembro  Manaus/Amazonas</t>
  </si>
  <si>
    <t>Gases da Amazônia LTDA</t>
  </si>
  <si>
    <t>22298504r000172</t>
  </si>
  <si>
    <t>Avenida Torquato Tapajós, 0  Lago Azul  Manaus/Amazonas</t>
  </si>
  <si>
    <t>Polimix Concreto LTDA - Manaus</t>
  </si>
  <si>
    <t>Dimetilformamida</t>
  </si>
  <si>
    <t>29067113022670</t>
  </si>
  <si>
    <t>Rio Jaguarão n° 658 -   Vila Buriti  Manaus/Amazonas</t>
  </si>
  <si>
    <t xml:space="preserve">Innova Ambiental - Serviços de Engenharia Ambiental LTDA </t>
  </si>
  <si>
    <t>31009757000170</t>
  </si>
  <si>
    <t>Rua Renato Lins, 287  Cidade Nova  Manaus/Amazonas</t>
  </si>
  <si>
    <t xml:space="preserve">Serviço Social da Indústria da Construção C de Manaus - Seconci AM </t>
  </si>
  <si>
    <t>Sidia Instituto de Ciência e Tecnologia - PVH</t>
  </si>
  <si>
    <t>05994459001062</t>
  </si>
  <si>
    <t>Avenida Prefeito Chiquilito Erse, 3288  - PAVMTO3 LOJA 303  Flodoaldo Pontes Filho  Manaus/Amazonas</t>
  </si>
  <si>
    <t>R M P Romero</t>
  </si>
  <si>
    <t>15790280000156</t>
  </si>
  <si>
    <t>AV GABRIEL CORREA PEDROSA n° 149 - LOJA C  Parq. 10 de Novembro  Manaus/Amazonas</t>
  </si>
  <si>
    <t>Danos no fígado; Irritação nos olhos e TRS</t>
  </si>
  <si>
    <t>Ec Menezes</t>
  </si>
  <si>
    <t>085843080001333</t>
  </si>
  <si>
    <t>Método NIOSH 2004</t>
  </si>
  <si>
    <t>Walff Industrial Sociedade Anonima</t>
  </si>
  <si>
    <t>20703241000104</t>
  </si>
  <si>
    <t>Av Autaz Mirim 4.966 - Galpão A e B  Zumbi dos Palmares  Manaus/Amazonas</t>
  </si>
  <si>
    <t>15 - 80</t>
  </si>
  <si>
    <t>Unitas Agrícola S. A</t>
  </si>
  <si>
    <t>43598846000188</t>
  </si>
  <si>
    <t>Rua Rio Jaguarão, n° 2134  Vila Buriti  Manaus/Amazonas</t>
  </si>
  <si>
    <t>Linhas do Norte Construções SPE LTDA</t>
  </si>
  <si>
    <t>42072323000130</t>
  </si>
  <si>
    <t>Trav. Severiano Nunes, s/n°  Centro  Itapiranga/Amazonas</t>
  </si>
  <si>
    <t>Laboratório Sabin de Análises Clínicas S.A</t>
  </si>
  <si>
    <t>00718528010678</t>
  </si>
  <si>
    <t>Av. Tancredo Neves, n° 1287  Parque 10 de Novembro  Manaus/Amazonas</t>
  </si>
  <si>
    <t>Genis Equipamentos de Ginastica LTDA</t>
  </si>
  <si>
    <t>07489753000151</t>
  </si>
  <si>
    <t>Av. Cupiuba, n° 956 - Lote 3.65/2C  Distrito Industrial  Manaus/Amazonas</t>
  </si>
  <si>
    <t>Dióxido de carbono</t>
  </si>
  <si>
    <t>qqqqq</t>
  </si>
  <si>
    <t>qq</t>
  </si>
  <si>
    <t xml:space="preserve">Condomínio do Parque Ponta Negra - Reserva das Praias </t>
  </si>
  <si>
    <t>21939961000136</t>
  </si>
  <si>
    <t>Avenida Coronel Teixeira, S/N - KM 03  Ponta Negra  Manaus/Amazonas</t>
  </si>
  <si>
    <t>Wide Eletronics - M Miranda Alfaia</t>
  </si>
  <si>
    <t>20672984000164</t>
  </si>
  <si>
    <t>Rua Comadante Noberto Won Gal - Conj. Santos Dummont  Da Paz  Manaus/Amazonas</t>
  </si>
  <si>
    <t xml:space="preserve">Fuxiplast - T J S Fabricação de Embalagens e Gestão Empresarial LTDA </t>
  </si>
  <si>
    <t>Asfixia</t>
  </si>
  <si>
    <t>34650591000164</t>
  </si>
  <si>
    <t>Avenida Brigadeiro Hilário Gurjão, 370   Jorge Teixeira   Manaus/Amazonas</t>
  </si>
  <si>
    <t>Balão de tedlar de 5 L</t>
  </si>
  <si>
    <t xml:space="preserve">Stamp Malhas - Marcone B P de Ataíde </t>
  </si>
  <si>
    <t>Método NIOSH 6603</t>
  </si>
  <si>
    <t>0,02 - 0,1</t>
  </si>
  <si>
    <t>03706822000180</t>
  </si>
  <si>
    <t>5</t>
  </si>
  <si>
    <t>Rua Senador Leitão da Cunha, 76  São Francisco  Manaus/Amazonas</t>
  </si>
  <si>
    <t>&lt; 0,050</t>
  </si>
  <si>
    <t xml:space="preserve">Distribuidora Tapajós - Tapajós Comércio de Medicamentos LTDA </t>
  </si>
  <si>
    <t>845210053000148</t>
  </si>
  <si>
    <t>Rua Ivailandia, 423  Coroado  Manaus/Amazonas</t>
  </si>
  <si>
    <t>112-34-5</t>
  </si>
  <si>
    <t>Condomínio Maison Ephigênio Salles</t>
  </si>
  <si>
    <t>15322039000100</t>
  </si>
  <si>
    <t>Avenida Ephigênio Salles, 2330  Aleixo  Manaus/Amazonas</t>
  </si>
  <si>
    <t>Beija Flor Motel LTDA</t>
  </si>
  <si>
    <t>06948506000103</t>
  </si>
  <si>
    <t>Avenida Coronel Cirillo Neves, 892  Compensa  Manaus/Amazonas</t>
  </si>
  <si>
    <t xml:space="preserve">Transagil Transportes de Cargas LTDA </t>
  </si>
  <si>
    <t>07199061001493</t>
  </si>
  <si>
    <t>Dióxido de enxofre</t>
  </si>
  <si>
    <t>Rua Esus, 481 A  Tarumã-Açu  Manaus/Amazonas</t>
  </si>
  <si>
    <t>Integração Transportes LTDA</t>
  </si>
  <si>
    <t>13484296000105</t>
  </si>
  <si>
    <t>Av. Camapuã, n° 921   cidade de Deus  Manaus/Amazonas</t>
  </si>
  <si>
    <t xml:space="preserve">Condomínio Palm Village </t>
  </si>
  <si>
    <t>10805123000153</t>
  </si>
  <si>
    <t>Avenida Ephigênio Salles, 2310  Aleixo  Manaus/Amazonas</t>
  </si>
  <si>
    <t>SS Casa Noturna Produções e Eventos LTDA - All Night Pub</t>
  </si>
  <si>
    <t>Efeitos na função pulmonar; Irritação TRI</t>
  </si>
  <si>
    <t>08366209000185</t>
  </si>
  <si>
    <t>Ephigênio Salles, 2085  Aleixo  Manaus/Amazonas</t>
  </si>
  <si>
    <t xml:space="preserve">Engenharia e Comércio de Materiais de Construção Eireli </t>
  </si>
  <si>
    <t>Método NIOSH 6004</t>
  </si>
  <si>
    <t>31744984000149</t>
  </si>
  <si>
    <t xml:space="preserve">Ionara dos Santos </t>
  </si>
  <si>
    <t>0,5 - 1,5</t>
  </si>
  <si>
    <t>4 - 200</t>
  </si>
  <si>
    <t>Pelmex da Amazônia LTDA</t>
  </si>
  <si>
    <t>04.321.519/0001-22</t>
  </si>
  <si>
    <t>Av. Ministro Mario Andreazza 4506 - LOTE 2.62/1 GALPAO I  Distrito Industrial  Manaus/Amazonas</t>
  </si>
  <si>
    <t>HS Serviços Médicos LTDA - Saúde e Vida Medicina e Segurança Ocupacional</t>
  </si>
  <si>
    <t>100-41-4</t>
  </si>
  <si>
    <t>26117786000115</t>
  </si>
  <si>
    <t>Avenida Djalma Batista, 1719  Chapada  Manaus/Amazonas</t>
  </si>
  <si>
    <t>Cerevisia Serviços de Bar e Restaurante LTDA</t>
  </si>
  <si>
    <t>21843199000190</t>
  </si>
  <si>
    <t>Rua Rio Amapá, 05 - Conjunto Vieiralves  Nossa Senhora das Graças   Manaus/Amazonas</t>
  </si>
  <si>
    <t xml:space="preserve">M S Logística e Transporte LTDA </t>
  </si>
  <si>
    <t>31621257000194</t>
  </si>
  <si>
    <t>Avenida Desembargador João Machado, 1600  Alvorada  Manaus/Amazonas</t>
  </si>
  <si>
    <t>Dióxido de nitrogênio</t>
  </si>
  <si>
    <t>Marcos Vinicius</t>
  </si>
  <si>
    <t>Mil Madeiras Preciosas LTDA</t>
  </si>
  <si>
    <t xml:space="preserve">H L Serviços de alinhamento e balanceamento de veículos automotores LTDA </t>
  </si>
  <si>
    <t>21520688000453</t>
  </si>
  <si>
    <t>Av. Camapuã n° 1262 - Loja 01  Novo Aleixo  Manaus/Amazonas</t>
  </si>
  <si>
    <t xml:space="preserve">Norte Comércio de Peças e Acessórios para Veículos LTDA </t>
  </si>
  <si>
    <t>Irritação TRI</t>
  </si>
  <si>
    <t>34538850000160</t>
  </si>
  <si>
    <t>Av Torquato Tapajós n° 923  Da Paz  Manaus/Amazonas</t>
  </si>
  <si>
    <t xml:space="preserve">Micro-Lab LTDA </t>
  </si>
  <si>
    <t>15.792.732/0001-39</t>
  </si>
  <si>
    <t>Avenida Tarumã, 905  Tarumã  Manaus/Amazonas</t>
  </si>
  <si>
    <t>Método NIOSH 6014</t>
  </si>
  <si>
    <t>Empilhacom ltda</t>
  </si>
  <si>
    <t>07605358/000197</t>
  </si>
  <si>
    <t>Rua Arnaldo Carpinteiro Peres, n° 304  Petropolis  Manaus/Amazonas</t>
  </si>
  <si>
    <t>Gerdau Aços Longos LTDA</t>
  </si>
  <si>
    <t>3 - 6</t>
  </si>
  <si>
    <t>07358761030823</t>
  </si>
  <si>
    <t>Rua Cachoeira do Arari, 281  Santa Etelvina  Manaus/Amazonas</t>
  </si>
  <si>
    <t>Amazonas Copiadoras LTDA - Amazon Copy</t>
  </si>
  <si>
    <t>01657353000121</t>
  </si>
  <si>
    <t>74-85-1</t>
  </si>
  <si>
    <t>: Avenida Tefé, Nº 315  Praça 14 De Janeiro  Manaus/Amazonas</t>
  </si>
  <si>
    <t xml:space="preserve">AGM Indústria Comércio e Representação LTDA </t>
  </si>
  <si>
    <t>84493469000108</t>
  </si>
  <si>
    <t>Rua Pires do Rio, 535   Aleixo  Manaus/Amazonas</t>
  </si>
  <si>
    <t>Engenheira Elza  Siqueira</t>
  </si>
  <si>
    <t>Diana da Silva Lima</t>
  </si>
  <si>
    <t>Francisco Araújo da Silva - Supermercado LTDA -  Supermercado Nova Cidade</t>
  </si>
  <si>
    <t>34551382000244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</si>
  <si>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</si>
  <si>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Avenida Margarita, 35   Nova Cidade  Manaus/Amazonas</t>
  </si>
  <si>
    <t>Edelso Costa Nascimento LTDA - ECN Serviços</t>
  </si>
  <si>
    <t>39232284000187</t>
  </si>
  <si>
    <t>Rua Havan, 251  Nova Cidade  Manaus/Amazonas</t>
  </si>
  <si>
    <t>LCM Construção e Comércio SA</t>
  </si>
  <si>
    <t>19.758.842/0023-40</t>
  </si>
  <si>
    <t>Irritação no TRI, Pneumoconiose</t>
  </si>
  <si>
    <t xml:space="preserve">Pablo A. dos Santos - BioLimpo </t>
  </si>
  <si>
    <t>Astra Saúde Ocupacional - Aliança e Saúde do Trabalho LTDA</t>
  </si>
  <si>
    <t>51505178000125</t>
  </si>
  <si>
    <t>Dárcio José da Silveira Sarubbi</t>
  </si>
  <si>
    <t>&lt; 0,017</t>
  </si>
  <si>
    <t>15237 Benevides Águas S.A</t>
  </si>
  <si>
    <t>15887193/0003-83</t>
  </si>
  <si>
    <t>Rod. Macapá - Mazagão s/n - Km 16 |Galpão 1A  Distrito Industrial  Manaus/Amazonas</t>
  </si>
  <si>
    <t>107-21-1</t>
  </si>
  <si>
    <t>André Menezes Brock</t>
  </si>
  <si>
    <t xml:space="preserve">Ar Siqueira - Andrerlã Rabelo de Siqueira </t>
  </si>
  <si>
    <t>32838024000100</t>
  </si>
  <si>
    <t xml:space="preserve">15243 Sette Serviços de Enegenharia - JP Silva Coelho LTDA </t>
  </si>
  <si>
    <t xml:space="preserve">Rhuana Tenório dos Santos </t>
  </si>
  <si>
    <t xml:space="preserve">Supermercado Rodrigues LTDA 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</si>
  <si>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</si>
  <si>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00835261000121</t>
  </si>
  <si>
    <t xml:space="preserve">LTL Lavanderia e Tinturaria </t>
  </si>
  <si>
    <t>BIC AMAZONIA S/A</t>
  </si>
  <si>
    <t>04.402.277/0001-00</t>
  </si>
  <si>
    <t>Rua Içá, n° 400   Distrito Industria  Manaus/Amazonas</t>
  </si>
  <si>
    <t>Pneumoconiose</t>
  </si>
  <si>
    <t>EQS Engenharia S.A</t>
  </si>
  <si>
    <t>80464753000197</t>
  </si>
  <si>
    <t>Jesmond Comércio Varejista LTDA - Granado Pharmacias (Amazonas)</t>
  </si>
  <si>
    <t>08743025009739</t>
  </si>
  <si>
    <t>Jesmond Comércio Varejista LTDA - Granado Pharmacias (Manauara)</t>
  </si>
  <si>
    <t>08743025005318</t>
  </si>
  <si>
    <t>Avenida Mário Ypiranga, 1300   Adrianopolis  Manaus/Amazonas</t>
  </si>
  <si>
    <t xml:space="preserve">15 269 Associação do Studio 5 Shopping </t>
  </si>
  <si>
    <t>108-95-2</t>
  </si>
  <si>
    <t>33386796000111</t>
  </si>
  <si>
    <t>Avenida Rodrigo Otávio, 3376   Crespo  Manaus/Amazonas</t>
  </si>
  <si>
    <t xml:space="preserve">Digitech Ocupacional LTDA </t>
  </si>
  <si>
    <t>46697718000180</t>
  </si>
  <si>
    <t>15275 Manaós Odontologia LTDA</t>
  </si>
  <si>
    <t>06981897000168</t>
  </si>
  <si>
    <t>Rua da Instalação, 164  Centro  Manaus/Amazonas</t>
  </si>
  <si>
    <t>Irene Coelho Gomes</t>
  </si>
  <si>
    <t>Estanho - Compostos Orgânicos</t>
  </si>
  <si>
    <t>10.654.388/0001-06</t>
  </si>
  <si>
    <t xml:space="preserve">Frederico Nicolau Cesarino 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</si>
  <si>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</si>
  <si>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48854761000137</t>
  </si>
  <si>
    <t>Rua Comandante Atlas Catanhede  Da Paz  Manaus/Amazonas</t>
  </si>
  <si>
    <t>Condominio Terraço Vieiralves</t>
  </si>
  <si>
    <t>Mental Somática Serviços Médicos LTDA</t>
  </si>
  <si>
    <t>08.333.003/0001-59</t>
  </si>
  <si>
    <t>Rua Luiz Antony, 538  Centro  Manaus/Amazonas</t>
  </si>
  <si>
    <t xml:space="preserve">MG Silva Monteiro &amp; CIA LTDA - Tresz Mobiliário </t>
  </si>
  <si>
    <t>07234176000157</t>
  </si>
  <si>
    <t>Rua Dallas, 106  Flores  Manaus/Amazonas</t>
  </si>
  <si>
    <t xml:space="preserve">Tribunal de Justiça do Estado do Amazonas </t>
  </si>
  <si>
    <t xml:space="preserve">Engenheiro Ornan Vieira </t>
  </si>
  <si>
    <t xml:space="preserve">Fênix Transportes - Soares e Silva Agencia de Viagem e Turismo Limitada </t>
  </si>
  <si>
    <t>09598373000180</t>
  </si>
  <si>
    <t>Irritações nos olhos; Irritações no TRS; Dor de cabeça; Náusea; Efeitos no SNC; Efeitos no SI</t>
  </si>
  <si>
    <t>Rua Cuba, 3 - Parque das Nações  Flores  Manaus/Amazonas</t>
  </si>
  <si>
    <t xml:space="preserve">TS Serviços Transportes e LogÍstica LTDA </t>
  </si>
  <si>
    <t>Sharley Mendes Fermin - ME</t>
  </si>
  <si>
    <t>12.766.362/0001-77</t>
  </si>
  <si>
    <t>Estrada Vila Tuxaua n° 100  Vila Tuxaua  Jutaí/Amazonas</t>
  </si>
  <si>
    <t>Gasônia Cilíndros LTDA</t>
  </si>
  <si>
    <t>39696594000152</t>
  </si>
  <si>
    <t>Rua Quixito, n° 86 - Terreo - Galpão B  Vila Buriti  Manaus/Amazonas</t>
  </si>
  <si>
    <t>Gráfica e Editora Silva LTDA</t>
  </si>
  <si>
    <t>05445663000133</t>
  </si>
  <si>
    <t>Avenida Buriti, 6376 -   Distrito Industrial  Manaus/Amazonas</t>
  </si>
  <si>
    <t>OLN dos Santos - Lavanderia Pérola</t>
  </si>
  <si>
    <t>1309-37-1</t>
  </si>
  <si>
    <t>84536929000200</t>
  </si>
  <si>
    <t>Rua Doutor Perdigão, 149  Coroado  Manaus/Amazonas</t>
  </si>
  <si>
    <t>15331 RS Indústria e Comércio de Embalagens  LTDA</t>
  </si>
  <si>
    <t>84531656000120</t>
  </si>
  <si>
    <t>Av. Itaúba, 1737  Jorge Teixeira  Manaus/Amazonas</t>
  </si>
  <si>
    <t>Fitas Flax da Amazônia LTDA</t>
  </si>
  <si>
    <t>Cód. e-Social: 01.03.002</t>
  </si>
  <si>
    <t>07169868000169</t>
  </si>
  <si>
    <t>Av. Torquato Tapajós, n° 3386  Colônia Santo Antônio   Manaus/Amazonas</t>
  </si>
  <si>
    <t>Benevides Água S.A.</t>
  </si>
  <si>
    <t>15887193000111</t>
  </si>
  <si>
    <t xml:space="preserve">Leonardo Wilson Souza Bemergui </t>
  </si>
  <si>
    <t>632.334.012-72</t>
  </si>
  <si>
    <t>Comprometimento do SNC; Comprometimento do sistema auditivo; Irritações no TRS; Neuropatia periférica; Desordens visuais</t>
  </si>
  <si>
    <t>LabelPress Industria e Com. Da Amazônia LTDA</t>
  </si>
  <si>
    <t>03.497.916/0001-97</t>
  </si>
  <si>
    <t>Condomínio Parque Ponta Negra Reserva Das Águas</t>
  </si>
  <si>
    <t>22092155000138</t>
  </si>
  <si>
    <t>Av. Coronel Teixeira, 5803  Ponta Negra  Manaus/Amazonas</t>
  </si>
  <si>
    <t>Rio Negro Embalagens LTDA</t>
  </si>
  <si>
    <t>45540197000190</t>
  </si>
  <si>
    <t>RCA Comércio de peças e serviços de refrigeração LTDA</t>
  </si>
  <si>
    <t>24751599000163</t>
  </si>
  <si>
    <t>Rua Afonso de Souza n° 247  Raiz  Manaus/Amazonas</t>
  </si>
  <si>
    <t>Brenda Silva Ferreira</t>
  </si>
  <si>
    <t>02621108229</t>
  </si>
  <si>
    <t>Rua José Romão, 415  São José Operário  Manaus/Amazonas</t>
  </si>
  <si>
    <t>Barollo - Spicy Restaurante e Serviços de Alimentação LTDA</t>
  </si>
  <si>
    <t>32925986000105</t>
  </si>
  <si>
    <t>Rua Rio Ituxi, 290  Nossa Semhora das Graças   Manaus/Amazonas</t>
  </si>
  <si>
    <t>Antônio Ferreira de Mesquita</t>
  </si>
  <si>
    <t>128.357.652-04</t>
  </si>
  <si>
    <t>Transportadora Bons Amigos - Transporte por Navegação Interior de Carga LTDA</t>
  </si>
  <si>
    <t>40272926000150</t>
  </si>
  <si>
    <t>Rua Salvador, 120 - Sala 803 - Vieiralves  Adrianópolis  Manaus/Amazonas</t>
  </si>
  <si>
    <t>Vivensis Indústria e Comércio LTDA</t>
  </si>
  <si>
    <t>07929761000503</t>
  </si>
  <si>
    <t>Avenida Autaz Mirim, 1000  Distrito Industrial II  Manaus/Amazonas</t>
  </si>
  <si>
    <t>Navegação Rio Negro S.A</t>
  </si>
  <si>
    <t>06199077000119</t>
  </si>
  <si>
    <t>Rua Rio Jaguarão, 2134  Vila Buriti  Manaus/Amazonas</t>
  </si>
  <si>
    <t>15389 RBA Logística - A.S Queiroz &amp; CIA LTDA</t>
  </si>
  <si>
    <t>45660604000100</t>
  </si>
  <si>
    <t>João Victor Amaral Procópio Pires</t>
  </si>
  <si>
    <t>122.697.736-75</t>
  </si>
  <si>
    <t>ERM Comércio e Serviços</t>
  </si>
  <si>
    <t>1 - 14</t>
  </si>
  <si>
    <t>16984-48-8</t>
  </si>
  <si>
    <t>Etanol</t>
  </si>
  <si>
    <t>31597128000108</t>
  </si>
  <si>
    <t>Rua Jupurutu, 221  Alvorada  Manaus/Amazonas</t>
  </si>
  <si>
    <t>Adata Eletronics Brazil LTDA</t>
  </si>
  <si>
    <t>21316271000201</t>
  </si>
  <si>
    <t>Avenida Torquato Tapajós, 10933  Tarumã  Manaus/Amazonas</t>
  </si>
  <si>
    <t>Sole Indústria de Componentes Plásticos LTDA</t>
  </si>
  <si>
    <t>Ração Amazonas</t>
  </si>
  <si>
    <t>50-00-0</t>
  </si>
  <si>
    <t>Mapa da Amazônia Ind e Com de Saneantes</t>
  </si>
  <si>
    <t>Condomínio Amazon Boulevard Life</t>
  </si>
  <si>
    <t>08438403000129</t>
  </si>
  <si>
    <t>Avenida Torquato Tapajós, 1357  Flores  Manaus/Amazonas</t>
  </si>
  <si>
    <t>JV Comércio e Serviços Navais</t>
  </si>
  <si>
    <t xml:space="preserve">Navegação Oziel Mustafa - Oziel Mustafa dos Santos &amp; CIA </t>
  </si>
  <si>
    <t>23031289000101</t>
  </si>
  <si>
    <t>Etanolamina</t>
  </si>
  <si>
    <t>Rua Emilio Moreira, 1769  Praça 14  Manaus/Amazonas</t>
  </si>
  <si>
    <t>Angstrom Electric LTDA</t>
  </si>
  <si>
    <t>0924171000188</t>
  </si>
  <si>
    <t xml:space="preserve">EHS Smart Solution LTDA - EHS Soluções Inteligentes </t>
  </si>
  <si>
    <t>23208902000113</t>
  </si>
  <si>
    <t>Rua Barão do Triunfo, 612 - Conjunto 901  Brooklin Paulista  São Paulo/São Paulo</t>
  </si>
  <si>
    <t>Norte Tech Serviços em Energia LTDA</t>
  </si>
  <si>
    <t>33822061000193</t>
  </si>
  <si>
    <t>Turn Key Instalação e Manutenção Elétrica LTDA</t>
  </si>
  <si>
    <t>10486849000170</t>
  </si>
  <si>
    <t>Rua Cerejeira, 374  Jardim Florestal  Manaus/Amazonas</t>
  </si>
  <si>
    <t>Jenna Gomes de Souza</t>
  </si>
  <si>
    <t>39.531.968/0001-80</t>
  </si>
  <si>
    <t>Zaraplast da Amazônia LTDA</t>
  </si>
  <si>
    <t>34830317000258</t>
  </si>
  <si>
    <t>Avenida Autaz Mirim, 1030  Distrito Industrial  Manaus/Amazonas</t>
  </si>
  <si>
    <t>Passarelli Engenharia e Construção  LTDA</t>
  </si>
  <si>
    <t>60625829000101</t>
  </si>
  <si>
    <t>Rua Paes Lemes, 524   Pinheiros  São Paulo/São Paulo</t>
  </si>
  <si>
    <t>Tubo de resina XAD-2 de 80/40 mg</t>
  </si>
  <si>
    <t xml:space="preserve">HSC Engenharia e Consultoria </t>
  </si>
  <si>
    <t>Método OSHA PV2111 - HPLC</t>
  </si>
  <si>
    <t>26973422000137</t>
  </si>
  <si>
    <t>Avenida Domingos Jorge Velho, 73  Dom Pedro  Manaus/Amazonas</t>
  </si>
  <si>
    <t>Hélio Carvalho</t>
  </si>
  <si>
    <t>Marcelo Fioravante</t>
  </si>
  <si>
    <t>Eng. Alcione Barbosa</t>
  </si>
  <si>
    <t>34.373.609/0001-28</t>
  </si>
  <si>
    <t>DL SERVICOS DE ENGENHARIA AMBIENTAL E SEGURANCA DO TRABALHO LTDA.</t>
  </si>
  <si>
    <t>Manauense Indústria e Comércio de Plasticos LTDA</t>
  </si>
  <si>
    <t>32595932000110</t>
  </si>
  <si>
    <t>Rua Candelaria, 359  Coroado  Manaus/Amazonas</t>
  </si>
  <si>
    <t>A L Gestão Empresarial LTDA</t>
  </si>
  <si>
    <t>Racing Juda Brito da Silva</t>
  </si>
  <si>
    <t xml:space="preserve">PSNL Engenharia </t>
  </si>
  <si>
    <t>18123433000108</t>
  </si>
  <si>
    <t>Rua 205  Novo Aleixo  Manaus/Amazonas</t>
  </si>
  <si>
    <t>Dunorte Locação de Máquina e Logística  Limitada</t>
  </si>
  <si>
    <t>05678625000120</t>
  </si>
  <si>
    <t>Rua Tucunaré, 40   Distrito Industrial   Manaus/Amazonas</t>
  </si>
  <si>
    <t xml:space="preserve">Gilson da Silva Gomes </t>
  </si>
  <si>
    <t>54233255000123</t>
  </si>
  <si>
    <t xml:space="preserve">Laghi Engenharia LTDA </t>
  </si>
  <si>
    <t>01057727000178</t>
  </si>
  <si>
    <t>Avenida Jacira Reis, 600  São Jorge  Manaus/Amazonas</t>
  </si>
  <si>
    <t>SX Led Lighting Comércio e Serviços LTDA</t>
  </si>
  <si>
    <t>22085520000268</t>
  </si>
  <si>
    <t>Rua Aracai, 1052   Flores  Manaus/Amazonas</t>
  </si>
  <si>
    <t>CMF Saúde e Segurança do Trabalho LTDA</t>
  </si>
  <si>
    <t>47072229000103</t>
  </si>
  <si>
    <t>Rua Ibipora, 187  Novo Aleixo  Manaus/Amazonas</t>
  </si>
  <si>
    <t>RN de Lima Comercial - RM Comércio e Serviços</t>
  </si>
  <si>
    <t>08388057000111</t>
  </si>
  <si>
    <t xml:space="preserve">Thiago Maquiné </t>
  </si>
  <si>
    <t>M S V de Mendonça Alimentos</t>
  </si>
  <si>
    <t>05654184000127</t>
  </si>
  <si>
    <t>Rua Professor Antônio Giulesse, 348  Alvorada  Manaus/Amazonas</t>
  </si>
  <si>
    <t>Amazon Química Indústria e Comércio de Produtos Químicos LTDA</t>
  </si>
  <si>
    <t>1-20</t>
  </si>
  <si>
    <t>08617395000188</t>
  </si>
  <si>
    <t>Rua Careiro Castanho 731  Jorge Teixeira  Manaus/Amazonas</t>
  </si>
  <si>
    <t>Manaus Ambiental SA</t>
  </si>
  <si>
    <t>Rua Bem Te Vi, s/nº  Cidade de Deus   Manaus/Amazonas</t>
  </si>
  <si>
    <t>7723-14-0</t>
  </si>
  <si>
    <t>Amazon Consultoria e Gestão Empresarial LTDA</t>
  </si>
  <si>
    <t>15918554000140</t>
  </si>
  <si>
    <t>Rua Careiro Castanho, 0  Jorge Teixeira  Manaus/Amazonas</t>
  </si>
  <si>
    <t xml:space="preserve">Duo Nobre Indústria de Jóias da Amazônia LTDA </t>
  </si>
  <si>
    <t>01628778000102</t>
  </si>
  <si>
    <t>Rua Monte Castelo, 328  Japiim  Manaus/Amazonas</t>
  </si>
  <si>
    <t>Liliane Sena</t>
  </si>
  <si>
    <t>Preven - Consultoria em Segurança do Trabalho</t>
  </si>
  <si>
    <t>Transnorte Energia S.A</t>
  </si>
  <si>
    <t>14683671000370</t>
  </si>
  <si>
    <t xml:space="preserve">Felipe Sena Rocha </t>
  </si>
  <si>
    <t>54453487000197</t>
  </si>
  <si>
    <t>Rua Desembargador Gaspar Guimarães, 60A  Parque 10 de Novembro  Manaus/Amazonas</t>
  </si>
  <si>
    <t xml:space="preserve">Felipe Barros </t>
  </si>
  <si>
    <t xml:space="preserve">Ocrim S.A Produtos Alimentícios </t>
  </si>
  <si>
    <t>61.065.199/0006-35</t>
  </si>
  <si>
    <t>FPF TECH</t>
  </si>
  <si>
    <t>02844344000102</t>
  </si>
  <si>
    <t>Av. Governador Danilo de Matos Areosa, n.o 1170  Distrito Industrial  Manaus/Amazonas</t>
  </si>
  <si>
    <t>Atacadão JK LTDA</t>
  </si>
  <si>
    <t>Etér metílico de dipropileno Glicol</t>
  </si>
  <si>
    <t xml:space="preserve">Amanda Fornecimento de Alimentos - Eirelli </t>
  </si>
  <si>
    <t>Wasion da Amazônia Indústria de Instrumentos Eletrônicos LTDA</t>
  </si>
  <si>
    <t>Danos no fígado; Efeitos no SNC</t>
  </si>
  <si>
    <t>09291019000109</t>
  </si>
  <si>
    <t>Av. Cosme Ferreira, 12110  Colônia Antônio Aleixo  Manaus/Amazonas</t>
  </si>
  <si>
    <t>Tubo de Chromosorb</t>
  </si>
  <si>
    <t>Juruá Estaleiros e Navegação LTDA</t>
  </si>
  <si>
    <t>Método PA 7.2-123</t>
  </si>
  <si>
    <t>63700553000177</t>
  </si>
  <si>
    <t>0,01 - 0,05</t>
  </si>
  <si>
    <t xml:space="preserve">Clinica Medisol - Medicina e Tecnologia LTDA </t>
  </si>
  <si>
    <t>10886759000177</t>
  </si>
  <si>
    <t xml:space="preserve">NLEAO Soluções em Segurança do Trabalho </t>
  </si>
  <si>
    <t>52925311000165</t>
  </si>
  <si>
    <t>Rua São Francisco de Assis, 85  Nova Esperança  Manaus/Amazonas</t>
  </si>
  <si>
    <t>8002-74-2</t>
  </si>
  <si>
    <t>Saugos Construção e Perícia Técnica LTDA</t>
  </si>
  <si>
    <t>19.427.187/0001-32</t>
  </si>
  <si>
    <t>Rua Luiz Olavo, n° 940  - Sala 6  Parque 10 de Novembro  Manaus/Amazonas</t>
  </si>
  <si>
    <t>CGR da Amazônia LTDA</t>
  </si>
  <si>
    <t>41701249000101</t>
  </si>
  <si>
    <t>Av. da Floresta, n° 5641   Tarumã Açu  Manaus/Amazonas</t>
  </si>
  <si>
    <t xml:space="preserve">Instituto Cal-Comp de Pesquisa e Inovação Tecnológica da Amazônia </t>
  </si>
  <si>
    <t>21640591000131</t>
  </si>
  <si>
    <t>Etér metílico do monopropileno Glicol</t>
  </si>
  <si>
    <t>Av Torquato Tapajós, 7503 - Galpão 2, Módulo 24  Tarumã  Manaus/Amazonas</t>
  </si>
  <si>
    <t>Engenheiro Coutinho</t>
  </si>
  <si>
    <t>Pascoal Auto Center Reparação de Veículos Automotores LTDA</t>
  </si>
  <si>
    <t>40620070000167</t>
  </si>
  <si>
    <t>Avenida Domingos Jorge Velho, 018  Dom Pedro I  Manaus/Amazonas</t>
  </si>
  <si>
    <t>Condomínio Manauara Shopping</t>
  </si>
  <si>
    <t>10.575.844/0001-14</t>
  </si>
  <si>
    <t>Av. Mário Ypiranga, n° 1.300  Adrianópolis  Manaus/Amazonas</t>
  </si>
  <si>
    <t>Irritação nos olhos; Irritação no TRS</t>
  </si>
  <si>
    <t>15564 Oesa Comércio e Representações S.A</t>
  </si>
  <si>
    <t>81.611.931/0050-06</t>
  </si>
  <si>
    <t>Método OSHA 99</t>
  </si>
  <si>
    <t>Rua Desembargador Anizio Jobim, 1521  Colônia Antônio Aleixo  Manaus/Amazonas</t>
  </si>
  <si>
    <t xml:space="preserve">Vibra Energia S.A - Manaus </t>
  </si>
  <si>
    <t>Rua Pajurá, 171  Vila Buriti  Manaus/Amazonas</t>
  </si>
  <si>
    <t xml:space="preserve">Rogério R. da Silva - Purus Engenharia </t>
  </si>
  <si>
    <t>38192841000110</t>
  </si>
  <si>
    <t>Rua Rosa Branca, 60   São José Operário   Manaus/Amazonas</t>
  </si>
  <si>
    <t>OX da Amazônia Industria de Bicicletas S.A</t>
  </si>
  <si>
    <t>09365007000181</t>
  </si>
  <si>
    <t>86290-81-5</t>
  </si>
  <si>
    <t>Av, Torquato Tapajós, n 11600, Galpão 3 e 4  Santa Etelvina  Manaus/Amazonas</t>
  </si>
  <si>
    <t xml:space="preserve">Fort Flex Comercial LTDA </t>
  </si>
  <si>
    <t>03476067000357</t>
  </si>
  <si>
    <t>Av. Torquato Tapajós, 1160   Santa Etelvina   Manaus/Amazonas</t>
  </si>
  <si>
    <t>Condomínio Residencial Espanha</t>
  </si>
  <si>
    <t>14411713000152</t>
  </si>
  <si>
    <t>Rua Joaquim Uchoa, 01  - Conjunto Petrus  Aleixo  Manaus/Amazonas</t>
  </si>
  <si>
    <t>Aristolina S. de A. Neto LTDA</t>
  </si>
  <si>
    <t>54908559000143</t>
  </si>
  <si>
    <t>Rua Criciúma, 461   Alvorada  Manaus/Amazonas</t>
  </si>
  <si>
    <t>Éter monobutílico de dietileno glicol</t>
  </si>
  <si>
    <t xml:space="preserve">Condomínio Residencial Nossa Senhora de Fátima </t>
  </si>
  <si>
    <t>63678247000181</t>
  </si>
  <si>
    <t>Rua Paraíba, 670   Adrianópolis  Manaus/Amazonas</t>
  </si>
  <si>
    <t xml:space="preserve">Navegação Cunha LTDA - PVH </t>
  </si>
  <si>
    <t>04616801000218</t>
  </si>
  <si>
    <t>Estrada do Belmont, 11.509 - KM 04  Zona Rural   Porto Velho/Rondônia</t>
  </si>
  <si>
    <t xml:space="preserve">FortNorte Transportes de Valores e Vigilância LTDA </t>
  </si>
  <si>
    <t xml:space="preserve">Alex Ivan da Silva Maia </t>
  </si>
  <si>
    <t>34012154000115</t>
  </si>
  <si>
    <t>Danos no fígado;
Danos nos rins;
Efeitos hematológicos</t>
  </si>
  <si>
    <t xml:space="preserve">Alex Maia - AM Consultoria </t>
  </si>
  <si>
    <t xml:space="preserve">Método OSHA PV 2095 </t>
  </si>
  <si>
    <t xml:space="preserve">JH Hotelaria LTDA - Pousada Diplomata </t>
  </si>
  <si>
    <t>08033258000104</t>
  </si>
  <si>
    <t>Rua Barão do Rio Branco, 2  Flores  Manaus/Amazonas</t>
  </si>
  <si>
    <t>Ampla Engenharia e Sustentabilidade - B N da Silva Ambiental</t>
  </si>
  <si>
    <t>28832002000166</t>
  </si>
  <si>
    <t>Rua Gal. Fiuza de Castro, 1 - Sala 5  Colônia Santo Antônio  Manaus/Amazonas</t>
  </si>
  <si>
    <t>64742-49-0</t>
  </si>
  <si>
    <t>Hospital de Guarnição de Tabatinga</t>
  </si>
  <si>
    <t>09623258000119</t>
  </si>
  <si>
    <t>Av. Da Amizade n° 887   Centro  Manaus/Amazonas</t>
  </si>
  <si>
    <t xml:space="preserve">Thoten PAC - Indústria, Comércio, Importação e Exportação LTDA </t>
  </si>
  <si>
    <t>04537843000182</t>
  </si>
  <si>
    <t>Rua Waldemir Cordeiro, 817   Alvorada   Manaus/Amazonas</t>
  </si>
  <si>
    <t>Corporativo Socioambiental.</t>
  </si>
  <si>
    <t>Corporativo Socioambiental..</t>
  </si>
  <si>
    <t>Cód. e-Social: 01.19.035</t>
  </si>
  <si>
    <t>ITAM - Indústria de Transformadores Amazonas LTDA</t>
  </si>
  <si>
    <t>15.815.491/0001-04</t>
  </si>
  <si>
    <t>Recofarma Indústria do Amazonas LTDA</t>
  </si>
  <si>
    <t>61454393000602</t>
  </si>
  <si>
    <t>Av. Buriti, n° 190  Distrito Ibdustrial  Manaus/Amazonas</t>
  </si>
  <si>
    <t>Irritações no TRS; Irritações nos olhos; Danos nos rins (nefrotoxicidade); Comprometimento do SNC; Ototoxicidade</t>
  </si>
  <si>
    <t>Britânia Componentes Eletrônicos LTDA  - BRIC 352</t>
  </si>
  <si>
    <t>13699433000200</t>
  </si>
  <si>
    <t>Rua Palmeira do Miriti, 287  Gilberto Mestrinho   Manaus/Amazonas</t>
  </si>
  <si>
    <t>Britânia Componentes Eletrônicos LTDA  - BRIC 353</t>
  </si>
  <si>
    <t>13699433000390</t>
  </si>
  <si>
    <t>Rua Palmeira do Miriti, 89  Gilberto Mestrinho   Manaus/Amazonas</t>
  </si>
  <si>
    <t>Philco Eletronicos S.A</t>
  </si>
  <si>
    <t>SJL Soares - Treinamentos e Programas Ocupacionais</t>
  </si>
  <si>
    <t>39739344000152</t>
  </si>
  <si>
    <t>Jéssica Piotroski Alves</t>
  </si>
  <si>
    <t>123-31-9</t>
  </si>
  <si>
    <t>051.923.973-32</t>
  </si>
  <si>
    <t>Rua José Farias n° 16   Tancredo Neves  Manaus/Amazonas</t>
  </si>
  <si>
    <t>Konpax Construções LTDA</t>
  </si>
  <si>
    <t>11655258/000223</t>
  </si>
  <si>
    <t>Avenida André Araújo, 2721 - Parque Morada do Sol   Aleixo  Manaus/Amazonas</t>
  </si>
  <si>
    <t>Ponta Negra Administração e Empreendimentos Imobiliários LTDA</t>
  </si>
  <si>
    <t>04560769000115</t>
  </si>
  <si>
    <t>Rua Comendador Gutemberg Barbosa, 0 - Lote 06  Ponta Negra  Manaus/Amazonas</t>
  </si>
  <si>
    <t>David Barbosa de Alencar</t>
  </si>
  <si>
    <t>708.715.232-72</t>
  </si>
  <si>
    <t>RLX Fluorochemical Importadora e Exportadora LTDA</t>
  </si>
  <si>
    <t>07312248000307</t>
  </si>
  <si>
    <t>Av. Abiurana, 450 - Bloco C1  Distrito Industrial   Manaus/Amazonas</t>
  </si>
  <si>
    <t>Videolar Innova S.A (Abiurana)</t>
  </si>
  <si>
    <t>04229761000766</t>
  </si>
  <si>
    <t>Avenida Abiurana, 1616  Distrito Industrial  Manaus/Amazonas</t>
  </si>
  <si>
    <t xml:space="preserve">LAV Norte Lavanderia LTDA </t>
  </si>
  <si>
    <t>13452690000323</t>
  </si>
  <si>
    <t>Avenida A, S/N - Quadra e Lote 30  Cidade Industrial Norte  Timon/Maranhão</t>
  </si>
  <si>
    <t>Vital Comercio, Locação e Serviços LTDA</t>
  </si>
  <si>
    <t>04950759000277</t>
  </si>
  <si>
    <t>Ramal Cipó Ambe, n° 100 - Sala B  Sítio Vista Alegre  Altamira/Pará</t>
  </si>
  <si>
    <t>LIASEVEN Soluções LTDA</t>
  </si>
  <si>
    <t>32.812.485/0001-04</t>
  </si>
  <si>
    <t>Rua Marcílio Dias n° 283 - Sala LB 08  - Sala LB 08   Centro  Manaus/Amazonas</t>
  </si>
  <si>
    <t>The Sun Condominium</t>
  </si>
  <si>
    <t>13540806000114</t>
  </si>
  <si>
    <t>Av. Maneca Marques, n° 177  Parque 10 de Novembro  Manaus/Amazonas</t>
  </si>
  <si>
    <t>E da Silva Bronzi LTDA - Instituto Brasileiro de Ensino do Norte</t>
  </si>
  <si>
    <t>08742358000100</t>
  </si>
  <si>
    <t>Rua Manoel Marques de Souza, 214 - CJ C BRANCO  Parque Dez  Manaus/Amazonas</t>
  </si>
  <si>
    <t>Tutiplast Indústria e Comércio LTDA - Filial</t>
  </si>
  <si>
    <t>Rua Balata, 244  Distrito Industrial  Manaus/Amazonas</t>
  </si>
  <si>
    <t>Instrumental Técnico Ltda</t>
  </si>
  <si>
    <t>0000000000000000000</t>
  </si>
  <si>
    <t>Companhia Energetica Candeias</t>
  </si>
  <si>
    <t>10508162000199</t>
  </si>
  <si>
    <t>V Matoim, s/n°  Distrito Industrial  Candeias/Bahia</t>
  </si>
  <si>
    <t>15699 BYD Indústria de Baterias LTDA</t>
  </si>
  <si>
    <t>27956445000104</t>
  </si>
  <si>
    <t>Rua Içá, 515   Distrito Industrial I  Manaus/Amazonas</t>
  </si>
  <si>
    <t xml:space="preserve">Ardagh Indústria de Embalagens Metálicas do Brasil LTDA </t>
  </si>
  <si>
    <t>27814911000109</t>
  </si>
  <si>
    <t>Avenida do Turismo, 13.520 - Galpão 01 - Módulos 1 e 2  Tarumã  Manaus/Amazonas</t>
  </si>
  <si>
    <t>BP Serviços de Esterilização SPE S.A´- BP CME 28 de Agosto</t>
  </si>
  <si>
    <t>21821773000451</t>
  </si>
  <si>
    <t>Avenida Mário Ypiranga, 0 - Andar 1  Nossa Senhora das Graças  Manaus/Amazonas</t>
  </si>
  <si>
    <t xml:space="preserve">Gilmara Eva Nogueira dos Santos - GD Engenharia </t>
  </si>
  <si>
    <t>39686222000145</t>
  </si>
  <si>
    <t>Rua Visconde de Ouro Preto, 21  Flores  Manaus/Amazonas</t>
  </si>
  <si>
    <t>Eivissa Serviços Médicos</t>
  </si>
  <si>
    <t>27023634000116</t>
  </si>
  <si>
    <t>Rua Buenos Aires, n° 68 - Sala 1201 - 12° Andar  Centro  Rio de Janeiro/Rio de Janeiro</t>
  </si>
  <si>
    <t xml:space="preserve">Edivaldo Lopes Barbosa </t>
  </si>
  <si>
    <t>877.339.862-49</t>
  </si>
  <si>
    <t>Clínica Mais Master Saúde LTDA</t>
  </si>
  <si>
    <t>55373455000144</t>
  </si>
  <si>
    <t>JF Organização Trading LTDA</t>
  </si>
  <si>
    <t>31019669000159</t>
  </si>
  <si>
    <t>Rua José Romão, S/n°   São José Operário  Manaus/Amazonas</t>
  </si>
  <si>
    <t>Imbau Empreendimentos Imobiliarios Ltda - SCP Sitio Tilapia</t>
  </si>
  <si>
    <t>40726381000105</t>
  </si>
  <si>
    <t>Matadouro e Frigorífico Cristiano D'Ângelo LTDA</t>
  </si>
  <si>
    <t>Cotecna Serviços LTDA</t>
  </si>
  <si>
    <t>Av 7 de setembro, n° 1104  Iracy  Itacoatiara/Amazonas</t>
  </si>
  <si>
    <t>Concessionária dos Aeroportos da Amazônia S.A - CNPJ 42548035000371 - Insc. Est. Isento - Insc. Suframa 200424181 - Insc Munic 9097283 - End: Av. Plácido de Castro, S/n° Vila Aeroporto, CEP 69.923-900 Rio Branco / AC</t>
  </si>
  <si>
    <t>42548035000371</t>
  </si>
  <si>
    <t>Av. Plácido de Castro s/n°  Vila Aeroporto  Manaus/Amazonas</t>
  </si>
  <si>
    <t>Conin Construção e Montagem LTDA</t>
  </si>
  <si>
    <t>00712779000178</t>
  </si>
  <si>
    <t>R. Leopoldo Carpinteiro Péres, 1218  Petrópolis  Manaus/Amazonas</t>
  </si>
  <si>
    <t>Criativa Serviços Técnicos LTDA</t>
  </si>
  <si>
    <t>MJ Veículos LTDA</t>
  </si>
  <si>
    <t>04010407000150</t>
  </si>
  <si>
    <t>Rua Orlândia, 114  Aleixo  Manaus/Amazonas</t>
  </si>
  <si>
    <t>I3M Engenharia LTDA</t>
  </si>
  <si>
    <t>Mara Ferreira</t>
  </si>
  <si>
    <t>15765 Cesar - Centro de Estudos e Sistemas Avançados de Recife</t>
  </si>
  <si>
    <t>01203327000638</t>
  </si>
  <si>
    <t>Rua Belo Horizonte, 19 - Sala 810 - 817 (8º andar) Sala 1701 e 1708 (17° andar)  Adrianopólis  Manaus/Amazonas</t>
  </si>
  <si>
    <t>Sabores do Amazonas Restaurante LTDA</t>
  </si>
  <si>
    <t>55624903000136</t>
  </si>
  <si>
    <t>Rua Rio Ituxi, 70  Nossa Senhora das Graças  Manaus/Amazonas</t>
  </si>
  <si>
    <t>Harman da Amazonia Industria Eletronica e Participações LTDA</t>
  </si>
  <si>
    <t>07703111000294</t>
  </si>
  <si>
    <t>Av. Cupiuba, nº 401  - Lote 3 77/1- Galpão B  Distrito Industrial  Manaus/Amazonas</t>
  </si>
  <si>
    <t>Casa dos Geradores Comércio Serviços Importação e Exportação LTDA</t>
  </si>
  <si>
    <t>GIGA Industria E Comercio de Produtos de Segurança Eletronica S/A</t>
  </si>
  <si>
    <t>Quantum Tech</t>
  </si>
  <si>
    <t>Laboratório Reunidos da Amazônia S/A</t>
  </si>
  <si>
    <t>04528386000160</t>
  </si>
  <si>
    <t>Rua Montesenhor Coutinho, 490  Centro  Manaus/Amazonas</t>
  </si>
  <si>
    <t>DH3 Engenharia - DH Cavalcante Neto LTDA</t>
  </si>
  <si>
    <t>34619.69000107</t>
  </si>
  <si>
    <t>Rua João Gomes, 41   Novo Aleixo  Manaus/Amazonas</t>
  </si>
  <si>
    <t>GIGA Industriaa e comércio de  produtos de segurança eletrônica S.A</t>
  </si>
  <si>
    <t>Pablo M Vieira</t>
  </si>
  <si>
    <t>09674579478</t>
  </si>
  <si>
    <t>Rua Barão de Jaceguai, n° 12 - Residencial Barão de Jaceguai  Flores  Manaus/Amazonas</t>
  </si>
  <si>
    <t>Megaclean Indústria e Comércio de Produtos Químicos LTDA</t>
  </si>
  <si>
    <t>32780411000133</t>
  </si>
  <si>
    <t>Ramal Cachoeira n° 1.009 - RM Francisca Mendes  Zona Rural  Rio Preto da Eva/Amazonas</t>
  </si>
  <si>
    <t>Direcional Santo Antônio Empreendimentos Imobiliários LTDA</t>
  </si>
  <si>
    <t>12082405000367</t>
  </si>
  <si>
    <t xml:space="preserve"> Rua Enoc – Via de Acesso Amazon Boulevard  Da Paz  Manaus/Amazonas</t>
  </si>
  <si>
    <t>Indústria de Argamassas da Amazônia LTDA</t>
  </si>
  <si>
    <t>10294358000128</t>
  </si>
  <si>
    <t>Rua Pajurazinho n° 2593  Distrito Industrial II  Manaus/Amazonas</t>
  </si>
  <si>
    <t>TUPÃ INDÚSTRIA DE MOTOS LTDA</t>
  </si>
  <si>
    <t>Maverick Purificadora de Metais LTDA</t>
  </si>
  <si>
    <t>47024762000191</t>
  </si>
  <si>
    <t>Maquine Manutenção Elétrica ltda</t>
  </si>
  <si>
    <t>29118694/000148</t>
  </si>
  <si>
    <t>Rua Rio Tarauaca, n° 20 - Sala 07 Quadra 53 Conj. Vieiralves  Nossa Senhora das Graças  Manaus/Amazonas</t>
  </si>
  <si>
    <t>City Plastik Indústria e Comércio LTDA</t>
  </si>
  <si>
    <t>15776693000186</t>
  </si>
  <si>
    <t>Mega Work do Brasil Construtora e Locadora LTDA</t>
  </si>
  <si>
    <t>08902296000148</t>
  </si>
  <si>
    <t>Rua Alfredo Pujol, 1190  Santana  São Paulo/São Paulo</t>
  </si>
  <si>
    <t>RD Incorporação Imobiliária LTDA - RD INCORP</t>
  </si>
  <si>
    <t>07419298000118</t>
  </si>
  <si>
    <t>Fácil Segurança e Medicina do Trabalho LTDA - Ocupacional Safety</t>
  </si>
  <si>
    <t>37638280000178</t>
  </si>
  <si>
    <t>Rua Gonçalves Dias, 145  Centro  Manaus/Amazonas</t>
  </si>
  <si>
    <t>Gerselany Aquino Pimentel</t>
  </si>
  <si>
    <t>44157711220</t>
  </si>
  <si>
    <t xml:space="preserve">Concessionária dos Aeroportos da Amazônia S/A - Boa Vista </t>
  </si>
  <si>
    <t>42548035000703</t>
  </si>
  <si>
    <t>Avenida Capitão Ene Garcez   Aeroporto  Manaus/Amazonas</t>
  </si>
  <si>
    <t xml:space="preserve">Palmaflan Energia SPE S.A </t>
  </si>
  <si>
    <t>34238198000168</t>
  </si>
  <si>
    <t>Rodovia BR 174, KM 213  Zona Rural  Rorainópolis/Roraima</t>
  </si>
  <si>
    <t>Alfatec Indústria e Comércio LTDA</t>
  </si>
  <si>
    <t xml:space="preserve">Grafeno Tecnologia Ambiental </t>
  </si>
  <si>
    <t>UNISSEG - Saúde, Segurança e Meio Ambiente</t>
  </si>
  <si>
    <t>30338934000107</t>
  </si>
  <si>
    <t>Rua Jussari, 11  Lírio do Vale   Manaus/Amazonas</t>
  </si>
  <si>
    <t>Sintezis Analises e Tecnologia Ambiental</t>
  </si>
  <si>
    <t xml:space="preserve">Pronto Cargo do Brasil LTDA </t>
  </si>
  <si>
    <t>Daniel Santana Ramos</t>
  </si>
  <si>
    <t>00660525216</t>
  </si>
  <si>
    <t>Matheus Mota Monteiro</t>
  </si>
  <si>
    <t>22874834000169</t>
  </si>
  <si>
    <t>Rua Miguel Ribas nº 1568 - Letra A  Santo Antônio  Manaus/Amazonas</t>
  </si>
  <si>
    <t>84582973000106</t>
  </si>
  <si>
    <t>Av. Mandii n° 1.261  Distrito Industrial I  Manaus/Amazonas</t>
  </si>
  <si>
    <t>Agente Químico</t>
  </si>
  <si>
    <t>Amostrador</t>
  </si>
  <si>
    <t>Metodologia de Amostragem</t>
  </si>
  <si>
    <t>N. C.</t>
  </si>
  <si>
    <t>Irritação no TRS e olhos.</t>
  </si>
  <si>
    <t>Etileno</t>
  </si>
  <si>
    <t>TSG</t>
  </si>
  <si>
    <t>EPA 8315</t>
  </si>
  <si>
    <t xml:space="preserve">30 - 500 </t>
  </si>
  <si>
    <t>Acetamida</t>
  </si>
  <si>
    <t>Tubo de Anasorb 747</t>
  </si>
  <si>
    <t>Método NIOSH 1614</t>
  </si>
  <si>
    <t>0,05 - 0,15</t>
  </si>
  <si>
    <t>1310-58-3</t>
  </si>
  <si>
    <t>Acetato de benzila</t>
  </si>
  <si>
    <t>Etileno Glicol</t>
  </si>
  <si>
    <t>8,8</t>
  </si>
  <si>
    <t>Método NIOSH 5523</t>
  </si>
  <si>
    <t>0,5 - 2</t>
  </si>
  <si>
    <t>5 - 60</t>
  </si>
  <si>
    <t>1310-73-2</t>
  </si>
  <si>
    <t>Fenol</t>
  </si>
  <si>
    <t>Irritação TRS; dano pulmonar; compr SNC</t>
  </si>
  <si>
    <t>Tubo de resina XAD-7</t>
  </si>
  <si>
    <t xml:space="preserve">1 - 24 </t>
  </si>
  <si>
    <t>1305-62-0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</si>
  <si>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</si>
  <si>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TC</t>
  </si>
  <si>
    <t>NIOSH 1450</t>
  </si>
  <si>
    <t xml:space="preserve"> 1 - 10 </t>
  </si>
  <si>
    <t>Acetato de sec-butila</t>
  </si>
  <si>
    <t>128-37-0</t>
  </si>
  <si>
    <t xml:space="preserve">Fluoretos 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</si>
  <si>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</si>
  <si>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Danos ossos; fluorose</t>
  </si>
  <si>
    <t>12 a 800</t>
  </si>
  <si>
    <t>Acetato de terc-butila</t>
  </si>
  <si>
    <t>7553-56-2</t>
  </si>
  <si>
    <t>Formaldeído</t>
  </si>
  <si>
    <t>Irritação olhos e TRS; Cancêr TRS.</t>
  </si>
  <si>
    <t>Método NIOSH 2016</t>
  </si>
  <si>
    <t>0,03 - 1,5</t>
  </si>
  <si>
    <t>Acetato de 2-butoxietila</t>
  </si>
  <si>
    <t>1 a 15</t>
  </si>
  <si>
    <t>78-59-1</t>
  </si>
  <si>
    <t>17,6</t>
  </si>
  <si>
    <t>Fosfina</t>
  </si>
  <si>
    <t>Irritação trato respiratório; edema pulmonar</t>
  </si>
  <si>
    <t>Filtro de Fibra de Vidro</t>
  </si>
  <si>
    <t>Fósforo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</si>
  <si>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</si>
  <si>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Irritação TRI, TRS e GI; dano fígado</t>
  </si>
  <si>
    <t>Tubo de tenax</t>
  </si>
  <si>
    <t>Método NIOSH 7905</t>
  </si>
  <si>
    <t>NIOSH 1457</t>
  </si>
  <si>
    <t>78-83-1</t>
  </si>
  <si>
    <t>&lt;10</t>
  </si>
  <si>
    <t>Fumos de Cera de Parafina</t>
  </si>
  <si>
    <t>mg/m3</t>
  </si>
  <si>
    <t>Irritação no TRS; Náusea.</t>
  </si>
  <si>
    <t>Método OSHA PV 2047</t>
  </si>
  <si>
    <t>7439-96-5</t>
  </si>
  <si>
    <t>Gasolina</t>
  </si>
  <si>
    <t>Acetato de sec-hexila</t>
  </si>
  <si>
    <t>Irritação olhos e TRS; compr SNC</t>
  </si>
  <si>
    <t>Método NIOSH 1550</t>
  </si>
  <si>
    <t>1,3 - 20</t>
  </si>
  <si>
    <t>&lt; 0,046</t>
  </si>
  <si>
    <t>7439-97-6</t>
  </si>
  <si>
    <t>Heptano</t>
  </si>
  <si>
    <t>Compr SNC; Irritação TRS</t>
  </si>
  <si>
    <t>&lt; 0,006</t>
  </si>
  <si>
    <t>74-82-8</t>
  </si>
  <si>
    <t>Hexano</t>
  </si>
  <si>
    <t>Neuropatia periférica</t>
  </si>
  <si>
    <t>Irritação nos olhos e no TRS; Comprometimento SNC.</t>
  </si>
  <si>
    <t>NIOSH 1454</t>
  </si>
  <si>
    <t>1,5 - 20</t>
  </si>
  <si>
    <t>0,1 - 9</t>
  </si>
  <si>
    <t>67-56-1</t>
  </si>
  <si>
    <t>Hidroquinona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</si>
  <si>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</si>
  <si>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Dor de cabeça; tontura; náusea; dano olhos (degeneração das células ganglionares da retina).</t>
  </si>
  <si>
    <t>NIOSH 1458</t>
  </si>
  <si>
    <t>0,2 - 10</t>
  </si>
  <si>
    <t>Acetato de 2-metoxietila</t>
  </si>
  <si>
    <t>Irritação olhos; dano ocular</t>
  </si>
  <si>
    <t>Método NIOSH 5004</t>
  </si>
  <si>
    <t>80-62-6</t>
  </si>
  <si>
    <t>Efeito hematológico; Efeito reprodutivo.</t>
  </si>
  <si>
    <t>Hidróxido de Cálcio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</si>
  <si>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</si>
  <si>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Irr olhos, pele &amp; TRS</t>
  </si>
  <si>
    <t>Acetato de n-propila</t>
  </si>
  <si>
    <t>Método PA 7.2-19</t>
  </si>
  <si>
    <t>45 a 1000</t>
  </si>
  <si>
    <t>78-93-3</t>
  </si>
  <si>
    <t>Hidróxido de potássio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</si>
  <si>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</si>
  <si>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Acetato de pentila</t>
  </si>
  <si>
    <t>108-10-1</t>
  </si>
  <si>
    <t>Acetato de vinila</t>
  </si>
  <si>
    <t>Hidróxido de sódio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</si>
  <si>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</si>
  <si>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13,2</t>
  </si>
  <si>
    <t>Irritação nos olhos, pele e TRS; Comprometimento do SNC.</t>
  </si>
  <si>
    <t xml:space="preserve"> NIOSH 1453</t>
  </si>
  <si>
    <t>Acetileno</t>
  </si>
  <si>
    <t>Acetofenona</t>
  </si>
  <si>
    <t>Irritação no TRS, comprometimento do SNC, aborto.</t>
  </si>
  <si>
    <t>Tenax GC</t>
  </si>
  <si>
    <t>OSHA PV 2003</t>
  </si>
  <si>
    <t>108-87-2</t>
  </si>
  <si>
    <t>Hidroxitolueno Butilado</t>
  </si>
  <si>
    <t>Irritação no TRS, comprometimento do SNC, efeito hematológico).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</si>
  <si>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</si>
  <si>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NIOSH 1300</t>
  </si>
  <si>
    <t>Irritação no TRS</t>
  </si>
  <si>
    <t>Tubo de XAD-7 de 200/100 mg com filtro de fibra de vidro embutido</t>
  </si>
  <si>
    <t>Método OSHA 2108</t>
  </si>
  <si>
    <t>Acetato cianidrina</t>
  </si>
  <si>
    <t>98-83-9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</si>
  <si>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</si>
  <si>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4,4</t>
  </si>
  <si>
    <t>Iodo</t>
  </si>
  <si>
    <t>Cód. e-Social: 01.13.001</t>
  </si>
  <si>
    <t>Irritação no TRS; dor de cabeça; hipoxia/cianose.</t>
  </si>
  <si>
    <t>pmm</t>
  </si>
  <si>
    <t>Hipotireoidismo;
Efeitos maternos reprodutivos;
Danos fetal e neonatal</t>
  </si>
  <si>
    <t>Método NIOSH 6005</t>
  </si>
  <si>
    <t>&lt;0,005</t>
  </si>
  <si>
    <t>630-08-0</t>
  </si>
  <si>
    <t>Isobutanol 
(Álcool Isobutílico)</t>
  </si>
  <si>
    <t>Irritação no TRS inferior.</t>
  </si>
  <si>
    <t>Irritações nos olhos;
Irritações na pele</t>
  </si>
  <si>
    <t>NIOSH 1606</t>
  </si>
  <si>
    <t>3 - 25</t>
  </si>
  <si>
    <t>7439-98-7</t>
  </si>
  <si>
    <t>Isoforona</t>
  </si>
  <si>
    <t>Irritação no TRS e olhos, comprometimento pulmonar.</t>
  </si>
  <si>
    <t>Irritação olhos e TRS; compr SNC; mal-estar; fadiga</t>
  </si>
  <si>
    <t>NIOSH 1603</t>
  </si>
  <si>
    <t>Método OSHA 7</t>
  </si>
  <si>
    <t>0,2 - 1</t>
  </si>
  <si>
    <t>0,01 - 1</t>
  </si>
  <si>
    <t>2 - 25</t>
  </si>
  <si>
    <t>15 - 300</t>
  </si>
  <si>
    <t>&lt;0,014</t>
  </si>
  <si>
    <t>&lt; 0,014</t>
  </si>
  <si>
    <t>Ácido acetilsalicílico</t>
  </si>
  <si>
    <t>Isopropanol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</si>
  <si>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</si>
  <si>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na pele e olhos.</t>
  </si>
  <si>
    <t xml:space="preserve">K7 - </t>
  </si>
  <si>
    <t>NIOSH 0500</t>
  </si>
  <si>
    <t>Gravimetria</t>
  </si>
  <si>
    <t>1 - 400</t>
  </si>
  <si>
    <t>142-82-5</t>
  </si>
  <si>
    <t>Ácido acrílico</t>
  </si>
  <si>
    <t>Malation</t>
  </si>
  <si>
    <t>1,76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</si>
  <si>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</si>
  <si>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Tubo Anasorb</t>
  </si>
  <si>
    <t>Inib colinesterase</t>
  </si>
  <si>
    <t>OSHA 2005</t>
  </si>
  <si>
    <t>≤0,1</t>
  </si>
  <si>
    <t>1,5 - 24</t>
  </si>
  <si>
    <t>Ácido adípico</t>
  </si>
  <si>
    <t>110-54-3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</si>
  <si>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</si>
  <si>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no TRS; comprometimento no SNA.</t>
  </si>
  <si>
    <t>Tubo de XAD-2</t>
  </si>
  <si>
    <t>Cód. e-Social: 01.14.001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</si>
  <si>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</si>
  <si>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OSHA SLTC In-House File</t>
  </si>
  <si>
    <t>≤100</t>
  </si>
  <si>
    <t>Compr SNC</t>
  </si>
  <si>
    <t>Ácido bromídrico</t>
  </si>
  <si>
    <t>71-23-8</t>
  </si>
  <si>
    <t>K7</t>
  </si>
  <si>
    <t>NIOSH 7907</t>
  </si>
  <si>
    <t>Mercúrio</t>
  </si>
  <si>
    <t>Cód. e-Social: 01.15.001</t>
  </si>
  <si>
    <t>30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</si>
  <si>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</si>
  <si>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Ácido cianídrico</t>
  </si>
  <si>
    <t>Compr SNC e dano rins</t>
  </si>
  <si>
    <t>Tubo de Hopcalite</t>
  </si>
  <si>
    <t>Método NIOSH 6009</t>
  </si>
  <si>
    <t>0,15 - 0,25</t>
  </si>
  <si>
    <t>2 - 100</t>
  </si>
  <si>
    <t>109-66-0</t>
  </si>
  <si>
    <t>Irritação TRS; dor de cabeça; náusea; efe tireoide</t>
  </si>
  <si>
    <t>Metacrilato de Metila</t>
  </si>
  <si>
    <t>Irritação no TRS; Irritação nos olhos; Efeitos sobre o peso do corpo; Edema pulmonar.</t>
  </si>
  <si>
    <t>Tubo de Resina Xad</t>
  </si>
  <si>
    <t>02.09.031</t>
  </si>
  <si>
    <t>Método NIOSH 2537</t>
  </si>
  <si>
    <t>1 - 8</t>
  </si>
  <si>
    <t>111-65-9</t>
  </si>
  <si>
    <t>Metano</t>
  </si>
  <si>
    <t>OSHA ID165-SG / 
OSHA ID-174-SG</t>
  </si>
  <si>
    <t>Cromatografia de Íons</t>
  </si>
  <si>
    <t>7,5</t>
  </si>
  <si>
    <t>Ácido 2-cloropropiônico</t>
  </si>
  <si>
    <t>1333-86-4</t>
  </si>
  <si>
    <t>0,088</t>
  </si>
  <si>
    <t>Metanol</t>
  </si>
  <si>
    <t>Dor de cabeça; dano olhos; tonturas; náusea</t>
  </si>
  <si>
    <t>Método OSHA 91</t>
  </si>
  <si>
    <t>Ácido dicloroacético</t>
  </si>
  <si>
    <t>7440-02-0</t>
  </si>
  <si>
    <t>0,44</t>
  </si>
  <si>
    <t>Metil etil cetona</t>
  </si>
  <si>
    <t>Irritação olhos e TRS; dano testicular</t>
  </si>
  <si>
    <t>Irritações no TRS;
Dano embrio/fetal; Dor de cabeça; Tontura</t>
  </si>
  <si>
    <t xml:space="preserve">Método NIOSH 2500 </t>
  </si>
  <si>
    <t>Ácido 2,2-dicloropropiônico</t>
  </si>
  <si>
    <t>0,25 - 12</t>
  </si>
  <si>
    <t>101002-43-9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</si>
  <si>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</si>
  <si>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Metil isobutil cetona</t>
  </si>
  <si>
    <t>Irritação TRS; tontura; dor de cabeça</t>
  </si>
  <si>
    <t>Ácido 2-etil hexanoico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</si>
  <si>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</si>
  <si>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72623-86-0</t>
  </si>
  <si>
    <t>Metilciclohexano</t>
  </si>
  <si>
    <t>Efe teratogênico</t>
  </si>
  <si>
    <t>Danos nos Rins</t>
  </si>
  <si>
    <t>10102-43-9</t>
  </si>
  <si>
    <t>Irritação TRS  e TRI; Irritação olhos e pele; fluorose</t>
  </si>
  <si>
    <t>NIOSH 7902</t>
  </si>
  <si>
    <t>Molibdênio</t>
  </si>
  <si>
    <t>Íons Específicos</t>
  </si>
  <si>
    <t>1 - 120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</si>
  <si>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</si>
  <si>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Irritações no TRI</t>
  </si>
  <si>
    <t xml:space="preserve">Método NIOSH 7303 </t>
  </si>
  <si>
    <t>408 - 960</t>
  </si>
  <si>
    <t>1305-78-8</t>
  </si>
  <si>
    <t>NIOSH 2011</t>
  </si>
  <si>
    <t>Monoetanolamina</t>
  </si>
  <si>
    <t>02.12.003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</si>
  <si>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</si>
  <si>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 xml:space="preserve">Irritações Pele;
Irritações nos olhos
</t>
  </si>
  <si>
    <t>Tubo de Resina XAD-2</t>
  </si>
  <si>
    <t>Método OSHA PV 2111</t>
  </si>
  <si>
    <t>75-21-8</t>
  </si>
  <si>
    <t xml:space="preserve">0,2 L/ min </t>
  </si>
  <si>
    <t xml:space="preserve">96L </t>
  </si>
  <si>
    <t>Ácido metacrílico</t>
  </si>
  <si>
    <t>Monóxido de Carbono</t>
  </si>
  <si>
    <t>Irritação olhos e pele</t>
  </si>
  <si>
    <t>Carboxihemoglobinemia</t>
  </si>
  <si>
    <t>Método OSHA ID-210</t>
  </si>
  <si>
    <t>1309-48-4</t>
  </si>
  <si>
    <t>Ácido monocloroacético</t>
  </si>
  <si>
    <t>Nafta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</si>
  <si>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</si>
  <si>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0,02 L/min (para TWA), 0,2 L/min (para STEL)</t>
  </si>
  <si>
    <t>máximo de 10 L para TWA, 3 L para STEL</t>
  </si>
  <si>
    <t>10024-97-2</t>
  </si>
  <si>
    <t>n-Butanol</t>
  </si>
  <si>
    <t xml:space="preserve">0,02 - 0,2 </t>
  </si>
  <si>
    <t>1314-13-2</t>
  </si>
  <si>
    <t>OSHA ID165-SG / OSHA ID-174-SG</t>
  </si>
  <si>
    <t>Negro de fumo</t>
  </si>
  <si>
    <t>Cód. e-Social: 01.07.001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</si>
  <si>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</si>
  <si>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Ácido oxálico</t>
  </si>
  <si>
    <t>3,5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</si>
  <si>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</si>
  <si>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Bronquite</t>
  </si>
  <si>
    <t>0,88</t>
  </si>
  <si>
    <t>Filtro de PVC</t>
  </si>
  <si>
    <t>Método NIOSH 5000</t>
  </si>
  <si>
    <t>&lt; 0,030</t>
  </si>
  <si>
    <t>OSHA PV2115</t>
  </si>
  <si>
    <t>Cromatografia de íons</t>
  </si>
  <si>
    <t>máxima de 1 L/min</t>
  </si>
  <si>
    <t>Recomendado volume máximo 100L</t>
  </si>
  <si>
    <t>Anexo B - TLV</t>
  </si>
  <si>
    <t>n-Heptano</t>
  </si>
  <si>
    <t>IT 10-220</t>
  </si>
  <si>
    <t>Cromatografia Líquida de
Alta Resoluçao com Detector de UV</t>
  </si>
  <si>
    <t>1 L/min</t>
  </si>
  <si>
    <t>máxima de 30 L</t>
  </si>
  <si>
    <t>Ácido pícrico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</si>
  <si>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</si>
  <si>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Sens pele; dermatite; Irritação olhos</t>
  </si>
  <si>
    <t>n-Hexano</t>
  </si>
  <si>
    <t>Cód. e-Social: 01.19.005</t>
  </si>
  <si>
    <t>Comprometimento do SNC; Neuropatia periférica; Irritações nos olhos</t>
  </si>
  <si>
    <t>Ácido propiônico</t>
  </si>
  <si>
    <t>Níquel</t>
  </si>
  <si>
    <t>Cód. e-Social: 01.16.001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</si>
  <si>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</si>
  <si>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Dermatite; pneumoconiose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</si>
  <si>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</si>
  <si>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k7</t>
  </si>
  <si>
    <t>OSHA ID-113 modificado</t>
  </si>
  <si>
    <t>1,6 L/min</t>
  </si>
  <si>
    <t>480 L</t>
  </si>
  <si>
    <t>Nitrogênio - Óxido</t>
  </si>
  <si>
    <t>Ácido tereftálico</t>
  </si>
  <si>
    <t>Nitrogênio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</si>
  <si>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</si>
  <si>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3 - 24</t>
  </si>
  <si>
    <t>n-Octano</t>
  </si>
  <si>
    <t>Ácido tioglicólico</t>
  </si>
  <si>
    <t>Irr TRS</t>
  </si>
  <si>
    <t>127-18-4</t>
  </si>
  <si>
    <t>n-Pentano</t>
  </si>
  <si>
    <t>Ácido tricloroacético</t>
  </si>
  <si>
    <t>Narcose; Irritação trato resp</t>
  </si>
  <si>
    <t>7722-84-1</t>
  </si>
  <si>
    <t>n-Propanol</t>
  </si>
  <si>
    <t>Acrilamida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</si>
  <si>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</si>
  <si>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 xml:space="preserve">0,01 - 0,2 </t>
  </si>
  <si>
    <t>SNC compr</t>
  </si>
  <si>
    <t>78-78-4</t>
  </si>
  <si>
    <t>Óleo Mineral</t>
  </si>
  <si>
    <t>Acrilato de n-butila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</si>
  <si>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</si>
  <si>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Irritação</t>
  </si>
  <si>
    <t>Óleo mineral</t>
  </si>
  <si>
    <t>Acrilato de etila</t>
  </si>
  <si>
    <t>Irritação olhos, TRS e GI; compr SNC; sem pele</t>
  </si>
  <si>
    <t>Filtro Fibra de vidro</t>
  </si>
  <si>
    <t>Acrilato de 2-hidroxipropila</t>
  </si>
  <si>
    <t xml:space="preserve">Método NIOSH 5026 </t>
  </si>
  <si>
    <t>48 - 960</t>
  </si>
  <si>
    <t>1314-62-1</t>
  </si>
  <si>
    <t>Acrilato de metila</t>
  </si>
  <si>
    <t>Irritação olhos, pele e TRS; dano olhos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</si>
  <si>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</si>
  <si>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Compr SNC; Irritação TRI</t>
  </si>
  <si>
    <t>&lt; 0,012</t>
  </si>
  <si>
    <t>110-86-1</t>
  </si>
  <si>
    <t>Acroleína</t>
  </si>
  <si>
    <t>Óxido de Etileno</t>
  </si>
  <si>
    <t>Cód. e-Social: 01.19.034</t>
  </si>
  <si>
    <t>Irritação TRS e olhos; edema pulm; enfisema pumonar</t>
  </si>
  <si>
    <t>Câncer; Comprometimento do sistema nervoso central</t>
  </si>
  <si>
    <t>Adiponitrila</t>
  </si>
  <si>
    <t>7440-22-4</t>
  </si>
  <si>
    <t>Irritação TRS e TRI</t>
  </si>
  <si>
    <t>Óxido de Magnésio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</si>
  <si>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</si>
  <si>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Trato respiratório superior;
Febre dos fumos metálicos</t>
  </si>
  <si>
    <t>Aguarrás Mineral</t>
  </si>
  <si>
    <t>7498-6</t>
  </si>
  <si>
    <t>Dano olhos, pele e rins; náusea; compr SNC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</si>
  <si>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</si>
  <si>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Alaclor</t>
  </si>
  <si>
    <t>Febre de fumos metálicos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</si>
  <si>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</si>
  <si>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Hemossiderose (fígado, baço e rins)</t>
  </si>
  <si>
    <t>8008-20-6</t>
  </si>
  <si>
    <t>Alcatrão de hulha</t>
  </si>
  <si>
    <t>Óxido Nítrico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</si>
  <si>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</si>
  <si>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0,176</t>
  </si>
  <si>
    <t>Óxido nítrico</t>
  </si>
  <si>
    <t>Hipoxia/cianose; form nitrosil-Hb; Irritação TRS</t>
  </si>
  <si>
    <t xml:space="preserve">Método NIOSH 6014 </t>
  </si>
  <si>
    <t>3 a 6</t>
  </si>
  <si>
    <t>78-92-2</t>
  </si>
  <si>
    <t>Álcool alílico</t>
  </si>
  <si>
    <t>Óxido Nitroso</t>
  </si>
  <si>
    <t>Óxido nitroso</t>
  </si>
  <si>
    <t>Compr SNC; efeitos hematológicos; dano embrio/fetal</t>
  </si>
  <si>
    <t>Irritação TRS e olhos</t>
  </si>
  <si>
    <t>7782-49-2</t>
  </si>
  <si>
    <t>Ozônio</t>
  </si>
  <si>
    <t>Efeitos na função pulmonar</t>
  </si>
  <si>
    <t>Método OSHA ID 214</t>
  </si>
  <si>
    <t>0,25 - 1,5</t>
  </si>
  <si>
    <t>90</t>
  </si>
  <si>
    <t>14808-60-7</t>
  </si>
  <si>
    <t>Partículas não especificadas de outra maneira (Inaláveis)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</si>
  <si>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</si>
  <si>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Pulmões</t>
  </si>
  <si>
    <t>IOM</t>
  </si>
  <si>
    <t>Método NIOSH 0500</t>
  </si>
  <si>
    <t>7783-06-4</t>
  </si>
  <si>
    <t>Partículas não especificadas de outra maneira (Respiráveis)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</si>
  <si>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</si>
  <si>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Método NIOSH 0600</t>
  </si>
  <si>
    <t>20 - 400</t>
  </si>
  <si>
    <t>7727-43-7</t>
  </si>
  <si>
    <t>n-butanol</t>
  </si>
  <si>
    <t>Partículas não especificadas de outra maneira (Vegetal)</t>
  </si>
  <si>
    <t>NIOSH 1401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</si>
  <si>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4</t>
    </r>
  </si>
  <si>
    <t>0,01 a 0,2</t>
  </si>
  <si>
    <t>1 a 10</t>
  </si>
  <si>
    <t>NIOSH 0600</t>
  </si>
  <si>
    <t>&lt; 0,031</t>
  </si>
  <si>
    <t>7440-28-0</t>
  </si>
  <si>
    <t>Pentano</t>
  </si>
  <si>
    <t>Narcose; Irritação no TRS.</t>
  </si>
  <si>
    <t>109-99-9</t>
  </si>
  <si>
    <t>Pentóxido de Vanádio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</si>
  <si>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</si>
  <si>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Álcool sec-butílico</t>
  </si>
  <si>
    <t>Irritações no trato respiratório superior;
Irritações no trato respiratório inferior</t>
  </si>
  <si>
    <t>2,0 para IOM</t>
  </si>
  <si>
    <t>Irritação TRS; compr SNC</t>
  </si>
  <si>
    <t>79-34-5</t>
  </si>
  <si>
    <t>Percloroetileno</t>
  </si>
  <si>
    <t>Álcool terc-butílico</t>
  </si>
  <si>
    <t xml:space="preserve">1 - 40 </t>
  </si>
  <si>
    <t>75-65-0</t>
  </si>
  <si>
    <t>Álcool furfurílico</t>
  </si>
  <si>
    <t>Peróxido de hidrogênio</t>
  </si>
  <si>
    <t>Método IT 10-449</t>
  </si>
  <si>
    <t>Álcool isoamílico</t>
  </si>
  <si>
    <t>108-88-3</t>
  </si>
  <si>
    <t>Piridina</t>
  </si>
  <si>
    <t>Irritação pele; dano fígado e rins</t>
  </si>
  <si>
    <t>Álcool isobutílico</t>
  </si>
  <si>
    <t>Método NIOSH 1613</t>
  </si>
  <si>
    <t>18 - 150</t>
  </si>
  <si>
    <t>102-71-6</t>
  </si>
  <si>
    <t>Poeira Respirável (Mineral)</t>
  </si>
  <si>
    <t>Cód. e-Social: 01.18.001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</si>
  <si>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</si>
  <si>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25551-13-7</t>
  </si>
  <si>
    <t>Poeira Total (Mineral)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</si>
  <si>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</si>
  <si>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Alcool Isobutanol</t>
  </si>
  <si>
    <t>7440-33-7</t>
  </si>
  <si>
    <t>Álcool isooctílico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</si>
  <si>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</si>
  <si>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Argíria</t>
  </si>
  <si>
    <t>250 a 2000</t>
  </si>
  <si>
    <t>79-01-6</t>
  </si>
  <si>
    <t>Propano</t>
  </si>
  <si>
    <t>Alcool Isopropanol</t>
  </si>
  <si>
    <t>NIOSH 1400</t>
  </si>
  <si>
    <t xml:space="preserve">0,01 a 0,2 </t>
  </si>
  <si>
    <t>0,2 A 3</t>
  </si>
  <si>
    <t>Álcool propargílico</t>
  </si>
  <si>
    <t>25013-15-4</t>
  </si>
  <si>
    <t>Irritação olhos; dano fígado e rins</t>
  </si>
  <si>
    <t>Querosene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</si>
  <si>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</si>
  <si>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Irritação pele e TRS; compr SNC</t>
  </si>
  <si>
    <t>Álcool n-propílico</t>
  </si>
  <si>
    <t>1330-20-7</t>
  </si>
  <si>
    <t>Sec-Butanol</t>
  </si>
  <si>
    <t>Aldrin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</si>
  <si>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</si>
  <si>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Irritações no TRS;
Compr do SNC</t>
  </si>
  <si>
    <t>Compr SNC; dano fígado e rins</t>
  </si>
  <si>
    <t>Selênio</t>
  </si>
  <si>
    <t>Algodão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</si>
  <si>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</si>
  <si>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</si>
  <si>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Irritações nos olhos;
Irritações no trato respiratório superior</t>
  </si>
  <si>
    <t>Bissinose; bronquite; função pulmonar</t>
  </si>
  <si>
    <t>7440-67-7</t>
  </si>
  <si>
    <t>Alumínio metal</t>
  </si>
  <si>
    <t>Sílica Livre Cristalizada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</si>
  <si>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</si>
  <si>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</si>
  <si>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 xml:space="preserve">Fibrose pumonar; câncer de pulmão </t>
  </si>
  <si>
    <t xml:space="preserve">Método NIOSH 7602 </t>
  </si>
  <si>
    <t>400 - 1000</t>
  </si>
  <si>
    <t>18540-29-9</t>
  </si>
  <si>
    <t>Amido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</si>
  <si>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</si>
  <si>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Silício</t>
  </si>
  <si>
    <t>4-Aminodifenil</t>
  </si>
  <si>
    <t>Câncer de fígado e bexiga</t>
  </si>
  <si>
    <t>2-Aminopiridina</t>
  </si>
  <si>
    <t>Sulfato de Bário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</si>
  <si>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</si>
  <si>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Método MDHS 14/3</t>
  </si>
  <si>
    <t>Dor de cabeça; náusea; compr SNC; tontura</t>
  </si>
  <si>
    <t>Sulfeto de hidrogênio</t>
  </si>
  <si>
    <t>Amitrol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</si>
  <si>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</si>
  <si>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Método NIOSH 6013</t>
  </si>
  <si>
    <t>1,2 - 40</t>
  </si>
  <si>
    <t>Tálio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</si>
  <si>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</si>
  <si>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Danos gastrointestinais;
Neuropatia periférica</t>
  </si>
  <si>
    <t>efe tireoide</t>
  </si>
  <si>
    <t>Terc-butanol
 (Álcool terc-butílico)</t>
  </si>
  <si>
    <t>K7 com MCE e TSG</t>
  </si>
  <si>
    <t>NIOSH 6016</t>
  </si>
  <si>
    <t>0,1 a 0,5</t>
  </si>
  <si>
    <t>3 a 96 L</t>
  </si>
  <si>
    <t>Anídrico acético</t>
  </si>
  <si>
    <t>10028-15-6</t>
  </si>
  <si>
    <t>2,64</t>
  </si>
  <si>
    <t>Irritação TRS  e olhos</t>
  </si>
  <si>
    <t>Tetrahidrofurano</t>
  </si>
  <si>
    <t>Irritações no TRS; Comprometimento do SNC; Danos nos rins</t>
  </si>
  <si>
    <t>Anidrido ftálico</t>
  </si>
  <si>
    <t>Método NIOSH 1609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</si>
  <si>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</si>
  <si>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1 - 9</t>
  </si>
  <si>
    <t>140-88-5</t>
  </si>
  <si>
    <t>Anidrido hexahidroftálico</t>
  </si>
  <si>
    <t>Danos no sistema nervoso central; Danos auditivos; Comprometimento da visão; Dano reprodutivo feminino; Aborto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</si>
  <si>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</si>
  <si>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0,0044</t>
  </si>
  <si>
    <t>Sens</t>
  </si>
  <si>
    <t>Tricloroetileno</t>
  </si>
  <si>
    <t>Comprometimento do SNC; Perdas cognitivas; Toxicidade Renal</t>
  </si>
  <si>
    <t>Anidrido maleico</t>
  </si>
  <si>
    <t>0,2 - 30</t>
  </si>
  <si>
    <t>0,0088</t>
  </si>
  <si>
    <t>7803-51-2</t>
  </si>
  <si>
    <t>Resp sens</t>
  </si>
  <si>
    <t>Trietanolamina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</si>
  <si>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</si>
  <si>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Anidrido trimelítico</t>
  </si>
  <si>
    <t>Irritação nos olhos &amp; pele</t>
  </si>
  <si>
    <t>OSHA PB2141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</si>
  <si>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</si>
  <si>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0,00044</t>
  </si>
  <si>
    <t>5 - 300</t>
  </si>
  <si>
    <t>0,00176</t>
  </si>
  <si>
    <t>121-75-5</t>
  </si>
  <si>
    <t>Sens resp</t>
  </si>
  <si>
    <t>Trimetilbenzeno, mistura de isômeros</t>
  </si>
  <si>
    <t>Comprometimento do sistema nervoso central;
Efeito hematológico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</si>
  <si>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</si>
  <si>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Método OSHA PV 2091</t>
  </si>
  <si>
    <t>10</t>
  </si>
  <si>
    <t>Irritação TRS e pele</t>
  </si>
  <si>
    <t>ANTU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</si>
  <si>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</si>
  <si>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</si>
  <si>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0,264</t>
  </si>
  <si>
    <t>Dano pulmonar</t>
  </si>
  <si>
    <t>Efe tireoide; náusea</t>
  </si>
  <si>
    <t>Arseneto de gálio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</si>
  <si>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</si>
  <si>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Danos TRS e pulmão</t>
  </si>
  <si>
    <t>0,000264</t>
  </si>
  <si>
    <t>1 - 23</t>
  </si>
  <si>
    <t>&lt;0,003</t>
  </si>
  <si>
    <t>108-05-4</t>
  </si>
  <si>
    <t>02.01.001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</si>
  <si>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</si>
  <si>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Irritações no TRS; Irritações nos olhos; Efeitos hematológicos; Ototoxicidade - apenas para o para-xileno e misturas contendo para-xileno; Comprometimento do SNC</t>
  </si>
  <si>
    <t>75-05-8</t>
  </si>
  <si>
    <t>Zircônio</t>
  </si>
  <si>
    <t>Arsina</t>
  </si>
  <si>
    <t>02.01.002</t>
  </si>
  <si>
    <r>
      <rPr>
        <rFont val="Arial"/>
        <color theme="1"/>
        <sz val="12.0"/>
      </rPr>
      <t>mg/m</t>
    </r>
    <r>
      <rPr>
        <rFont val="Arial"/>
        <color theme="1"/>
        <sz val="12.0"/>
        <vertAlign val="superscript"/>
      </rPr>
      <t>3</t>
    </r>
  </si>
  <si>
    <t>0,04</t>
  </si>
  <si>
    <t>Irritações respiratórias</t>
  </si>
  <si>
    <t>Compr SNP e sistema vascular; compr fígado e rins</t>
  </si>
  <si>
    <t>45-200</t>
  </si>
  <si>
    <t>Arbesto</t>
  </si>
  <si>
    <t>Cloreto de Metileno</t>
  </si>
  <si>
    <t>Pneumoconiose; câncer do pulmão; mesotlioma</t>
  </si>
  <si>
    <t>COHb-emia; Comprometimento do SNC</t>
  </si>
  <si>
    <t>Asfalto</t>
  </si>
  <si>
    <t>Método NIOSH 1005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</si>
  <si>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</si>
  <si>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Máx 2,5</t>
  </si>
  <si>
    <t>Irritações no TRS;
Danos nos rins;
Dano reprodutivo feminino</t>
  </si>
  <si>
    <t>1 a 30</t>
  </si>
  <si>
    <t>Cloreto de Benzila</t>
  </si>
  <si>
    <t>Bromofórmio</t>
  </si>
  <si>
    <t>Atrazine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</si>
  <si>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</si>
  <si>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Ef hematológico, reprodutivo, desenvol.</t>
  </si>
  <si>
    <t>Tetracloreto de Carbono</t>
  </si>
  <si>
    <t>Azida de sódio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</si>
  <si>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</si>
  <si>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0,2552</t>
  </si>
  <si>
    <t>Clorobenzeno</t>
  </si>
  <si>
    <t>Compr card; dano pulmão</t>
  </si>
  <si>
    <t>Azinfos metil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</si>
  <si>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</si>
  <si>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Clorobromometano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</si>
  <si>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</si>
  <si>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1,1 Dicloroetano</t>
  </si>
  <si>
    <t>Benomil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</si>
  <si>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</si>
  <si>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TRS. Dano reprod testicular e dano embrio / fetal</t>
  </si>
  <si>
    <t>1,1,1 Tricloroetano</t>
  </si>
  <si>
    <t>02.03.001</t>
  </si>
  <si>
    <t>Leucemia</t>
  </si>
  <si>
    <t>tc</t>
  </si>
  <si>
    <t xml:space="preserve">NIOSH 1501 </t>
  </si>
  <si>
    <t>1,2,3 Trimetilbenzeno</t>
  </si>
  <si>
    <t>máx. 0,20</t>
  </si>
  <si>
    <t>Benzidina</t>
  </si>
  <si>
    <t>Câncer de bexiga</t>
  </si>
  <si>
    <t>Éter Monometílico de Propilenoglicol</t>
  </si>
  <si>
    <t>Irritações no TRS; Irritações nos olhos</t>
  </si>
  <si>
    <t>Método NIOSH 2554</t>
  </si>
  <si>
    <t>3 a 25</t>
  </si>
  <si>
    <t>Acetato de Sec-butila</t>
  </si>
  <si>
    <t>Bisfenol</t>
  </si>
  <si>
    <t>Benzo[a]antraceno</t>
  </si>
  <si>
    <t>Método OSHA 1018 HPLC</t>
  </si>
  <si>
    <t>80-05-7</t>
  </si>
  <si>
    <t xml:space="preserve">Éter Monobutíl dietílico de Glicol </t>
  </si>
  <si>
    <t>Danos no fígado; Danos nos rins; Efeitos hematológicos</t>
  </si>
  <si>
    <t>Método MDHS 14/3  E OSHA PV 2095</t>
  </si>
  <si>
    <t>Câncer de pele</t>
  </si>
  <si>
    <t>Benzo[b]fluoranteno</t>
  </si>
  <si>
    <t>Benzo[a]pireno</t>
  </si>
  <si>
    <t>02.04.001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</si>
  <si>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</si>
  <si>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0,000044</t>
  </si>
  <si>
    <t>Sens Berílio; doença crônica do berílio (berilose)</t>
  </si>
  <si>
    <t>Bifenil</t>
  </si>
  <si>
    <t>Bissulfito de sódio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</si>
  <si>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</si>
  <si>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Borracha natural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</si>
  <si>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</si>
  <si>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0,000088</t>
  </si>
  <si>
    <t>Sens respiratória</t>
  </si>
  <si>
    <t>Borato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</si>
  <si>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</si>
  <si>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5,28</t>
  </si>
  <si>
    <t>Bromacil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</si>
  <si>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</si>
  <si>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Efe tireoide</t>
  </si>
  <si>
    <t>Brometo de alila</t>
  </si>
  <si>
    <t>Brometo de etila</t>
  </si>
  <si>
    <t>02.05.011</t>
  </si>
  <si>
    <t>Dano fígado; compr SNC</t>
  </si>
  <si>
    <t>Brometo de hidrogênio</t>
  </si>
  <si>
    <t>02.05.012</t>
  </si>
  <si>
    <t>1,77</t>
  </si>
  <si>
    <t>Brometo de metila</t>
  </si>
  <si>
    <t>02.05.013</t>
  </si>
  <si>
    <t>Irritação pele e TRS</t>
  </si>
  <si>
    <t>Brometo de vinila</t>
  </si>
  <si>
    <t xml:space="preserve">Câncer de fígado </t>
  </si>
  <si>
    <t>02.05.001</t>
  </si>
  <si>
    <t>0,08</t>
  </si>
  <si>
    <t>Irritação TRS e TRI; dano pulmão</t>
  </si>
  <si>
    <t>02.05.030</t>
  </si>
  <si>
    <t>0,4</t>
  </si>
  <si>
    <t>Dano fígado; Irritação olhos e TRS</t>
  </si>
  <si>
    <t>1-Bromopropano</t>
  </si>
  <si>
    <t>Compr SNC; neuropatia periférica, efe hematológico e no desenvolvimento, toxicidade repro (masculino e feminino)</t>
  </si>
  <si>
    <t>Butano</t>
  </si>
  <si>
    <t>Cromatografia de Gás com Detector de Ionização de Chama</t>
  </si>
  <si>
    <t>T. 10-22/00</t>
  </si>
  <si>
    <t>de 0,01 a 0,2 L/min</t>
  </si>
  <si>
    <t>máximo de 4 L</t>
  </si>
  <si>
    <t>Butenos</t>
  </si>
  <si>
    <t>Efe sobre o peso do corpo</t>
  </si>
  <si>
    <t>n-Butil mercaptana</t>
  </si>
  <si>
    <t>n-Butilamina</t>
  </si>
  <si>
    <t>Dor de cabeça; Irritação olhos e TRS</t>
  </si>
  <si>
    <t>o-sec Butilfenol</t>
  </si>
  <si>
    <t>2-Butóxi etanol</t>
  </si>
  <si>
    <t>NIOSH 1403</t>
  </si>
  <si>
    <t>de 0,01 a 0,05 L/min</t>
  </si>
  <si>
    <t>2 a 10 L</t>
  </si>
  <si>
    <t>02.06.001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</si>
  <si>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</si>
  <si>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Canfeno clorado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</si>
  <si>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</si>
  <si>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Convulsão SNC; dano fígado</t>
  </si>
  <si>
    <t>Cânfora sintética</t>
  </si>
  <si>
    <t>Irritação olhos e TRS; anosmia</t>
  </si>
  <si>
    <t>Caolim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</si>
  <si>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</si>
  <si>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Caprolactama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</si>
  <si>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</si>
  <si>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Captafol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</si>
  <si>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</si>
  <si>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pele</t>
  </si>
  <si>
    <t>Captan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</si>
  <si>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</si>
  <si>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Carbaril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</si>
  <si>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</si>
  <si>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Inib colinesterase; dano repro masc; dano embrionário</t>
  </si>
  <si>
    <t>Carbeto de silício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</si>
  <si>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</si>
  <si>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Carbofuran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</si>
  <si>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</si>
  <si>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Carvão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</si>
  <si>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</si>
  <si>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0,352</t>
  </si>
  <si>
    <t>Dano pulmão; Fibrose pulmonar</t>
  </si>
  <si>
    <t>Catecol</t>
  </si>
  <si>
    <t>Irritação olhos e TRS; dermatite</t>
  </si>
  <si>
    <t>Celulose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</si>
  <si>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</si>
  <si>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Cereais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</si>
  <si>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</si>
  <si>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3,52</t>
  </si>
  <si>
    <t>Bronquite; Irritação TRS; função pulmonar</t>
  </si>
  <si>
    <t>Ceteno</t>
  </si>
  <si>
    <t>1,32</t>
  </si>
  <si>
    <t>Irritação TRS; edema pulmonar</t>
  </si>
  <si>
    <t>02.08.001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</si>
  <si>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</si>
  <si>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Compr SNC; compr SNP; efe hematológico</t>
  </si>
  <si>
    <t>Método PA 7.2-19 – Determinação de metais por espectrometria de emissão de plasma: método de plasma
indutivamente acoplado (ICP/OES) - NIOSH 6009 (1994) e NIOSH 7303 (2003).</t>
  </si>
  <si>
    <t>NIOSH 7303</t>
  </si>
  <si>
    <t>espectrofotometria</t>
  </si>
  <si>
    <t>1 a 4</t>
  </si>
  <si>
    <t>240 a 960</t>
  </si>
  <si>
    <t>Cianamida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</si>
  <si>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</si>
  <si>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Cianamida de cálcio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</si>
  <si>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</si>
  <si>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Cianeto de hidrogênio</t>
  </si>
  <si>
    <t>Cianoacrilato de etila</t>
  </si>
  <si>
    <t>2-Cianoacrilato de metila</t>
  </si>
  <si>
    <t>Cianogênio</t>
  </si>
  <si>
    <t>Irritação olhos e TRI</t>
  </si>
  <si>
    <t>Método NIOSH 1300 -(IT.10-424 - Vapores Orgânicos Selecionados - Determinação no Ar Atmosférico)</t>
  </si>
  <si>
    <t xml:space="preserve"> NIOSH 1300 </t>
  </si>
  <si>
    <t>cromatografia</t>
  </si>
  <si>
    <t>0,01 a 0,20</t>
  </si>
  <si>
    <t>Ciclonita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</si>
  <si>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</si>
  <si>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Ciclopentadieno</t>
  </si>
  <si>
    <t>Irritação olhos, pele e TRS; compr SNC</t>
  </si>
  <si>
    <t>Cihexatin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</si>
  <si>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</si>
  <si>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TRS; efe peso do corpo; dano rins</t>
  </si>
  <si>
    <t>Cimento portland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</si>
  <si>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</si>
  <si>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Função pulmonar; sintomas resp; asma</t>
  </si>
  <si>
    <t>Citral</t>
  </si>
  <si>
    <t>Efe peso do corpo; Irritação TRS; dano olhos</t>
  </si>
  <si>
    <t>Clopidol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</si>
  <si>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</si>
  <si>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Efe mutagênico</t>
  </si>
  <si>
    <t>Clordane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</si>
  <si>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</si>
  <si>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Cloreto de alila</t>
  </si>
  <si>
    <t>02.09.054</t>
  </si>
  <si>
    <t>Irritação olhos e TRS; dano fígado e rins</t>
  </si>
  <si>
    <t>Cloreto de amônio</t>
  </si>
  <si>
    <t>02.09.046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</si>
  <si>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</si>
  <si>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Cloreto de benzila</t>
  </si>
  <si>
    <t>02.09.059</t>
  </si>
  <si>
    <t>Cloreto de benzoíla</t>
  </si>
  <si>
    <t>02.09.060</t>
  </si>
  <si>
    <t>0,45</t>
  </si>
  <si>
    <t>Cloreto de cianogênio</t>
  </si>
  <si>
    <t>02.09.065</t>
  </si>
  <si>
    <t>Edema pulmonar; Irritação olhos, pele e TRS</t>
  </si>
  <si>
    <t>Cloreto de cloroacetila</t>
  </si>
  <si>
    <t>02.09.066</t>
  </si>
  <si>
    <t>0,044</t>
  </si>
  <si>
    <t>0,132</t>
  </si>
  <si>
    <t>Cloreto de cromila</t>
  </si>
  <si>
    <t>0,022</t>
  </si>
  <si>
    <t>Cloreto de enxofre</t>
  </si>
  <si>
    <t>02.09.073</t>
  </si>
  <si>
    <t>Cloreto de etila</t>
  </si>
  <si>
    <t>02.09.076</t>
  </si>
  <si>
    <t>Cloreto de hidrogênio</t>
  </si>
  <si>
    <t>Cloreto de metila</t>
  </si>
  <si>
    <t>02.09.084</t>
  </si>
  <si>
    <t>Compr SNC; dano fígado e rins; dano testicular; efe teratogênico</t>
  </si>
  <si>
    <t>Cloreto de polivinila</t>
  </si>
  <si>
    <t>02.09.088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</si>
  <si>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</si>
  <si>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Pneumoconiose; Irritação TRI; alterações função</t>
  </si>
  <si>
    <t>Cloreto de tionila</t>
  </si>
  <si>
    <t>02.09.093</t>
  </si>
  <si>
    <t>Cloreto de vinila</t>
  </si>
  <si>
    <t>02.09.101</t>
  </si>
  <si>
    <t>Câncer de pulmão; dano fígado</t>
  </si>
  <si>
    <t>Cloreto de vinilideno</t>
  </si>
  <si>
    <t>02.09.102</t>
  </si>
  <si>
    <t>Dano fígado e rins</t>
  </si>
  <si>
    <t>Cloreto de zinco</t>
  </si>
  <si>
    <t>02.09.103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</si>
  <si>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</si>
  <si>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02.09.001</t>
  </si>
  <si>
    <t>0,8</t>
  </si>
  <si>
    <t>Cloroacetaldeído</t>
  </si>
  <si>
    <t>02.09.106</t>
  </si>
  <si>
    <t>2-Cloroacetofenona</t>
  </si>
  <si>
    <t>Cloroacetona</t>
  </si>
  <si>
    <t>o-Clorobenzilideno malononitrila</t>
  </si>
  <si>
    <t>Irritação TRS; sens pele</t>
  </si>
  <si>
    <t>Clorodifenil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</si>
  <si>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</si>
  <si>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 fígado; Irritação olhos; cloracne</t>
  </si>
  <si>
    <t>Compr SNC; asfixia; sens card</t>
  </si>
  <si>
    <t>o-Cloroestireno</t>
  </si>
  <si>
    <t>Compr SNC; neuropatia periférica</t>
  </si>
  <si>
    <t>02.09.113</t>
  </si>
  <si>
    <t>1-Cloro-1-nitropropano</t>
  </si>
  <si>
    <t>Irritação olhos; edema pulmonar</t>
  </si>
  <si>
    <t>Cloropentafluoretano</t>
  </si>
  <si>
    <t>02.09.119</t>
  </si>
  <si>
    <t>Sens card</t>
  </si>
  <si>
    <t>Cloropicrina</t>
  </si>
  <si>
    <t>02.09.120</t>
  </si>
  <si>
    <t>β -Cloropreno</t>
  </si>
  <si>
    <t>1-Cloro-2-propanol e 2-Cloro-1-propanol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</si>
  <si>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</si>
  <si>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Asma; função pulmonar; efe miocardial</t>
  </si>
  <si>
    <t>Cobalto carbonila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</si>
  <si>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</si>
  <si>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Edema pulmonar; dano baço</t>
  </si>
  <si>
    <t>Cobalto hidrocarbonila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</si>
  <si>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</si>
  <si>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Edema pulmonar; dano pulmão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</si>
  <si>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</si>
  <si>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Coumafos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</si>
  <si>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</si>
  <si>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</si>
  <si>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Criseno</t>
  </si>
  <si>
    <t>Cromato de terc-butila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</si>
  <si>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</si>
  <si>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pele e TRI</t>
  </si>
  <si>
    <t>Cromato de cálcio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</si>
  <si>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</si>
  <si>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0,00088</t>
  </si>
  <si>
    <t>Câncer pulmão</t>
  </si>
  <si>
    <t>Cromato de chumbo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</si>
  <si>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</si>
  <si>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 reprod masculino; efe teratogênico; vasoconstrição</t>
  </si>
  <si>
    <t>Cromato de estrôncio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</si>
  <si>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</si>
  <si>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Cromatos de zinco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</si>
  <si>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</si>
  <si>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Câncer nasal</t>
  </si>
  <si>
    <t>Cromita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</si>
  <si>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</si>
  <si>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02.10.001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</si>
  <si>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</si>
  <si>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Crotonaldeído</t>
  </si>
  <si>
    <t>Crufomate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</si>
  <si>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</si>
  <si>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02.03.018</t>
  </si>
  <si>
    <t>Método NIOSH 1501 - (IT.10-424 - Vapores Orgânicos Selecionados - Determinação no Ar Atmosférico)</t>
  </si>
  <si>
    <t>NIOSH 1501</t>
  </si>
  <si>
    <t>máx. 0,2</t>
  </si>
  <si>
    <t>DDT</t>
  </si>
  <si>
    <t>02.09.125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</si>
  <si>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</si>
  <si>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Decaborano</t>
  </si>
  <si>
    <t>Conv SNC; perda cognitiva</t>
  </si>
  <si>
    <t>Demeton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</si>
  <si>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</si>
  <si>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0,008</t>
  </si>
  <si>
    <t>Demeton-S-metila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</si>
  <si>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</si>
  <si>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Diacetil</t>
  </si>
  <si>
    <t>0,0176</t>
  </si>
  <si>
    <t>Danos pulmão (Bronchiolitis Obliterans-like)</t>
  </si>
  <si>
    <t>Diacetona álcool</t>
  </si>
  <si>
    <t xml:space="preserve">
(di-Isobutil Cetona)
Método IT.10-424 - Vapores Orgânicos Selecionados - Determinação no Ar Atmosférico</t>
  </si>
  <si>
    <t>αα ´Diamina n-xileno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</si>
  <si>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</si>
  <si>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olhos, pele e GI</t>
  </si>
  <si>
    <t>Diazinon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</si>
  <si>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</si>
  <si>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Diazometano</t>
  </si>
  <si>
    <t>Diborano</t>
  </si>
  <si>
    <t>Irritação TRS; dor de cabeça</t>
  </si>
  <si>
    <t>Dibrometo de etileno</t>
  </si>
  <si>
    <t>2-N-Dibutilaminoetanol</t>
  </si>
  <si>
    <t>Dibutilftalato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</si>
  <si>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</si>
  <si>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 testicular; Irritação olhos e TRS</t>
  </si>
  <si>
    <t>Diclopentadieno</t>
  </si>
  <si>
    <t>Dicloreto de etileno</t>
  </si>
  <si>
    <t>Dano fígado; náusea</t>
  </si>
  <si>
    <t>Dicloro de propileno</t>
  </si>
  <si>
    <t>Irritação TRS; efe peso do corpo</t>
  </si>
  <si>
    <t>o-Diclorobenzeno</t>
  </si>
  <si>
    <t xml:space="preserve">Irritação olhos e TRS; dano fígado </t>
  </si>
  <si>
    <t>p-Diclorobenzeno</t>
  </si>
  <si>
    <t>Irritação olhos; dano rins</t>
  </si>
  <si>
    <t>3,3-Diclorobenzidina</t>
  </si>
  <si>
    <t>Câncer bexiga; Irritação olhos</t>
  </si>
  <si>
    <t>Diclorodifluormetano</t>
  </si>
  <si>
    <t>1,3-Dicloro-5,5-dimetil hidantoina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</si>
  <si>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</si>
  <si>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1,1-Dicloroetano</t>
  </si>
  <si>
    <t>Irritação olhos e TRS; dano fígado</t>
  </si>
  <si>
    <t>1,2 Dicloroetileno</t>
  </si>
  <si>
    <t>Compr SNC; Irritação olhos</t>
  </si>
  <si>
    <t>Diclorofluormetano</t>
  </si>
  <si>
    <t>COHb-emia; compr SNC</t>
  </si>
  <si>
    <t>1,1-Dicloro-1-nitroetano</t>
  </si>
  <si>
    <t>1,2 Dicloropropano</t>
  </si>
  <si>
    <t>Náusea; compr SNP</t>
  </si>
  <si>
    <t>1,3-Dicloropropeno</t>
  </si>
  <si>
    <t>Diclorvos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</si>
  <si>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</si>
  <si>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Dicrotofós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</si>
  <si>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</si>
  <si>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Dieldrin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</si>
  <si>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</si>
  <si>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 fígado; efe repro; compr SNC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</si>
  <si>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</si>
  <si>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filtro de fibra de vidro + TC</t>
  </si>
  <si>
    <t>NIOSH 1500
 NIOSH 1550</t>
  </si>
  <si>
    <t>0,02 a 0,2</t>
  </si>
  <si>
    <t>1 a 12</t>
  </si>
  <si>
    <t>Dietanolamina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</si>
  <si>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</si>
  <si>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Dietilamina</t>
  </si>
  <si>
    <t>2-Dietilaminoetanol</t>
  </si>
  <si>
    <t>Irritação TRS; conv SNC</t>
  </si>
  <si>
    <t>Dietilcetona</t>
  </si>
  <si>
    <t>Dietileno triamina</t>
  </si>
  <si>
    <t>Dietilftalato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</si>
  <si>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</si>
  <si>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Difenilamina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</si>
  <si>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</si>
  <si>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 fígado e rins; efe hematológico</t>
  </si>
  <si>
    <t>Difluordibromometano</t>
  </si>
  <si>
    <t>Dor de cabeça; edema pulmonar; Irritação TRS</t>
  </si>
  <si>
    <t>Difluoreto de oxigênio</t>
  </si>
  <si>
    <t>Irritação TRS; dano fígado; compr SNC</t>
  </si>
  <si>
    <t>Diisobutil cetona</t>
  </si>
  <si>
    <t>Diisopropilamina</t>
  </si>
  <si>
    <t>Irritação TRS; dano olhos</t>
  </si>
  <si>
    <t>N,N-Dietihidroxilamina</t>
  </si>
  <si>
    <t>N,N-Dimetilacetamida</t>
  </si>
  <si>
    <t>Dano fígado; dano embrio/fetal</t>
  </si>
  <si>
    <t>Dimetilamina</t>
  </si>
  <si>
    <t>Irritação TRS e GI</t>
  </si>
  <si>
    <t>Dimetiletoxisilano</t>
  </si>
  <si>
    <t>Irritação olhos e TRS; dor de cabeça</t>
  </si>
  <si>
    <t>Dimetilftalato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</si>
  <si>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</si>
  <si>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olhoes e TRS</t>
  </si>
  <si>
    <t>1,1-Dimetilhidrazina</t>
  </si>
  <si>
    <t>Irritação TRS; câncer nasal</t>
  </si>
  <si>
    <t>Dinitrato de etileno glicol</t>
  </si>
  <si>
    <t>Vasodilatação; dor de cabeça</t>
  </si>
  <si>
    <t>Dinitrato de propileno glicol</t>
  </si>
  <si>
    <t>Dor de cabeça; compr SNC</t>
  </si>
  <si>
    <t>Dinitrobenzeno</t>
  </si>
  <si>
    <t>MeHb-emia; dano olhos</t>
  </si>
  <si>
    <t>Dinitro-o-cresol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</si>
  <si>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</si>
  <si>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Metabolismo basal</t>
  </si>
  <si>
    <t>3,5-Dinitro-o-toluamida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</si>
  <si>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</si>
  <si>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1,4-Dioxano</t>
  </si>
  <si>
    <t>Dioxation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</si>
  <si>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</si>
  <si>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 xml:space="preserve"> impinger </t>
  </si>
  <si>
    <t xml:space="preserve">OSHA ID-202 </t>
  </si>
  <si>
    <t>máx. 0,5</t>
  </si>
  <si>
    <t>7,5 a 120</t>
  </si>
  <si>
    <t>Dióxido de cloro</t>
  </si>
  <si>
    <t>Irritação TRI; bronquite</t>
  </si>
  <si>
    <t>Função pulmonar; Irritação TRI</t>
  </si>
  <si>
    <t>NIOSH 6004</t>
  </si>
  <si>
    <t>0,5 a 1,5</t>
  </si>
  <si>
    <t xml:space="preserve">4 a 200 </t>
  </si>
  <si>
    <t>1,3-Dioxolane</t>
  </si>
  <si>
    <t>Efe hematológico</t>
  </si>
  <si>
    <t>tubo</t>
  </si>
  <si>
    <t>NIOSH 6014</t>
  </si>
  <si>
    <t>Espectrofotometria de Absorção no Visível</t>
  </si>
  <si>
    <t>3 a 24</t>
  </si>
  <si>
    <t>Dióxido de titânio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</si>
  <si>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</si>
  <si>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Dióxido de vinilciclohexano</t>
  </si>
  <si>
    <t>Dano reprod masculino e feminino</t>
  </si>
  <si>
    <t>Dipropil cetona</t>
  </si>
  <si>
    <t>Diquat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</si>
  <si>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</si>
  <si>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TRI; catarata</t>
  </si>
  <si>
    <t>Dissulfeto de alil propila</t>
  </si>
  <si>
    <t>Dissulfeto de carbono</t>
  </si>
  <si>
    <t>Compr SNP</t>
  </si>
  <si>
    <t>Dissulfeto de dimetila</t>
  </si>
  <si>
    <t>Irritação TRS; dano SNC</t>
  </si>
  <si>
    <t>Dissulfiram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</si>
  <si>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</si>
  <si>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Vasodilatação; náusea</t>
  </si>
  <si>
    <t>Dissulfoton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</si>
  <si>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</si>
  <si>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Diuron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</si>
  <si>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</si>
  <si>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Divinil benzeno</t>
  </si>
  <si>
    <t>Dodecil mercaptana</t>
  </si>
  <si>
    <t>Endosulfan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</si>
  <si>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</si>
  <si>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TRI; dano fígado e rins</t>
  </si>
  <si>
    <t>Endrin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</si>
  <si>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</si>
  <si>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 fígado; compr SNC; dor de cabeça</t>
  </si>
  <si>
    <t>Enflurano</t>
  </si>
  <si>
    <t>Compr SNC; compr card</t>
  </si>
  <si>
    <t>Epicloridina</t>
  </si>
  <si>
    <t>Irritação TRS; reprod masculino</t>
  </si>
  <si>
    <t>EPN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</si>
  <si>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</si>
  <si>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</si>
  <si>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Pneumoconiose (ou estanose)</t>
  </si>
  <si>
    <t>60 a 960</t>
  </si>
  <si>
    <t>Estearatos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</si>
  <si>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</si>
  <si>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02.03.036</t>
  </si>
  <si>
    <t>Compr SNC; Irritação TRS; neuropatia periférica</t>
  </si>
  <si>
    <t>NIOSH 1501 - (IT.10-424 - Vapores Orgânicos Selecionados - Determinação no Ar Atmosférico)</t>
  </si>
  <si>
    <t>0,2 a 1,0</t>
  </si>
  <si>
    <t>1 a 14</t>
  </si>
  <si>
    <t>Estriquinina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</si>
  <si>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</si>
  <si>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NIOSH 1400 - (IT.10-424 - Vapores Orgânicos Selecionados - Determinação no Ar Atmosférico)</t>
  </si>
  <si>
    <t>0,01 a 0,05</t>
  </si>
  <si>
    <t>0,1 a 1</t>
  </si>
  <si>
    <t>Irritação olhoes e pele</t>
  </si>
  <si>
    <t>Éter alil glicidílico</t>
  </si>
  <si>
    <t>Irritação TRS; dermatite; Irritação olhos e pele</t>
  </si>
  <si>
    <t>Éter n-Butil glicidílico</t>
  </si>
  <si>
    <t>Dano reprodutivo</t>
  </si>
  <si>
    <t>Éber bis-(Clorometílico)</t>
  </si>
  <si>
    <t>Éber bis-(2-dimetilaminoetil)</t>
  </si>
  <si>
    <t>Éter dicloroetílico</t>
  </si>
  <si>
    <t>Irritação olhos e TRS; náusea</t>
  </si>
  <si>
    <t>Éter diglicidílico</t>
  </si>
  <si>
    <t>Irritação TRS e olhos; dano reprod masculino</t>
  </si>
  <si>
    <t>Éter etil terc-butílico</t>
  </si>
  <si>
    <t>Irritação TRS e TRI; compr SNC</t>
  </si>
  <si>
    <t>Éter etílico</t>
  </si>
  <si>
    <t>Éter fenílico</t>
  </si>
  <si>
    <t>Éter fenil glicidílico</t>
  </si>
  <si>
    <t>Dano testicular</t>
  </si>
  <si>
    <t>Éter isopropil glicidílico</t>
  </si>
  <si>
    <t>Éter isopropílico</t>
  </si>
  <si>
    <t>272,8</t>
  </si>
  <si>
    <t>Éter isopropílico de monoetileno glicol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</si>
  <si>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</si>
  <si>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Éter metil terc-amílico</t>
  </si>
  <si>
    <t>Compr SNC; dano embrio/fetal</t>
  </si>
  <si>
    <t>Éter metil terc-butílico</t>
  </si>
  <si>
    <t>Irritação TRS; dano rins</t>
  </si>
  <si>
    <t>Éter metílico de clorometila</t>
  </si>
  <si>
    <t>Éter metílico de dipropilenoglicol</t>
  </si>
  <si>
    <t>Efe hematológico, fígado e rins</t>
  </si>
  <si>
    <t>Etil amil cetona</t>
  </si>
  <si>
    <t>Neurotoxicidade</t>
  </si>
  <si>
    <t>Etil butil cetona</t>
  </si>
  <si>
    <t>Compr SNC; Irritação olhos e pele</t>
  </si>
  <si>
    <t>Etil mercaptana</t>
  </si>
  <si>
    <t>n-Etil morfolina</t>
  </si>
  <si>
    <t>Etilamina</t>
  </si>
  <si>
    <t>Irritação TRS; dano nos rins (nefropatia); compr cóclea</t>
  </si>
  <si>
    <t>1 a 24</t>
  </si>
  <si>
    <t>Etileno cloridrina</t>
  </si>
  <si>
    <t>Etileno diamina</t>
  </si>
  <si>
    <t>Etileno glicol</t>
  </si>
  <si>
    <t>Etilideno norborneno</t>
  </si>
  <si>
    <t>Etil isocianato</t>
  </si>
  <si>
    <t>0,0528</t>
  </si>
  <si>
    <t>Etilenoimina</t>
  </si>
  <si>
    <t>Irritação TRS; dno fígado e rins</t>
  </si>
  <si>
    <t>Etion</t>
  </si>
  <si>
    <t>Dano reprod masculino; dano embrio/fetal</t>
  </si>
  <si>
    <t>Farinha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</si>
  <si>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</si>
  <si>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Asma; Irritação TRS; bronquite</t>
  </si>
  <si>
    <t>Fenamifos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</si>
  <si>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</si>
  <si>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n-Fenil-β-naftilamina</t>
  </si>
  <si>
    <t>o-Fenileno dilamina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</si>
  <si>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</si>
  <si>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Anemia</t>
  </si>
  <si>
    <t>m-Fenileno dilamina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</si>
  <si>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</si>
  <si>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 fígado; Irritação pele</t>
  </si>
  <si>
    <t>p-Fenileno dilamina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</si>
  <si>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</si>
  <si>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TRS; sensibilização pele</t>
  </si>
  <si>
    <t>Fenilfosfina</t>
  </si>
  <si>
    <t>Dermatite; efe hematológico; dano testicular</t>
  </si>
  <si>
    <t>Fenilhidrazina</t>
  </si>
  <si>
    <t>Anemia; Irritação pele e TRS</t>
  </si>
  <si>
    <t>Fenil mercaptana</t>
  </si>
  <si>
    <t>02.03.020</t>
  </si>
  <si>
    <t>Irritação TRS; dano pulmão; compr SNC</t>
  </si>
  <si>
    <t>tubo de resina XAD-7</t>
  </si>
  <si>
    <t>Cromatografia de Gás com
Detector de Ionização de Chama</t>
  </si>
  <si>
    <t>NIOSH 2546</t>
  </si>
  <si>
    <t>5 a 24</t>
  </si>
  <si>
    <t>Fenotiazine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</si>
  <si>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</si>
  <si>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Fotosens olhos; Irritação pele</t>
  </si>
  <si>
    <t>Fensulfotion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</si>
  <si>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</si>
  <si>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Fention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</si>
  <si>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</si>
  <si>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Ferbam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</si>
  <si>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</si>
  <si>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Compr SNC; efe peso do corpo; dano baço</t>
  </si>
  <si>
    <t>Ferro diciclopentadienila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</si>
  <si>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</si>
  <si>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</si>
  <si>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408 a 960</t>
  </si>
  <si>
    <t>Ferro pentacarbonila</t>
  </si>
  <si>
    <t>Edema pulmonar; compr SNC</t>
  </si>
  <si>
    <t>Ferrovanádio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</si>
  <si>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</si>
  <si>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olhos, TRI e TRS</t>
  </si>
  <si>
    <t>Fibras de vidro de filamento contínuo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</si>
  <si>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</si>
  <si>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Fibras de lã de vidro</t>
  </si>
  <si>
    <t>Fibras de lã de rocha</t>
  </si>
  <si>
    <t>Fibras de escória de metal</t>
  </si>
  <si>
    <t>Fibras de vidro finalidades especiais</t>
  </si>
  <si>
    <t>Fibras cerâmicas refratárias</t>
  </si>
  <si>
    <t>Fibrose pulmonar; função pulmonar</t>
  </si>
  <si>
    <t>Flúor</t>
  </si>
  <si>
    <t>Fluoracetato de sódio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</si>
  <si>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</si>
  <si>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Compr SNC; compr card; náusea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</si>
  <si>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</si>
  <si>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2,2</t>
  </si>
  <si>
    <t>Fluoreto de carbonila</t>
  </si>
  <si>
    <t>Irritação TRI; dano ossos</t>
  </si>
  <si>
    <t>Fluoreto de hidrogênio</t>
  </si>
  <si>
    <t>Irritação TRS, TRI, olhos e pele; fluorose</t>
  </si>
  <si>
    <t>Flureto de perclorila</t>
  </si>
  <si>
    <t>Irritação TRS e TRI; MeHb-emia; fluorose</t>
  </si>
  <si>
    <t>Fluoreto de sulfurila</t>
  </si>
  <si>
    <t>Fluoreto de vinila</t>
  </si>
  <si>
    <t>Câncer fígado; dano fígado</t>
  </si>
  <si>
    <t>Fluoreto de vinilideno</t>
  </si>
  <si>
    <t>Fonofos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</si>
  <si>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</si>
  <si>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Forate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</si>
  <si>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</si>
  <si>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NIOSH 2016</t>
  </si>
  <si>
    <t>Cromatografia Líquida</t>
  </si>
  <si>
    <t>0,03 a 1,5</t>
  </si>
  <si>
    <t>Foramida</t>
  </si>
  <si>
    <t>Irritação olhos e pele; dano fígado e rins</t>
  </si>
  <si>
    <t>Formiato de etila</t>
  </si>
  <si>
    <t>Formiato de metila</t>
  </si>
  <si>
    <t>Irritação olhos, TRS e TRI</t>
  </si>
  <si>
    <t>Fosfato de dibutila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</si>
  <si>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</si>
  <si>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bexiga, olhos e TRS</t>
  </si>
  <si>
    <t>Fofato de dibutil fenila</t>
  </si>
  <si>
    <t>Inib colinesterase; Irritação TRS</t>
  </si>
  <si>
    <t>Fosfato de tributila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</si>
  <si>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</si>
  <si>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olhos e TRS; bexiga</t>
  </si>
  <si>
    <t>Fosfato de trifenila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</si>
  <si>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</si>
  <si>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Fosfato de triortocresila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</si>
  <si>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</si>
  <si>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0,23</t>
  </si>
  <si>
    <t>Irritação TRS; dor de cabeça; Irritação GI; compr SNC</t>
  </si>
  <si>
    <t>Fosfito de trimetila</t>
  </si>
  <si>
    <t>Irritação olhos; inib colinesterase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</si>
  <si>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</si>
  <si>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Fosgênio</t>
  </si>
  <si>
    <t>Irritação TRS; edema pulmonar; enfisema pulmonar</t>
  </si>
  <si>
    <t>Ftalato de di(2-etilhexila)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</si>
  <si>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</si>
  <si>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m-Ftalodinitrila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</si>
  <si>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</si>
  <si>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o-Ftalodinitrila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</si>
  <si>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</si>
  <si>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Conv. Sistema nervos central; efeito sobre peso corpóreo</t>
  </si>
  <si>
    <t>Furfural</t>
  </si>
  <si>
    <t>Glicidol</t>
  </si>
  <si>
    <t>Glioxal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</si>
  <si>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</si>
  <si>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TRS; metaplasia de laringe</t>
  </si>
  <si>
    <t>Glutaraldeído</t>
  </si>
  <si>
    <t>Grafite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</si>
  <si>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</si>
  <si>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Grãos, poeira (aveia, trigo, cevada)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</si>
  <si>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</si>
  <si>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Háfnio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</si>
  <si>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</si>
  <si>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olhose TRS; dano fígado</t>
  </si>
  <si>
    <t>Halotano</t>
  </si>
  <si>
    <t>Dano fígado; compr SNC; vasodilatação</t>
  </si>
  <si>
    <t>Heptacloro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</si>
  <si>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</si>
  <si>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Hexaclorobenzeno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</si>
  <si>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</si>
  <si>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Efe porfírico; dano pele; compr SNC</t>
  </si>
  <si>
    <t>Hexaclorobutadieno</t>
  </si>
  <si>
    <t>Hexaclorociclopentadieno</t>
  </si>
  <si>
    <t>Hexacloroetano</t>
  </si>
  <si>
    <t>Hexacloronaftaleno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</si>
  <si>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</si>
  <si>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 fígado; cloracne</t>
  </si>
  <si>
    <t>Hexafluoracetona</t>
  </si>
  <si>
    <t>Dano testicular; dano rins</t>
  </si>
  <si>
    <t>Hexafluorpropileno</t>
  </si>
  <si>
    <t>Danp rins</t>
  </si>
  <si>
    <t>Hexafluoreto de enxofre</t>
  </si>
  <si>
    <t>Hexafluoreto de selênio</t>
  </si>
  <si>
    <t>Edema pulmonar</t>
  </si>
  <si>
    <t>Hexafluoreto de telúrio</t>
  </si>
  <si>
    <t>Hexametil fosforamida</t>
  </si>
  <si>
    <t>Câncer TRS</t>
  </si>
  <si>
    <t>02.19.005</t>
  </si>
  <si>
    <t>Compr SNC; neuropatia periférica; Irritação olhos</t>
  </si>
  <si>
    <t>Método IT.10-424 - Vapores Orgânicos Selecionados - Determinação no Ar Atmosférico</t>
  </si>
  <si>
    <t>NIOSH 1500</t>
  </si>
  <si>
    <t>Compr SNC; Irritação olhos e TRS</t>
  </si>
  <si>
    <t>1,6-Hexanodiamina</t>
  </si>
  <si>
    <t>1-Hexeno</t>
  </si>
  <si>
    <t>Hexileno glicol</t>
  </si>
  <si>
    <t>Hidrazina</t>
  </si>
  <si>
    <t>Hidreto de antimônio</t>
  </si>
  <si>
    <t>Hemólise; dano rins; Irritação TRI</t>
  </si>
  <si>
    <t>Hidreto de lítio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</si>
  <si>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</si>
  <si>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</si>
  <si>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Hidróxido de cálcio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</si>
  <si>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</si>
  <si>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Hidróxido de césio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</si>
  <si>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</si>
  <si>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</si>
  <si>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</si>
  <si>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Indeno</t>
  </si>
  <si>
    <t>Iodeto de metila</t>
  </si>
  <si>
    <t>Dano olhos; compr SNC</t>
  </si>
  <si>
    <t>índio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</si>
  <si>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</si>
  <si>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Edema pulmonar; penumonite; corrosão dental; mal-estar</t>
  </si>
  <si>
    <t xml:space="preserve">Iodo </t>
  </si>
  <si>
    <t>Hipotiroidismo; Irritação TRS</t>
  </si>
  <si>
    <t>Iodetos</t>
  </si>
  <si>
    <t>Iodofórmio</t>
  </si>
  <si>
    <t>0,528</t>
  </si>
  <si>
    <t>Isocianato de metila</t>
  </si>
  <si>
    <t>Método OSHA 7 - (IT.10-424 - Vapores Orgânicos Selecionados - Determinação no Ar Atmosférico)</t>
  </si>
  <si>
    <t>OSHA 7</t>
  </si>
  <si>
    <t>0,01 a 1</t>
  </si>
  <si>
    <t>2 a 25</t>
  </si>
  <si>
    <t>Isopropilamina</t>
  </si>
  <si>
    <t>2-Isopropoxietanol</t>
  </si>
  <si>
    <t>Ítrio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</si>
  <si>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</si>
  <si>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Fibrose pulmonar</t>
  </si>
  <si>
    <t>Lactato de n-butila</t>
  </si>
  <si>
    <t>Dor de cabeça; Irritação TRS</t>
  </si>
  <si>
    <t>Lindano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</si>
  <si>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</si>
  <si>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Cedro vermelho do Oeste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</si>
  <si>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</si>
  <si>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Asma</t>
  </si>
  <si>
    <t>Todas as outras espécies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</si>
  <si>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</si>
  <si>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</si>
  <si>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02.14.001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</si>
  <si>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</si>
  <si>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 xml:space="preserve">NIOSH 7303 </t>
  </si>
  <si>
    <t>Manganês ciclopentadienil tricarbonila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</si>
  <si>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</si>
  <si>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pele; compr SNC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</si>
  <si>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</si>
  <si>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0,0264</t>
  </si>
  <si>
    <t>Compr SNC e SNP; dano rins</t>
  </si>
  <si>
    <t>Metabissulfito de sódio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</si>
  <si>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</si>
  <si>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Metacrilato de metila</t>
  </si>
  <si>
    <t>Irritação olhos e TRS; efe peso do corpo; edema pulmonar</t>
  </si>
  <si>
    <t>Metil acetileno</t>
  </si>
  <si>
    <t>Metil acetileno-propadieno</t>
  </si>
  <si>
    <t>Metilacrilonitrila</t>
  </si>
  <si>
    <t>Metilal</t>
  </si>
  <si>
    <t>Metilamina</t>
  </si>
  <si>
    <t>Metil n-amil cetona</t>
  </si>
  <si>
    <t>n-Metil anilina</t>
  </si>
  <si>
    <t>MeHb-emia; compr SNC</t>
  </si>
  <si>
    <t>Metil n-butil cetona</t>
  </si>
  <si>
    <t>Neuropatia periférica; dano testicular</t>
  </si>
  <si>
    <t>Irritação TRS; compr SNC; dano fígado e rins</t>
  </si>
  <si>
    <t>Meticiclohexanol</t>
  </si>
  <si>
    <t>o-Metilciclohexanona</t>
  </si>
  <si>
    <t>2-Metilciclopentadienil manganês tricarbonila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</si>
  <si>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</si>
  <si>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Compr SNC; dano pulmão, fígado e rins</t>
  </si>
  <si>
    <t>Metil demeton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</si>
  <si>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</si>
  <si>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TRS; compr SNC e SNP</t>
  </si>
  <si>
    <t>NIOSH 2500 -</t>
  </si>
  <si>
    <t>0,25 a 12</t>
  </si>
  <si>
    <t>α - Metil estireno</t>
  </si>
  <si>
    <t>Irritação TRS; dano fígado; dano reprod feminino</t>
  </si>
  <si>
    <t>Metil hidrazina</t>
  </si>
  <si>
    <t>Irritação TRS e olhos; câncer de pulmão; dano fígado</t>
  </si>
  <si>
    <t>Metil isoamil cetona</t>
  </si>
  <si>
    <t>Metil isobutil carbinol</t>
  </si>
  <si>
    <t>35,2</t>
  </si>
  <si>
    <t>Metil isopropil cetona</t>
  </si>
  <si>
    <t>Danos embrio/fetal; toxicidade neonatal</t>
  </si>
  <si>
    <t>Metil mercaptna</t>
  </si>
  <si>
    <t>1-Metil naftaleno e 2-Metil naftaleno</t>
  </si>
  <si>
    <t>Irritação TRI; dano pulmão</t>
  </si>
  <si>
    <t>Metil paration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</si>
  <si>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</si>
  <si>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Metil propil cetona</t>
  </si>
  <si>
    <t>Irritação olhos; função pulmonar</t>
  </si>
  <si>
    <t>Metil vinil cetona</t>
  </si>
  <si>
    <t>4,4-metileno-bis-(2-cloroanilina)</t>
  </si>
  <si>
    <t>Câncer de bexiga; MeHb-emia</t>
  </si>
  <si>
    <t>4,4-Metileno dianilina</t>
  </si>
  <si>
    <t>Metomil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</si>
  <si>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</si>
  <si>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Inib colinesterase; dano reprod masculino; efe hematológico</t>
  </si>
  <si>
    <t>Metoxicloro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</si>
  <si>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</si>
  <si>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2-metoxietanol</t>
  </si>
  <si>
    <t>Efe hematológico; efe reprodutivo</t>
  </si>
  <si>
    <t>(2-Metoximetiletoxi) propanol</t>
  </si>
  <si>
    <t>4-Metoxifenol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</si>
  <si>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</si>
  <si>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olhos; dano pele</t>
  </si>
  <si>
    <t>1-Metoxi-2-propanol</t>
  </si>
  <si>
    <t>Metribuzin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</si>
  <si>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</si>
  <si>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 fígado; efe hematológico</t>
  </si>
  <si>
    <t>Mevinfos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</si>
  <si>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</si>
  <si>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Mica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</si>
  <si>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</si>
  <si>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</si>
  <si>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Monocrotofós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</si>
  <si>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</si>
  <si>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COHb-emia</t>
  </si>
  <si>
    <t>balão de tedlar de 5 L</t>
  </si>
  <si>
    <t>630-08-0 (Cromatografia de Gás com Detector de Ionização de Chama)</t>
  </si>
  <si>
    <t>OSHA ID-210</t>
  </si>
  <si>
    <t>0,01 a 0,1</t>
  </si>
  <si>
    <t>5 L</t>
  </si>
  <si>
    <t>Morfolina</t>
  </si>
  <si>
    <t>Naftaleno</t>
  </si>
  <si>
    <t>Irritação TRS; catarata; anemia hemolítica</t>
  </si>
  <si>
    <t>β -Naftilamina</t>
  </si>
  <si>
    <t>Naled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</si>
  <si>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</si>
  <si>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</si>
  <si>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Nicotina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</si>
  <si>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</si>
  <si>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 GI; compr SNC; compr card</t>
  </si>
  <si>
    <t>02.16.001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</si>
  <si>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</si>
  <si>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mín. 408</t>
  </si>
  <si>
    <t>Níquel carbonila</t>
  </si>
  <si>
    <t>Irritação pulmão</t>
  </si>
  <si>
    <t>Nitrapirin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</si>
  <si>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</si>
  <si>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Nitrato de n-propila</t>
  </si>
  <si>
    <t>Náusea; dor de cabça</t>
  </si>
  <si>
    <t>Nitrato de isobutila</t>
  </si>
  <si>
    <t>Vasodilatação; MeHb-emia</t>
  </si>
  <si>
    <t>p-Nitroanilina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</si>
  <si>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</si>
  <si>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MeHb-emia; dano fígado; Irritação olhos</t>
  </si>
  <si>
    <t>4-Nitrodifenila</t>
  </si>
  <si>
    <t>Nitroetano</t>
  </si>
  <si>
    <t>Irritação TRS; compr SNC; dano fígado</t>
  </si>
  <si>
    <t>Nitroglicerina</t>
  </si>
  <si>
    <t>Vasodilatação</t>
  </si>
  <si>
    <t>Nitrometano</t>
  </si>
  <si>
    <t>Efe tireóide; Irritação TRS; dano pulmão</t>
  </si>
  <si>
    <t>1-Nitropentano</t>
  </si>
  <si>
    <t>2-Nitropropano</t>
  </si>
  <si>
    <t>Dano fígado; câncer fígado</t>
  </si>
  <si>
    <t>n-Nitrosodimetilamina</t>
  </si>
  <si>
    <t>Câncer fígado e rins; dano fígado</t>
  </si>
  <si>
    <t>5-Nitro-o-toluidina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</si>
  <si>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</si>
  <si>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Nonano</t>
  </si>
  <si>
    <t>Octacloronaftaleno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</si>
  <si>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</si>
  <si>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Octano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</si>
  <si>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</si>
  <si>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Fibra de vidro</t>
  </si>
  <si>
    <t xml:space="preserve">NIOSH 5026 </t>
  </si>
  <si>
    <t>2 a 0,1</t>
  </si>
  <si>
    <t>mín. 480</t>
  </si>
  <si>
    <t>p,p´-Oxibis (benzeno sulfonila hidrazida)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</si>
  <si>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</si>
  <si>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Oxicloreto de fósforo</t>
  </si>
  <si>
    <t>Óxido de boro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</si>
  <si>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</si>
  <si>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Óxido de cálcio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</si>
  <si>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</si>
  <si>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Óxido de difenila o-clorada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</si>
  <si>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</si>
  <si>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Coracne; dano fígado</t>
  </si>
  <si>
    <t>Óxido de etileno</t>
  </si>
  <si>
    <t>Câncer; compr SNC</t>
  </si>
  <si>
    <t>Óxido de magnésio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</si>
  <si>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</si>
  <si>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TRS; febre dos fumos metálicos</t>
  </si>
  <si>
    <t>Óxido de mesitila</t>
  </si>
  <si>
    <t>Óxido de propileno</t>
  </si>
  <si>
    <t>Óxido de zinco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</si>
  <si>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</si>
  <si>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Febre dos fumos metálicos</t>
  </si>
  <si>
    <t>NIOSH 6014 -</t>
  </si>
  <si>
    <t>Compr SNC; efe hematológico; dano embrio/fetal</t>
  </si>
  <si>
    <t>ÓXIDO DE NITROGENIO</t>
  </si>
  <si>
    <t>Parafina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</si>
  <si>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</si>
  <si>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TRS; náusea</t>
  </si>
  <si>
    <t>Paraquat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</si>
  <si>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</si>
  <si>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 pulmão</t>
  </si>
  <si>
    <t>Paration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</si>
  <si>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</si>
  <si>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Pentacloreto de fósforo</t>
  </si>
  <si>
    <t>Pentaclorofenol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</si>
  <si>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</si>
  <si>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olhos e TRS; compr card e SNC</t>
  </si>
  <si>
    <t>Pentacloronaftaleno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</si>
  <si>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</si>
  <si>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Pentacloronitrobenzeno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</si>
  <si>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</si>
  <si>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Pentaeritritol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</si>
  <si>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</si>
  <si>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GI</t>
  </si>
  <si>
    <t>Pentafluoreto de bromo</t>
  </si>
  <si>
    <t>Pentafluoreto de enxofre</t>
  </si>
  <si>
    <t>Irritação TRS; dano pulmão</t>
  </si>
  <si>
    <t>N-PENTANO</t>
  </si>
  <si>
    <t>2,4-Pentanodiona</t>
  </si>
  <si>
    <t>Neurotoxicidade; danos SNC</t>
  </si>
  <si>
    <t>Pentassulfeto de fósforo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</si>
  <si>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</si>
  <si>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Pentóxido de vanádio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</si>
  <si>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</si>
  <si>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TRS  e TRI</t>
  </si>
  <si>
    <t>Percloretileno (Tetracloroetileno)</t>
  </si>
  <si>
    <t>NIOSH 1003</t>
  </si>
  <si>
    <t>1 a 10 L</t>
  </si>
  <si>
    <t>Perclorometil mercaptana</t>
  </si>
  <si>
    <t>Perfluorobutil etileno</t>
  </si>
  <si>
    <t>Perfluorisobutileno</t>
  </si>
  <si>
    <t>Irritação TRS; efe hematológico</t>
  </si>
  <si>
    <t>Perfluoroctanoato de amônio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</si>
  <si>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</si>
  <si>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Peróxido de benzoila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</si>
  <si>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</si>
  <si>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Peróxido de metil etil cetona</t>
  </si>
  <si>
    <t>Persulfatos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</si>
  <si>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</si>
  <si>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Picloram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</si>
  <si>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</si>
  <si>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Pindone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</si>
  <si>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</si>
  <si>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Coagulação</t>
  </si>
  <si>
    <t>Piperazina e sais</t>
  </si>
  <si>
    <t>Sens resp; asma</t>
  </si>
  <si>
    <t>Piretro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</si>
  <si>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</si>
  <si>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 fígado; Irritação TRI</t>
  </si>
  <si>
    <t>Pirosfato de tetraetila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</si>
  <si>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</si>
  <si>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Platina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</si>
  <si>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</si>
  <si>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Asma; Irritação TRS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</si>
  <si>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</si>
  <si>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Propano sulfona</t>
  </si>
  <si>
    <t>2-Propanol</t>
  </si>
  <si>
    <t>Propileno</t>
  </si>
  <si>
    <t>Asfixia; Irritação TRS</t>
  </si>
  <si>
    <t>Propileno imina</t>
  </si>
  <si>
    <t>1,6</t>
  </si>
  <si>
    <t>β - Propiolactona</t>
  </si>
  <si>
    <t>Câncer pele; Irritação TRS</t>
  </si>
  <si>
    <t>Propionaldeído</t>
  </si>
  <si>
    <t>Propoxur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</si>
  <si>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</si>
  <si>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PVC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</si>
  <si>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</si>
  <si>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Pneumoconiose; Irritação TRI; alteração da função pulmonar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</si>
  <si>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</si>
  <si>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Quinona</t>
  </si>
  <si>
    <t>Resina de vareta (eletrodo arame) de solda</t>
  </si>
  <si>
    <t>Sens pele; dermatite; asma</t>
  </si>
  <si>
    <t>Resorcinol</t>
  </si>
  <si>
    <t>Ródio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</si>
  <si>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</si>
  <si>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TRS / Irritação TRI</t>
  </si>
  <si>
    <t>Ronel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</si>
  <si>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</si>
  <si>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Rotenona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</si>
  <si>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</si>
  <si>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Sacarose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</si>
  <si>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</si>
  <si>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Corrosão dental</t>
  </si>
  <si>
    <t>Seleneto de hidrogênio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</si>
  <si>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</si>
  <si>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Sesone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</si>
  <si>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</si>
  <si>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Sílica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</si>
  <si>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</si>
  <si>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Fibrose pulmonar; câncer do pulmão</t>
  </si>
  <si>
    <t>Sílica livre cristalina</t>
  </si>
  <si>
    <t xml:space="preserve">NIOSH 7602 </t>
  </si>
  <si>
    <t>Espectrofotometria de Infravermelho</t>
  </si>
  <si>
    <t>600 a 800</t>
  </si>
  <si>
    <t>Sílica livre</t>
  </si>
  <si>
    <t>02.18.001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</si>
  <si>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</si>
  <si>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 xml:space="preserve">Fibrose pumonar; câncer do pulmão </t>
  </si>
  <si>
    <t>Silicato de cálcio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</si>
  <si>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</si>
  <si>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Silicato de etila</t>
  </si>
  <si>
    <t>Irritação olhos e TRS; dano rins</t>
  </si>
  <si>
    <t>Silicato de metila</t>
  </si>
  <si>
    <t>Subtilisins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</si>
  <si>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</si>
  <si>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0,0000528</t>
  </si>
  <si>
    <t>Asma; Irritação pele, TRS  e TRI</t>
  </si>
  <si>
    <t>Sulfamato e amônio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</si>
  <si>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</si>
  <si>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Sulfato de bário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</si>
  <si>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</si>
  <si>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Sulfato de cálcio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</si>
  <si>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</si>
  <si>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Sintomas nasais</t>
  </si>
  <si>
    <t>Sulfato de dimetila</t>
  </si>
  <si>
    <t>Sulfeto de carbonila</t>
  </si>
  <si>
    <t>Sufeto de hidrogênio</t>
  </si>
  <si>
    <t>Sufeto de dimetila</t>
  </si>
  <si>
    <t>Sulfometuron metil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</si>
  <si>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</si>
  <si>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Sulfotep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</si>
  <si>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</si>
  <si>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Sulprofos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</si>
  <si>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</si>
  <si>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2,4,5-T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</si>
  <si>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</si>
  <si>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Talco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</si>
  <si>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</si>
  <si>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</si>
  <si>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 GI; neuropatia periférica</t>
  </si>
  <si>
    <t>Telureto de bismuto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</si>
  <si>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</si>
  <si>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Telúrio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</si>
  <si>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</si>
  <si>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Halitose</t>
  </si>
  <si>
    <t>Temefós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</si>
  <si>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</si>
  <si>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Terbufos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</si>
  <si>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</si>
  <si>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Terebentina</t>
  </si>
  <si>
    <t>Terfenilas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</si>
  <si>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</si>
  <si>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Terfenilas hidrogenadas</t>
  </si>
  <si>
    <t>Tetrabrometo de acetileno</t>
  </si>
  <si>
    <t>Irritação olhos e TRS; edema pulmonar; dano fígado</t>
  </si>
  <si>
    <t>Tetrabrometo de carbono</t>
  </si>
  <si>
    <t>Dano fígado; Irritação olhos, pele e TRS</t>
  </si>
  <si>
    <t>Tetracloreto de carbono</t>
  </si>
  <si>
    <t>1,1,1,2-Tetracloro-2,2-difluoretano</t>
  </si>
  <si>
    <t>Dano fígado e rins; compr SNC</t>
  </si>
  <si>
    <t>1,1,1,2-Tetracloro-1,2-difluoretano</t>
  </si>
  <si>
    <t>1,1,2,2-Tetracloroetano</t>
  </si>
  <si>
    <t>Tetracloronaftaleno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</si>
  <si>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</si>
  <si>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Tetrafluoretileno</t>
  </si>
  <si>
    <t>Dano fígado e rins; câncer fígado e rins</t>
  </si>
  <si>
    <t>Tetrafluoreto de enxofre</t>
  </si>
  <si>
    <t>Irritação olhos e TRS; dano pulmão</t>
  </si>
  <si>
    <t>Tetrahidreto de germânio</t>
  </si>
  <si>
    <t>Tetrahidreto de silício</t>
  </si>
  <si>
    <t>Irritação TRS; compr SNC; dano rins</t>
  </si>
  <si>
    <t>1 a 9</t>
  </si>
  <si>
    <t>Tetraquis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</si>
  <si>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</si>
  <si>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Tetrametil succinonitrila</t>
  </si>
  <si>
    <t>Dor de cabeça; náusea; conv SNC</t>
  </si>
  <si>
    <t>Tetril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</si>
  <si>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</si>
  <si>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Tetróxido de ósmio</t>
  </si>
  <si>
    <t>0,000176</t>
  </si>
  <si>
    <t>0,000528</t>
  </si>
  <si>
    <t>Thiram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</si>
  <si>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</si>
  <si>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Efe peso do corpo e hematológico</t>
  </si>
  <si>
    <t>Titânio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</si>
  <si>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</si>
  <si>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4,4´-Tiobis (6-terc-butil-m-cresol)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</si>
  <si>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</si>
  <si>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o-Tolidina</t>
  </si>
  <si>
    <t>Irritação olhos, bexiga e rins; câncer de bexiga; MeHb-emia</t>
  </si>
  <si>
    <t>02.03.023</t>
  </si>
  <si>
    <t>Compr visão; dano reprod feminino; aborto</t>
  </si>
  <si>
    <t>o-Toluidina</t>
  </si>
  <si>
    <t>m-Toluidina</t>
  </si>
  <si>
    <t>Irritação olhos, bexiga e rins; Me-HB</t>
  </si>
  <si>
    <t>Tribrometo de boro</t>
  </si>
  <si>
    <t>Tricloreto de fósforo</t>
  </si>
  <si>
    <t>Triclorfon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</si>
  <si>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</si>
  <si>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Triclorometil benzeno</t>
  </si>
  <si>
    <t>Irritação TRS, pele e olhos</t>
  </si>
  <si>
    <t>1,1,2-Tricloro-1,2,2-trifluoretano</t>
  </si>
  <si>
    <t>1,2,4-Triclorobenzeno</t>
  </si>
  <si>
    <t>Irritação olhos eTRS</t>
  </si>
  <si>
    <t>Tricloretileno</t>
  </si>
  <si>
    <t>Compr SNC; perdas cognitivas; toxicidade renal</t>
  </si>
  <si>
    <t>Triclorofluormetano</t>
  </si>
  <si>
    <t>Tricloronaftaleno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</si>
  <si>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</si>
  <si>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 fígado; cloroacne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</si>
  <si>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</si>
  <si>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Trietilamina</t>
  </si>
  <si>
    <t>Conmpr visão; Irritação TRS</t>
  </si>
  <si>
    <t>Trifluorbromometano</t>
  </si>
  <si>
    <t>Conpr SNC e card</t>
  </si>
  <si>
    <t>Trifluoreto de boro</t>
  </si>
  <si>
    <t>Irritação TRI; penumonite</t>
  </si>
  <si>
    <t>Trifluoreto de cloro</t>
  </si>
  <si>
    <t>Trifluoreto de nitrogênio</t>
  </si>
  <si>
    <t>MeHb-emia; dano fígado e rins</t>
  </si>
  <si>
    <t>1,3,5-Triglicidil-s-triazinetriona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</si>
  <si>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</si>
  <si>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Dano reprod masculino</t>
  </si>
  <si>
    <t>Trimetilamina</t>
  </si>
  <si>
    <t>Trimetil benzeno</t>
  </si>
  <si>
    <t>Compr SNC; asma; efe hematológico</t>
  </si>
  <si>
    <t>Trióxido de antimônio</t>
  </si>
  <si>
    <t>Câncer de pulmão; pneumoconiose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</si>
  <si>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</si>
  <si>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Urânio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</si>
  <si>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</si>
  <si>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n-Valeraldeído</t>
  </si>
  <si>
    <t>4-Viniciclohexano</t>
  </si>
  <si>
    <t>Dano reprod feminino e masculino</t>
  </si>
  <si>
    <t>n-Vinil-2-pIrritaçãoolidone</t>
  </si>
  <si>
    <t>Warfarin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</si>
  <si>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</si>
  <si>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02.03.002</t>
  </si>
  <si>
    <t>NIOSH 1501 -</t>
  </si>
  <si>
    <t>2 - 23</t>
  </si>
  <si>
    <t>Xilidina</t>
  </si>
  <si>
    <t>Dano fígado; MeHb-emia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</si>
  <si>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</si>
  <si>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Irritação olhos e TRS; compr cóclea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</si>
  <si>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</si>
  <si>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Gravimétrico</t>
  </si>
  <si>
    <t>máx. 400 L</t>
  </si>
  <si>
    <t>Partículas não especificadas de outra maneira (Total)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</si>
  <si>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</si>
  <si>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1 a 2</t>
  </si>
  <si>
    <t>Partículas Inaláveis (Madeira)</t>
  </si>
  <si>
    <r>
      <rPr>
        <rFont val="Arial"/>
        <color theme="1"/>
        <sz val="10.0"/>
      </rPr>
      <t>mg/m</t>
    </r>
    <r>
      <rPr>
        <rFont val="Arial"/>
        <color theme="1"/>
        <sz val="10.0"/>
        <vertAlign val="superscript"/>
      </rPr>
      <t>3</t>
    </r>
  </si>
  <si>
    <t>MDHS 14/3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</si>
</sst>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General_)"/>
    <numFmt numFmtId="165" formatCode="0.000"/>
    <numFmt numFmtId="166" formatCode="[$-F400]h:mm:ss\ AM/PM"/>
    <numFmt numFmtId="167" formatCode="[$-F800]dddd\,\ mmmm\ dd\,\ yyyy"/>
    <numFmt numFmtId="168" formatCode="d&quot; de &quot;mmmm&quot; de &quot;yyyy"/>
    <numFmt numFmtId="169" formatCode="0.0"/>
  </numFmts>
  <fonts count="30">
    <font>
      <sz val="11.0"/>
      <color theme="1"/>
      <name val="Calibri"/>
      <scheme val="minor"/>
    </font>
    <font>
      <sz val="11.0"/>
      <color rgb="FF000000"/>
      <name val="Arial"/>
    </font>
    <font>
      <sz val="12.0"/>
      <color rgb="FF000000"/>
      <name val="Arial"/>
    </font>
    <font>
      <sz val="14.0"/>
      <color rgb="FF000000"/>
      <name val="Arial"/>
    </font>
    <font>
      <b/>
      <sz val="12.0"/>
      <color theme="1"/>
      <name val="Quattrocento Sans"/>
    </font>
    <font>
      <sz val="11.0"/>
      <color theme="1"/>
      <name val="Calibri"/>
    </font>
    <font>
      <sz val="16.0"/>
      <color theme="1"/>
      <name val="Quattrocento Sans"/>
    </font>
    <font>
      <b/>
      <sz val="11.0"/>
      <color theme="1"/>
      <name val="Arial"/>
    </font>
    <font/>
    <font>
      <sz val="12.0"/>
      <color theme="1"/>
      <name val="Arial"/>
    </font>
    <font>
      <sz val="11.0"/>
      <color theme="1"/>
      <name val="Arial"/>
    </font>
    <font>
      <sz val="11.0"/>
      <color rgb="FFFF0000"/>
      <name val="Arial"/>
    </font>
    <font>
      <b/>
      <sz val="11.0"/>
      <color rgb="FF000000"/>
      <name val="Arial"/>
    </font>
    <font>
      <b/>
      <sz val="10.0"/>
      <color rgb="FF000000"/>
      <name val="Arial"/>
    </font>
    <font>
      <sz val="10.0"/>
      <color rgb="FFFF0000"/>
      <name val="Arial"/>
    </font>
    <font>
      <sz val="10.0"/>
      <color theme="1"/>
      <name val="Arial"/>
    </font>
    <font>
      <b/>
      <sz val="12.0"/>
      <color rgb="FF000000"/>
      <name val="Arial"/>
    </font>
    <font>
      <b/>
      <sz val="10.0"/>
      <color theme="1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10.0"/>
      <color rgb="FF000000"/>
      <name val="Arial"/>
    </font>
    <font>
      <b/>
      <sz val="9.0"/>
      <color theme="1"/>
      <name val="Arial"/>
    </font>
    <font>
      <sz val="9.0"/>
      <color theme="1"/>
      <name val="Arial"/>
    </font>
    <font>
      <sz val="11.0"/>
      <color theme="0"/>
      <name val="Arial"/>
    </font>
    <font>
      <sz val="18.0"/>
      <color rgb="FF000000"/>
      <name val="Quattrocento Sans"/>
    </font>
    <font>
      <b/>
      <sz val="12.0"/>
      <color theme="1"/>
      <name val="Arial"/>
    </font>
    <font>
      <color rgb="FFFFFFFF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2.0"/>
      <color theme="1"/>
      <name val="Texto"/>
    </font>
  </fonts>
  <fills count="8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FF0000"/>
        <bgColor rgb="FFFF0000"/>
      </patternFill>
    </fill>
  </fills>
  <borders count="50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  <bottom/>
    </border>
    <border>
      <left/>
      <top/>
    </border>
    <border>
      <right/>
      <top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</border>
    <border>
      <left/>
      <right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vertical="center"/>
    </xf>
    <xf borderId="1" fillId="2" fontId="2" numFmtId="164" xfId="0" applyAlignment="1" applyBorder="1" applyFont="1" applyNumberFormat="1">
      <alignment vertical="center"/>
    </xf>
    <xf borderId="1" fillId="2" fontId="3" numFmtId="164" xfId="0" applyAlignment="1" applyBorder="1" applyFont="1" applyNumberFormat="1">
      <alignment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1" fillId="2" fontId="2" numFmtId="164" xfId="0" applyAlignment="1" applyBorder="1" applyFont="1" applyNumberFormat="1">
      <alignment shrinkToFit="0" vertical="center" wrapText="1"/>
    </xf>
    <xf borderId="2" fillId="2" fontId="7" numFmtId="0" xfId="0" applyAlignment="1" applyBorder="1" applyFont="1">
      <alignment horizontal="right" vertical="center"/>
    </xf>
    <xf borderId="1" fillId="2" fontId="1" numFmtId="164" xfId="0" applyAlignment="1" applyBorder="1" applyFont="1" applyNumberFormat="1">
      <alignment horizontal="left" vertical="center"/>
    </xf>
    <xf borderId="3" fillId="0" fontId="8" numFmtId="0" xfId="0" applyBorder="1" applyFont="1"/>
    <xf borderId="1" fillId="2" fontId="1" numFmtId="164" xfId="0" applyAlignment="1" applyBorder="1" applyFont="1" applyNumberFormat="1">
      <alignment shrinkToFit="0" vertical="center" wrapText="1"/>
    </xf>
    <xf borderId="4" fillId="0" fontId="8" numFmtId="0" xfId="0" applyBorder="1" applyFont="1"/>
    <xf borderId="1" fillId="3" fontId="3" numFmtId="164" xfId="0" applyAlignment="1" applyBorder="1" applyFill="1" applyFont="1" applyNumberFormat="1">
      <alignment horizontal="left" vertical="center"/>
    </xf>
    <xf borderId="1" fillId="2" fontId="2" numFmtId="164" xfId="0" applyAlignment="1" applyBorder="1" applyFont="1" applyNumberFormat="1">
      <alignment horizontal="right" vertical="center"/>
    </xf>
    <xf borderId="1" fillId="2" fontId="2" numFmtId="164" xfId="0" applyAlignment="1" applyBorder="1" applyFont="1" applyNumberFormat="1">
      <alignment horizontal="left" vertical="center"/>
    </xf>
    <xf borderId="5" fillId="2" fontId="7" numFmtId="164" xfId="0" applyAlignment="1" applyBorder="1" applyFont="1" applyNumberFormat="1">
      <alignment horizontal="right" vertical="center"/>
    </xf>
    <xf borderId="5" fillId="2" fontId="7" numFmtId="164" xfId="0" applyAlignment="1" applyBorder="1" applyFont="1" applyNumberFormat="1">
      <alignment vertical="center"/>
    </xf>
    <xf borderId="6" fillId="2" fontId="7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7" fillId="2" fontId="10" numFmtId="0" xfId="0" applyAlignment="1" applyBorder="1" applyFont="1">
      <alignment horizontal="right" vertical="center"/>
    </xf>
    <xf borderId="2" fillId="2" fontId="10" numFmtId="0" xfId="0" applyAlignment="1" applyBorder="1" applyFont="1">
      <alignment horizontal="left" vertical="center"/>
    </xf>
    <xf borderId="8" fillId="0" fontId="8" numFmtId="0" xfId="0" applyBorder="1" applyFont="1"/>
    <xf borderId="9" fillId="0" fontId="10" numFmtId="0" xfId="0" applyAlignment="1" applyBorder="1" applyFont="1">
      <alignment horizontal="left" vertical="center"/>
    </xf>
    <xf borderId="0" fillId="0" fontId="10" numFmtId="164" xfId="0" applyAlignment="1" applyFont="1" applyNumberFormat="1">
      <alignment horizontal="left" shrinkToFit="0" vertical="center" wrapText="1"/>
    </xf>
    <xf borderId="10" fillId="0" fontId="8" numFmtId="0" xfId="0" applyBorder="1" applyFont="1"/>
    <xf borderId="9" fillId="0" fontId="1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left" vertical="center"/>
    </xf>
    <xf borderId="12" fillId="0" fontId="10" numFmtId="0" xfId="0" applyAlignment="1" applyBorder="1" applyFont="1">
      <alignment horizontal="left" shrinkToFit="0" vertical="center" wrapText="1"/>
    </xf>
    <xf borderId="12" fillId="0" fontId="8" numFmtId="0" xfId="0" applyBorder="1" applyFont="1"/>
    <xf borderId="13" fillId="0" fontId="8" numFmtId="0" xfId="0" applyBorder="1" applyFont="1"/>
    <xf borderId="2" fillId="2" fontId="1" numFmtId="0" xfId="0" applyAlignment="1" applyBorder="1" applyFont="1">
      <alignment horizontal="left" vertical="center"/>
    </xf>
    <xf borderId="14" fillId="0" fontId="1" numFmtId="0" xfId="0" applyAlignment="1" applyBorder="1" applyFont="1">
      <alignment horizontal="left" vertical="center"/>
    </xf>
    <xf borderId="15" fillId="3" fontId="1" numFmtId="0" xfId="0" applyAlignment="1" applyBorder="1" applyFont="1">
      <alignment horizontal="left" vertical="center"/>
    </xf>
    <xf borderId="16" fillId="0" fontId="8" numFmtId="0" xfId="0" applyBorder="1" applyFont="1"/>
    <xf borderId="17" fillId="0" fontId="8" numFmtId="0" xfId="0" applyBorder="1" applyFont="1"/>
    <xf borderId="9" fillId="0" fontId="1" numFmtId="0" xfId="0" applyAlignment="1" applyBorder="1" applyFont="1">
      <alignment vertical="center"/>
    </xf>
    <xf borderId="18" fillId="3" fontId="1" numFmtId="0" xfId="0" applyAlignment="1" applyBorder="1" applyFont="1">
      <alignment horizontal="left" vertical="center"/>
    </xf>
    <xf borderId="19" fillId="0" fontId="8" numFmtId="0" xfId="0" applyBorder="1" applyFont="1"/>
    <xf borderId="20" fillId="0" fontId="8" numFmtId="0" xfId="0" applyBorder="1" applyFont="1"/>
    <xf borderId="0" fillId="0" fontId="1" numFmtId="0" xfId="0" applyAlignment="1" applyFont="1">
      <alignment horizontal="right" vertical="center"/>
    </xf>
    <xf borderId="18" fillId="3" fontId="10" numFmtId="0" xfId="0" applyAlignment="1" applyBorder="1" applyFont="1">
      <alignment horizontal="left" vertical="center"/>
    </xf>
    <xf borderId="21" fillId="0" fontId="8" numFmtId="0" xfId="0" applyBorder="1" applyFont="1"/>
    <xf borderId="11" fillId="0" fontId="10" numFmtId="0" xfId="0" applyAlignment="1" applyBorder="1" applyFont="1">
      <alignment horizontal="left" vertical="center"/>
    </xf>
    <xf borderId="22" fillId="3" fontId="1" numFmtId="0" xfId="0" applyAlignment="1" applyBorder="1" applyFont="1">
      <alignment horizontal="left" vertical="center"/>
    </xf>
    <xf borderId="23" fillId="0" fontId="8" numFmtId="0" xfId="0" applyBorder="1" applyFont="1"/>
    <xf borderId="24" fillId="0" fontId="8" numFmtId="0" xfId="0" applyBorder="1" applyFont="1"/>
    <xf borderId="12" fillId="0" fontId="1" numFmtId="0" xfId="0" applyAlignment="1" applyBorder="1" applyFont="1">
      <alignment horizontal="right" vertical="center"/>
    </xf>
    <xf borderId="25" fillId="0" fontId="8" numFmtId="0" xfId="0" applyBorder="1" applyFont="1"/>
    <xf borderId="1" fillId="2" fontId="1" numFmtId="14" xfId="0" applyAlignment="1" applyBorder="1" applyFont="1" applyNumberFormat="1">
      <alignment vertical="center"/>
    </xf>
    <xf borderId="14" fillId="0" fontId="10" numFmtId="0" xfId="0" applyAlignment="1" applyBorder="1" applyFont="1">
      <alignment vertical="center"/>
    </xf>
    <xf borderId="15" fillId="3" fontId="11" numFmtId="14" xfId="0" applyAlignment="1" applyBorder="1" applyFont="1" applyNumberFormat="1">
      <alignment horizontal="left" vertical="center"/>
    </xf>
    <xf borderId="26" fillId="0" fontId="8" numFmtId="0" xfId="0" applyBorder="1" applyFont="1"/>
    <xf borderId="27" fillId="2" fontId="2" numFmtId="164" xfId="0" applyAlignment="1" applyBorder="1" applyFont="1" applyNumberFormat="1">
      <alignment horizontal="center" shrinkToFit="0" vertical="center" wrapText="1"/>
    </xf>
    <xf borderId="28" fillId="0" fontId="8" numFmtId="0" xfId="0" applyBorder="1" applyFont="1"/>
    <xf borderId="29" fillId="0" fontId="10" numFmtId="0" xfId="0" applyAlignment="1" applyBorder="1" applyFont="1">
      <alignment horizontal="left" vertical="center"/>
    </xf>
    <xf borderId="29" fillId="0" fontId="8" numFmtId="0" xfId="0" applyBorder="1" applyFont="1"/>
    <xf borderId="29" fillId="0" fontId="10" numFmtId="0" xfId="0" applyAlignment="1" applyBorder="1" applyFont="1">
      <alignment horizontal="right" vertical="center"/>
    </xf>
    <xf borderId="30" fillId="0" fontId="10" numFmtId="0" xfId="0" applyAlignment="1" applyBorder="1" applyFont="1">
      <alignment vertical="center"/>
    </xf>
    <xf borderId="12" fillId="0" fontId="10" numFmtId="0" xfId="0" applyAlignment="1" applyBorder="1" applyFont="1">
      <alignment horizontal="right" vertical="center"/>
    </xf>
    <xf borderId="22" fillId="3" fontId="11" numFmtId="0" xfId="0" applyAlignment="1" applyBorder="1" applyFont="1">
      <alignment vertical="center"/>
    </xf>
    <xf borderId="31" fillId="0" fontId="8" numFmtId="0" xfId="0" applyBorder="1" applyFont="1"/>
    <xf borderId="32" fillId="0" fontId="8" numFmtId="0" xfId="0" applyBorder="1" applyFont="1"/>
    <xf borderId="0" fillId="0" fontId="10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3" fillId="0" fontId="7" numFmtId="0" xfId="0" applyAlignment="1" applyBorder="1" applyFont="1">
      <alignment horizontal="center" vertical="center"/>
    </xf>
    <xf borderId="1" fillId="2" fontId="12" numFmtId="164" xfId="0" applyAlignment="1" applyBorder="1" applyFont="1" applyNumberFormat="1">
      <alignment vertical="center"/>
    </xf>
    <xf borderId="33" fillId="2" fontId="7" numFmtId="0" xfId="0" applyAlignment="1" applyBorder="1" applyFont="1">
      <alignment horizontal="center" shrinkToFit="0" vertical="center" wrapText="1"/>
    </xf>
    <xf borderId="1" fillId="2" fontId="12" numFmtId="164" xfId="0" applyAlignment="1" applyBorder="1" applyFont="1" applyNumberFormat="1">
      <alignment shrinkToFit="0" vertical="center" wrapText="1"/>
    </xf>
    <xf borderId="33" fillId="2" fontId="7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center" vertical="center"/>
    </xf>
    <xf borderId="34" fillId="0" fontId="8" numFmtId="0" xfId="0" applyBorder="1" applyFont="1"/>
    <xf borderId="35" fillId="2" fontId="7" numFmtId="0" xfId="0" applyAlignment="1" applyBorder="1" applyFont="1">
      <alignment horizontal="center" vertical="center"/>
    </xf>
    <xf borderId="36" fillId="3" fontId="10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right" shrinkToFit="0" vertical="center" wrapText="1"/>
    </xf>
    <xf borderId="29" fillId="0" fontId="10" numFmtId="165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left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37" fillId="3" fontId="10" numFmtId="0" xfId="0" applyAlignment="1" applyBorder="1" applyFont="1">
      <alignment horizontal="center" vertical="center"/>
    </xf>
    <xf borderId="1" fillId="2" fontId="1" numFmtId="2" xfId="0" applyAlignment="1" applyBorder="1" applyFont="1" applyNumberFormat="1">
      <alignment shrinkToFit="0" vertical="center" wrapText="1"/>
    </xf>
    <xf borderId="37" fillId="3" fontId="10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vertical="center"/>
    </xf>
    <xf borderId="38" fillId="0" fontId="8" numFmtId="0" xfId="0" applyBorder="1" applyFont="1"/>
    <xf borderId="39" fillId="3" fontId="10" numFmtId="0" xfId="0" applyAlignment="1" applyBorder="1" applyFont="1">
      <alignment horizontal="center" vertical="center"/>
    </xf>
    <xf borderId="40" fillId="0" fontId="8" numFmtId="0" xfId="0" applyBorder="1" applyFont="1"/>
    <xf borderId="29" fillId="0" fontId="10" numFmtId="0" xfId="0" applyAlignment="1" applyBorder="1" applyFont="1">
      <alignment horizontal="center" vertical="center"/>
    </xf>
    <xf borderId="29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8" fillId="2" fontId="2" numFmtId="164" xfId="0" applyAlignment="1" applyBorder="1" applyFont="1" applyNumberFormat="1">
      <alignment horizontal="left" vertical="center"/>
    </xf>
    <xf borderId="12" fillId="0" fontId="10" numFmtId="0" xfId="0" applyAlignment="1" applyBorder="1" applyFont="1">
      <alignment horizontal="center" vertical="center"/>
    </xf>
    <xf borderId="35" fillId="0" fontId="13" numFmtId="14" xfId="0" applyAlignment="1" applyBorder="1" applyFont="1" applyNumberFormat="1">
      <alignment horizontal="center" vertical="center"/>
    </xf>
    <xf borderId="36" fillId="4" fontId="10" numFmtId="0" xfId="0" applyAlignment="1" applyBorder="1" applyFill="1" applyFont="1">
      <alignment horizontal="center" vertical="center"/>
    </xf>
    <xf borderId="35" fillId="0" fontId="14" numFmtId="20" xfId="0" applyAlignment="1" applyBorder="1" applyFont="1" applyNumberFormat="1">
      <alignment vertical="center"/>
    </xf>
    <xf borderId="35" fillId="0" fontId="15" numFmtId="0" xfId="0" applyBorder="1" applyFont="1"/>
    <xf borderId="37" fillId="4" fontId="10" numFmtId="165" xfId="0" applyAlignment="1" applyBorder="1" applyFont="1" applyNumberFormat="1">
      <alignment horizontal="center" vertical="center"/>
    </xf>
    <xf borderId="37" fillId="4" fontId="10" numFmtId="0" xfId="0" applyAlignment="1" applyBorder="1" applyFont="1">
      <alignment horizontal="center" vertical="center"/>
    </xf>
    <xf borderId="1" fillId="2" fontId="16" numFmtId="164" xfId="0" applyAlignment="1" applyBorder="1" applyFont="1" applyNumberFormat="1">
      <alignment vertical="center"/>
    </xf>
    <xf borderId="29" fillId="0" fontId="1" numFmtId="0" xfId="0" applyAlignment="1" applyBorder="1" applyFont="1">
      <alignment horizontal="left" vertical="center"/>
    </xf>
    <xf borderId="30" fillId="0" fontId="8" numFmtId="0" xfId="0" applyBorder="1" applyFont="1"/>
    <xf borderId="35" fillId="0" fontId="13" numFmtId="0" xfId="0" applyAlignment="1" applyBorder="1" applyFont="1">
      <alignment vertical="center"/>
    </xf>
    <xf borderId="37" fillId="4" fontId="10" numFmtId="0" xfId="0" applyAlignment="1" applyBorder="1" applyFont="1">
      <alignment horizontal="center" shrinkToFit="0" vertical="center" wrapText="1"/>
    </xf>
    <xf borderId="35" fillId="0" fontId="15" numFmtId="166" xfId="0" applyBorder="1" applyFont="1" applyNumberFormat="1"/>
    <xf borderId="35" fillId="0" fontId="15" numFmtId="20" xfId="0" applyBorder="1" applyFont="1" applyNumberFormat="1"/>
    <xf borderId="1" fillId="4" fontId="10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39" fillId="4" fontId="10" numFmtId="0" xfId="0" applyAlignment="1" applyBorder="1" applyFont="1">
      <alignment horizontal="center" vertical="center"/>
    </xf>
    <xf borderId="35" fillId="0" fontId="17" numFmtId="0" xfId="0" applyBorder="1" applyFont="1"/>
    <xf borderId="35" fillId="0" fontId="15" numFmtId="0" xfId="0" applyAlignment="1" applyBorder="1" applyFont="1">
      <alignment horizontal="left"/>
    </xf>
    <xf borderId="12" fillId="0" fontId="1" numFmtId="0" xfId="0" applyAlignment="1" applyBorder="1" applyFont="1">
      <alignment horizontal="left" vertical="center"/>
    </xf>
    <xf borderId="35" fillId="0" fontId="13" numFmtId="0" xfId="0" applyAlignment="1" applyBorder="1" applyFont="1">
      <alignment horizontal="center" vertical="center"/>
    </xf>
    <xf borderId="35" fillId="0" fontId="14" numFmtId="2" xfId="0" applyAlignment="1" applyBorder="1" applyFont="1" applyNumberFormat="1">
      <alignment vertical="center"/>
    </xf>
    <xf borderId="29" fillId="0" fontId="11" numFmtId="14" xfId="0" applyAlignment="1" applyBorder="1" applyFont="1" applyNumberFormat="1">
      <alignment horizontal="left" vertical="center"/>
    </xf>
    <xf borderId="1" fillId="2" fontId="18" numFmtId="164" xfId="0" applyAlignment="1" applyBorder="1" applyFont="1" applyNumberFormat="1">
      <alignment vertical="center"/>
    </xf>
    <xf borderId="1" fillId="2" fontId="19" numFmtId="164" xfId="0" applyAlignment="1" applyBorder="1" applyFont="1" applyNumberFormat="1">
      <alignment vertical="center"/>
    </xf>
    <xf borderId="12" fillId="0" fontId="11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0" fillId="0" fontId="15" numFmtId="0" xfId="0" applyFont="1"/>
    <xf borderId="1" fillId="2" fontId="19" numFmtId="164" xfId="0" applyAlignment="1" applyBorder="1" applyFont="1" applyNumberFormat="1">
      <alignment horizontal="left" vertical="center"/>
    </xf>
    <xf borderId="37" fillId="2" fontId="7" numFmtId="0" xfId="0" applyAlignment="1" applyBorder="1" applyFont="1">
      <alignment horizontal="center" shrinkToFit="0" vertical="center" wrapText="1"/>
    </xf>
    <xf borderId="36" fillId="2" fontId="7" numFmtId="0" xfId="0" applyAlignment="1" applyBorder="1" applyFont="1">
      <alignment horizontal="center" shrinkToFit="0" vertical="center" wrapText="1"/>
    </xf>
    <xf borderId="37" fillId="2" fontId="7" numFmtId="0" xfId="0" applyAlignment="1" applyBorder="1" applyFont="1">
      <alignment horizontal="center" vertical="center"/>
    </xf>
    <xf borderId="15" fillId="2" fontId="7" numFmtId="0" xfId="0" applyAlignment="1" applyBorder="1" applyFont="1">
      <alignment horizontal="center" vertical="center"/>
    </xf>
    <xf borderId="39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vertical="center"/>
    </xf>
    <xf borderId="29" fillId="0" fontId="10" numFmtId="2" xfId="0" applyAlignment="1" applyBorder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15" numFmtId="2" xfId="0" applyAlignment="1" applyFont="1" applyNumberFormat="1">
      <alignment horizontal="right" vertical="center"/>
    </xf>
    <xf borderId="0" fillId="0" fontId="15" numFmtId="0" xfId="0" applyAlignment="1" applyFont="1">
      <alignment horizontal="left"/>
    </xf>
    <xf borderId="2" fillId="2" fontId="10" numFmtId="0" xfId="0" applyAlignment="1" applyBorder="1" applyFont="1">
      <alignment horizontal="right" vertical="center"/>
    </xf>
    <xf borderId="0" fillId="0" fontId="10" numFmtId="0" xfId="0" applyAlignment="1" applyFont="1">
      <alignment horizontal="right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vertical="center"/>
    </xf>
    <xf borderId="0" fillId="0" fontId="22" numFmtId="0" xfId="0" applyAlignment="1" applyFont="1">
      <alignment horizontal="left" vertical="center"/>
    </xf>
    <xf borderId="0" fillId="0" fontId="21" numFmtId="0" xfId="0" applyAlignment="1" applyFont="1">
      <alignment horizontal="left" vertical="center"/>
    </xf>
    <xf borderId="0" fillId="0" fontId="10" numFmtId="165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18" fillId="3" fontId="7" numFmtId="0" xfId="0" applyAlignment="1" applyBorder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23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center" wrapText="1"/>
    </xf>
    <xf borderId="0" fillId="0" fontId="7" numFmtId="0" xfId="0" applyAlignment="1" applyFont="1">
      <alignment vertical="center"/>
    </xf>
    <xf borderId="1" fillId="2" fontId="24" numFmtId="164" xfId="0" applyAlignment="1" applyBorder="1" applyFont="1" applyNumberFormat="1">
      <alignment vertical="center"/>
    </xf>
    <xf borderId="0" fillId="0" fontId="9" numFmtId="167" xfId="0" applyAlignment="1" applyFont="1" applyNumberFormat="1">
      <alignment vertical="center"/>
    </xf>
    <xf borderId="0" fillId="0" fontId="9" numFmtId="0" xfId="0" applyAlignment="1" applyFont="1">
      <alignment horizontal="right" vertical="center"/>
    </xf>
    <xf borderId="0" fillId="0" fontId="9" numFmtId="168" xfId="0" applyAlignment="1" applyFont="1" applyNumberFormat="1">
      <alignment horizontal="left" vertical="center"/>
    </xf>
    <xf borderId="0" fillId="0" fontId="5" numFmtId="0" xfId="0" applyAlignment="1" applyFont="1">
      <alignment vertical="center"/>
    </xf>
    <xf borderId="0" fillId="0" fontId="10" numFmtId="0" xfId="0" applyAlignment="1" applyFont="1">
      <alignment shrinkToFit="0" vertical="center" wrapText="1"/>
    </xf>
    <xf borderId="0" fillId="0" fontId="25" numFmtId="0" xfId="0" applyAlignment="1" applyFont="1">
      <alignment horizontal="center" vertical="center"/>
    </xf>
    <xf borderId="1" fillId="3" fontId="25" numFmtId="0" xfId="0" applyAlignment="1" applyBorder="1" applyFont="1">
      <alignment horizontal="center" vertical="center"/>
    </xf>
    <xf borderId="0" fillId="0" fontId="25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9" numFmtId="0" xfId="0" applyFont="1"/>
    <xf borderId="0" fillId="5" fontId="25" numFmtId="0" xfId="0" applyAlignment="1" applyFill="1" applyFont="1">
      <alignment horizontal="center" readingOrder="0" shrinkToFit="0" vertical="center" wrapText="1"/>
    </xf>
    <xf borderId="35" fillId="5" fontId="25" numFmtId="0" xfId="0" applyAlignment="1" applyBorder="1" applyFont="1">
      <alignment horizontal="center" shrinkToFit="0" vertical="center" wrapText="1"/>
    </xf>
    <xf borderId="35" fillId="5" fontId="25" numFmtId="0" xfId="0" applyAlignment="1" applyBorder="1" applyFont="1">
      <alignment horizontal="center" vertical="center"/>
    </xf>
    <xf borderId="35" fillId="3" fontId="25" numFmtId="0" xfId="0" applyAlignment="1" applyBorder="1" applyFont="1">
      <alignment horizontal="center" vertical="center"/>
    </xf>
    <xf borderId="35" fillId="6" fontId="25" numFmtId="0" xfId="0" applyAlignment="1" applyBorder="1" applyFill="1" applyFont="1">
      <alignment horizontal="center" shrinkToFit="0" vertical="center" wrapText="1"/>
    </xf>
    <xf borderId="35" fillId="3" fontId="25" numFmtId="0" xfId="0" applyAlignment="1" applyBorder="1" applyFont="1">
      <alignment horizontal="center" shrinkToFit="0" vertical="center" wrapText="1"/>
    </xf>
    <xf borderId="41" fillId="3" fontId="25" numFmtId="0" xfId="0" applyAlignment="1" applyBorder="1" applyFont="1">
      <alignment horizontal="center" shrinkToFit="0" vertical="center" wrapText="1"/>
    </xf>
    <xf borderId="41" fillId="5" fontId="25" numFmtId="0" xfId="0" applyAlignment="1" applyBorder="1" applyFont="1">
      <alignment horizontal="center" shrinkToFit="0" vertical="center" wrapText="1"/>
    </xf>
    <xf borderId="0" fillId="4" fontId="9" numFmtId="0" xfId="0" applyAlignment="1" applyFont="1">
      <alignment horizontal="center" readingOrder="0" shrinkToFit="0" vertical="center" wrapText="1"/>
    </xf>
    <xf borderId="35" fillId="4" fontId="9" numFmtId="0" xfId="0" applyAlignment="1" applyBorder="1" applyFont="1">
      <alignment horizontal="center" shrinkToFit="0" vertical="center" wrapText="1"/>
    </xf>
    <xf borderId="35" fillId="4" fontId="9" numFmtId="0" xfId="0" applyAlignment="1" applyBorder="1" applyFont="1">
      <alignment horizontal="center" vertical="center"/>
    </xf>
    <xf borderId="35" fillId="3" fontId="9" numFmtId="0" xfId="0" applyAlignment="1" applyBorder="1" applyFont="1">
      <alignment horizontal="center" vertical="center"/>
    </xf>
    <xf borderId="41" fillId="4" fontId="9" numFmtId="49" xfId="0" applyAlignment="1" applyBorder="1" applyFont="1" applyNumberFormat="1">
      <alignment horizontal="center" vertical="center"/>
    </xf>
    <xf borderId="41" fillId="4" fontId="9" numFmtId="0" xfId="0" applyAlignment="1" applyBorder="1" applyFont="1">
      <alignment horizontal="center" vertical="center"/>
    </xf>
    <xf borderId="35" fillId="4" fontId="9" numFmtId="49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42" fillId="4" fontId="9" numFmtId="0" xfId="0" applyAlignment="1" applyBorder="1" applyFont="1">
      <alignment horizontal="center" shrinkToFit="0" vertical="center" wrapText="1"/>
    </xf>
    <xf borderId="42" fillId="4" fontId="9" numFmtId="0" xfId="0" applyAlignment="1" applyBorder="1" applyFont="1">
      <alignment horizontal="center" vertical="center"/>
    </xf>
    <xf borderId="42" fillId="3" fontId="9" numFmtId="0" xfId="0" applyAlignment="1" applyBorder="1" applyFont="1">
      <alignment horizontal="center" vertical="center"/>
    </xf>
    <xf borderId="43" fillId="4" fontId="9" numFmtId="49" xfId="0" applyAlignment="1" applyBorder="1" applyFont="1" applyNumberFormat="1">
      <alignment horizontal="center" vertical="center"/>
    </xf>
    <xf borderId="43" fillId="4" fontId="9" numFmtId="0" xfId="0" applyAlignment="1" applyBorder="1" applyFont="1">
      <alignment horizontal="center" vertical="center"/>
    </xf>
    <xf borderId="44" fillId="0" fontId="9" numFmtId="0" xfId="0" applyAlignment="1" applyBorder="1" applyFont="1">
      <alignment horizontal="center" vertical="center"/>
    </xf>
    <xf borderId="34" fillId="4" fontId="9" numFmtId="0" xfId="0" applyAlignment="1" applyBorder="1" applyFont="1">
      <alignment horizontal="center" shrinkToFit="0" vertical="center" wrapText="1"/>
    </xf>
    <xf borderId="34" fillId="4" fontId="9" numFmtId="0" xfId="0" applyAlignment="1" applyBorder="1" applyFont="1">
      <alignment horizontal="center" vertical="center"/>
    </xf>
    <xf borderId="34" fillId="3" fontId="9" numFmtId="0" xfId="0" applyAlignment="1" applyBorder="1" applyFont="1">
      <alignment horizontal="center" vertical="center"/>
    </xf>
    <xf borderId="45" fillId="4" fontId="9" numFmtId="49" xfId="0" applyAlignment="1" applyBorder="1" applyFont="1" applyNumberFormat="1">
      <alignment horizontal="center" vertical="center"/>
    </xf>
    <xf borderId="45" fillId="4" fontId="9" numFmtId="0" xfId="0" applyAlignment="1" applyBorder="1" applyFont="1">
      <alignment horizontal="center" vertical="center"/>
    </xf>
    <xf borderId="0" fillId="0" fontId="26" numFmtId="0" xfId="0" applyFont="1"/>
    <xf borderId="1" fillId="2" fontId="20" numFmtId="164" xfId="0" applyAlignment="1" applyBorder="1" applyFont="1" applyNumberFormat="1">
      <alignment vertical="center"/>
    </xf>
    <xf borderId="0" fillId="0" fontId="27" numFmtId="0" xfId="0" applyFont="1"/>
    <xf borderId="41" fillId="4" fontId="9" numFmtId="0" xfId="0" applyAlignment="1" applyBorder="1" applyFont="1">
      <alignment horizontal="center" shrinkToFit="0" vertical="center" wrapText="1"/>
    </xf>
    <xf borderId="0" fillId="4" fontId="9" numFmtId="0" xfId="0" applyAlignment="1" applyFont="1">
      <alignment horizontal="center" shrinkToFit="0" vertical="center" wrapText="1"/>
    </xf>
    <xf borderId="18" fillId="2" fontId="1" numFmtId="49" xfId="0" applyAlignment="1" applyBorder="1" applyFont="1" applyNumberFormat="1">
      <alignment horizontal="center" shrinkToFit="0" vertical="center" wrapText="1"/>
    </xf>
    <xf borderId="0" fillId="4" fontId="9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5" fillId="2" fontId="7" numFmtId="0" xfId="0" applyAlignment="1" applyBorder="1" applyFont="1">
      <alignment horizontal="right" vertical="center"/>
    </xf>
    <xf borderId="5" fillId="2" fontId="7" numFmtId="0" xfId="0" applyAlignment="1" applyBorder="1" applyFont="1">
      <alignment vertical="center"/>
    </xf>
    <xf borderId="41" fillId="4" fontId="9" numFmtId="49" xfId="0" applyAlignment="1" applyBorder="1" applyFont="1" applyNumberFormat="1">
      <alignment horizontal="center" shrinkToFit="0" vertical="center" wrapText="1"/>
    </xf>
    <xf borderId="29" fillId="0" fontId="10" numFmtId="169" xfId="0" applyAlignment="1" applyBorder="1" applyFont="1" applyNumberFormat="1">
      <alignment horizontal="center" vertical="center"/>
    </xf>
    <xf borderId="35" fillId="4" fontId="9" numFmtId="49" xfId="0" applyAlignment="1" applyBorder="1" applyFont="1" applyNumberFormat="1">
      <alignment horizontal="center" shrinkToFit="0" vertical="center" wrapText="1"/>
    </xf>
    <xf borderId="1" fillId="3" fontId="9" numFmtId="0" xfId="0" applyAlignment="1" applyBorder="1" applyFont="1">
      <alignment horizontal="center" vertical="center"/>
    </xf>
    <xf borderId="0" fillId="0" fontId="22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0" fillId="0" fontId="15" numFmtId="0" xfId="0" applyAlignment="1" applyFont="1">
      <alignment vertical="center"/>
    </xf>
    <xf borderId="0" fillId="0" fontId="28" numFmtId="0" xfId="0" applyAlignment="1" applyFont="1">
      <alignment horizontal="left" shrinkToFit="0" vertical="center" wrapText="1"/>
    </xf>
    <xf borderId="41" fillId="3" fontId="22" numFmtId="0" xfId="0" applyAlignment="1" applyBorder="1" applyFont="1">
      <alignment horizontal="center" vertical="center"/>
    </xf>
    <xf borderId="35" fillId="3" fontId="15" numFmtId="0" xfId="0" applyAlignment="1" applyBorder="1" applyFont="1">
      <alignment horizontal="center" vertical="center"/>
    </xf>
    <xf borderId="35" fillId="0" fontId="15" numFmtId="0" xfId="0" applyAlignment="1" applyBorder="1" applyFont="1">
      <alignment horizontal="center" vertical="center"/>
    </xf>
    <xf borderId="9" fillId="0" fontId="15" numFmtId="0" xfId="0" applyAlignment="1" applyBorder="1" applyFont="1">
      <alignment vertical="center"/>
    </xf>
    <xf borderId="35" fillId="4" fontId="9" numFmtId="2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35" fillId="4" fontId="9" numFmtId="14" xfId="0" applyAlignment="1" applyBorder="1" applyFont="1" applyNumberFormat="1">
      <alignment horizontal="center" vertical="center"/>
    </xf>
    <xf borderId="35" fillId="3" fontId="9" numFmtId="3" xfId="0" applyAlignment="1" applyBorder="1" applyFont="1" applyNumberForma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35" fillId="7" fontId="9" numFmtId="0" xfId="0" applyAlignment="1" applyBorder="1" applyFont="1">
      <alignment horizontal="center" shrinkToFit="0" vertical="center" wrapText="1"/>
    </xf>
    <xf borderId="35" fillId="5" fontId="17" numFmtId="0" xfId="0" applyAlignment="1" applyBorder="1" applyFont="1">
      <alignment horizontal="center" shrinkToFit="0" vertical="center" wrapText="1"/>
    </xf>
    <xf borderId="35" fillId="5" fontId="17" numFmtId="0" xfId="0" applyAlignment="1" applyBorder="1" applyFont="1">
      <alignment horizontal="center" vertical="center"/>
    </xf>
    <xf borderId="35" fillId="3" fontId="17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0" fillId="3" fontId="9" numFmtId="0" xfId="0" applyAlignment="1" applyFont="1">
      <alignment horizontal="center" vertical="center"/>
    </xf>
    <xf borderId="35" fillId="0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35" fillId="3" fontId="9" numFmtId="0" xfId="0" applyAlignment="1" applyBorder="1" applyFont="1">
      <alignment horizontal="center" shrinkToFit="0" vertical="center" wrapText="1"/>
    </xf>
    <xf borderId="41" fillId="3" fontId="9" numFmtId="49" xfId="0" applyAlignment="1" applyBorder="1" applyFont="1" applyNumberFormat="1">
      <alignment horizontal="center" shrinkToFit="0" vertical="center" wrapText="1"/>
    </xf>
    <xf borderId="41" fillId="3" fontId="9" numFmtId="0" xfId="0" applyAlignment="1" applyBorder="1" applyFont="1">
      <alignment horizontal="center" vertical="center"/>
    </xf>
    <xf borderId="35" fillId="0" fontId="15" numFmtId="16" xfId="0" applyAlignment="1" applyBorder="1" applyFont="1" applyNumberFormat="1">
      <alignment horizontal="center" vertical="center"/>
    </xf>
    <xf borderId="1" fillId="4" fontId="9" numFmtId="16" xfId="0" applyAlignment="1" applyBorder="1" applyFont="1" applyNumberFormat="1">
      <alignment horizontal="center" shrinkToFit="0" vertical="center" wrapText="1"/>
    </xf>
    <xf borderId="35" fillId="0" fontId="9" numFmtId="0" xfId="0" applyAlignment="1" applyBorder="1" applyFont="1">
      <alignment horizontal="center" shrinkToFit="0" vertical="center" wrapText="1"/>
    </xf>
    <xf borderId="35" fillId="0" fontId="9" numFmtId="0" xfId="0" applyAlignment="1" applyBorder="1" applyFont="1">
      <alignment horizontal="center" vertical="center"/>
    </xf>
    <xf borderId="33" fillId="0" fontId="15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horizontal="center" shrinkToFit="0" vertical="center" wrapText="1"/>
    </xf>
    <xf borderId="34" fillId="0" fontId="15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vertical="center"/>
    </xf>
    <xf borderId="35" fillId="0" fontId="15" numFmtId="49" xfId="0" applyAlignment="1" applyBorder="1" applyFont="1" applyNumberFormat="1">
      <alignment horizontal="center" vertical="center"/>
    </xf>
    <xf borderId="35" fillId="0" fontId="15" numFmtId="49" xfId="0" applyAlignment="1" applyBorder="1" applyFont="1" applyNumberFormat="1">
      <alignment horizontal="center" shrinkToFit="0" vertical="center" wrapText="1"/>
    </xf>
    <xf quotePrefix="1" borderId="35" fillId="0" fontId="15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35" fillId="4" fontId="9" numFmtId="169" xfId="0" applyAlignment="1" applyBorder="1" applyFont="1" applyNumberFormat="1">
      <alignment horizontal="center" vertical="center"/>
    </xf>
    <xf borderId="35" fillId="0" fontId="15" numFmtId="3" xfId="0" applyAlignment="1" applyBorder="1" applyFont="1" applyNumberFormat="1">
      <alignment horizontal="center" vertical="center"/>
    </xf>
    <xf borderId="35" fillId="0" fontId="15" numFmtId="4" xfId="0" applyAlignment="1" applyBorder="1" applyFont="1" applyNumberFormat="1">
      <alignment horizontal="center" vertical="center"/>
    </xf>
    <xf borderId="35" fillId="0" fontId="5" numFmtId="0" xfId="0" applyAlignment="1" applyBorder="1" applyFont="1">
      <alignment horizontal="center" shrinkToFit="0" vertical="center" wrapText="1"/>
    </xf>
    <xf borderId="46" fillId="3" fontId="9" numFmtId="0" xfId="0" applyAlignment="1" applyBorder="1" applyFont="1">
      <alignment horizontal="center" vertical="center"/>
    </xf>
    <xf borderId="46" fillId="4" fontId="9" numFmtId="0" xfId="0" applyAlignment="1" applyBorder="1" applyFont="1">
      <alignment horizontal="center" vertical="center"/>
    </xf>
    <xf borderId="46" fillId="4" fontId="9" numFmtId="0" xfId="0" applyAlignment="1" applyBorder="1" applyFont="1">
      <alignment horizontal="center" shrinkToFit="0" vertical="center" wrapText="1"/>
    </xf>
    <xf borderId="36" fillId="4" fontId="9" numFmtId="0" xfId="0" applyAlignment="1" applyBorder="1" applyFont="1">
      <alignment horizontal="center" vertical="center"/>
    </xf>
    <xf borderId="6" fillId="3" fontId="9" numFmtId="0" xfId="0" applyAlignment="1" applyBorder="1" applyFont="1">
      <alignment horizontal="center" vertical="center"/>
    </xf>
    <xf borderId="36" fillId="4" fontId="9" numFmtId="0" xfId="0" applyAlignment="1" applyBorder="1" applyFont="1">
      <alignment horizontal="center" shrinkToFit="0" vertical="center" wrapText="1"/>
    </xf>
    <xf borderId="47" fillId="3" fontId="9" numFmtId="0" xfId="0" applyAlignment="1" applyBorder="1" applyFont="1">
      <alignment horizontal="center" vertical="center"/>
    </xf>
    <xf borderId="48" fillId="3" fontId="9" numFmtId="0" xfId="0" applyAlignment="1" applyBorder="1" applyFont="1">
      <alignment horizontal="center" vertical="center"/>
    </xf>
    <xf borderId="48" fillId="4" fontId="9" numFmtId="0" xfId="0" applyAlignment="1" applyBorder="1" applyFont="1">
      <alignment horizontal="center" vertical="center"/>
    </xf>
    <xf borderId="49" fillId="4" fontId="9" numFmtId="0" xfId="0" applyAlignment="1" applyBorder="1" applyFont="1">
      <alignment horizontal="center" vertical="center"/>
    </xf>
    <xf borderId="35" fillId="3" fontId="9" numFmtId="1" xfId="0" applyAlignment="1" applyBorder="1" applyFont="1" applyNumberFormat="1">
      <alignment horizontal="center" vertical="center"/>
    </xf>
    <xf borderId="35" fillId="4" fontId="29" numFmtId="49" xfId="0" applyAlignment="1" applyBorder="1" applyFont="1" applyNumberFormat="1">
      <alignment horizontal="center" shrinkToFit="0" vertical="center" wrapText="1"/>
    </xf>
    <xf borderId="41" fillId="4" fontId="9" numFmtId="1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readingOrder="0"/>
    </xf>
    <xf borderId="1" fillId="3" fontId="9" numFmtId="0" xfId="0" applyBorder="1" applyFont="1"/>
    <xf borderId="0" fillId="0" fontId="9" numFmtId="0" xfId="0" applyAlignment="1" applyFont="1">
      <alignment shrinkToFit="0" wrapText="1"/>
    </xf>
    <xf borderId="35" fillId="0" fontId="5" numFmtId="0" xfId="0" applyAlignment="1" applyBorder="1" applyFont="1">
      <alignment horizontal="center" vertical="center"/>
    </xf>
    <xf borderId="35" fillId="3" fontId="15" numFmtId="0" xfId="0" applyAlignment="1" applyBorder="1" applyFont="1">
      <alignment horizontal="center" shrinkToFit="0" vertical="center" wrapText="1"/>
    </xf>
    <xf borderId="35" fillId="0" fontId="15" numFmtId="169" xfId="0" applyAlignment="1" applyBorder="1" applyFont="1" applyNumberFormat="1">
      <alignment horizontal="center" vertical="center"/>
    </xf>
    <xf borderId="34" fillId="0" fontId="15" numFmtId="0" xfId="0" applyAlignment="1" applyBorder="1" applyFont="1">
      <alignment horizontal="center" vertical="center"/>
    </xf>
    <xf borderId="33" fillId="0" fontId="15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Lista de Empres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4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39125" cy="1914525"/>
    <xdr:sp>
      <xdr:nvSpPr>
        <xdr:cNvPr id="3" name="Shape 3"/>
        <xdr:cNvSpPr/>
      </xdr:nvSpPr>
      <xdr:spPr>
        <a:xfrm>
          <a:off x="1231200" y="2827500"/>
          <a:ext cx="8229600" cy="1905000"/>
        </a:xfrm>
        <a:prstGeom prst="rect">
          <a:avLst/>
        </a:prstGeom>
        <a:solidFill>
          <a:srgbClr val="323E4F"/>
        </a:solidFill>
        <a:ln cap="flat" cmpd="sng" w="12700">
          <a:solidFill>
            <a:schemeClr val="lt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9525</xdr:colOff>
      <xdr:row>35</xdr:row>
      <xdr:rowOff>228600</xdr:rowOff>
    </xdr:from>
    <xdr:ext cx="8391525" cy="2619375"/>
    <xdr:grpSp>
      <xdr:nvGrpSpPr>
        <xdr:cNvPr id="2" name="Shape 2"/>
        <xdr:cNvGrpSpPr/>
      </xdr:nvGrpSpPr>
      <xdr:grpSpPr>
        <a:xfrm>
          <a:off x="1150238" y="2470312"/>
          <a:ext cx="8391526" cy="2619376"/>
          <a:chOff x="1150238" y="2470312"/>
          <a:chExt cx="8391526" cy="2619376"/>
        </a:xfrm>
      </xdr:grpSpPr>
      <xdr:grpSp>
        <xdr:nvGrpSpPr>
          <xdr:cNvPr id="4" name="Shape 4"/>
          <xdr:cNvGrpSpPr/>
        </xdr:nvGrpSpPr>
        <xdr:grpSpPr>
          <a:xfrm>
            <a:off x="1150238" y="2470312"/>
            <a:ext cx="8391526" cy="2619376"/>
            <a:chOff x="115358" y="8501478"/>
            <a:chExt cx="7255041" cy="2382258"/>
          </a:xfrm>
        </xdr:grpSpPr>
        <xdr:sp>
          <xdr:nvSpPr>
            <xdr:cNvPr id="5" name="Shape 5"/>
            <xdr:cNvSpPr/>
          </xdr:nvSpPr>
          <xdr:spPr>
            <a:xfrm>
              <a:off x="115358" y="8501478"/>
              <a:ext cx="7255025" cy="2382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>
              <a:off x="115358" y="9331809"/>
              <a:ext cx="7255041" cy="1512388"/>
            </a:xfrm>
            <a:prstGeom prst="rect">
              <a:avLst/>
            </a:prstGeom>
            <a:solidFill>
              <a:srgbClr val="323E4F"/>
            </a:solidFill>
            <a:ln cap="flat" cmpd="sng" w="12700">
              <a:solidFill>
                <a:schemeClr val="lt1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" name="Shape 7"/>
            <xdr:cNvSpPr/>
          </xdr:nvSpPr>
          <xdr:spPr>
            <a:xfrm rot="-5400000">
              <a:off x="4301696" y="7765608"/>
              <a:ext cx="2332834" cy="3804573"/>
            </a:xfrm>
            <a:prstGeom prst="rtTriangle">
              <a:avLst/>
            </a:prstGeom>
            <a:gradFill>
              <a:gsLst>
                <a:gs pos="0">
                  <a:srgbClr val="FFFFFF"/>
                </a:gs>
                <a:gs pos="90000">
                  <a:srgbClr val="92D050"/>
                </a:gs>
                <a:gs pos="100000">
                  <a:srgbClr val="92D050"/>
                </a:gs>
              </a:gsLst>
              <a:lin ang="2700000" scaled="0"/>
            </a:gradFill>
            <a:ln cap="flat" cmpd="sng" w="12700">
              <a:solidFill>
                <a:schemeClr val="lt1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grpSp>
          <xdr:nvGrpSpPr>
            <xdr:cNvPr id="8" name="Shape 8"/>
            <xdr:cNvGrpSpPr/>
          </xdr:nvGrpSpPr>
          <xdr:grpSpPr>
            <a:xfrm>
              <a:off x="271823" y="9480082"/>
              <a:ext cx="5995084" cy="1403654"/>
              <a:chOff x="-1785293" y="11455096"/>
              <a:chExt cx="5433045" cy="1403654"/>
            </a:xfrm>
          </xdr:grpSpPr>
          <xdr:sp>
            <xdr:nvSpPr>
              <xdr:cNvPr id="9" name="Shape 9"/>
              <xdr:cNvSpPr txBox="1"/>
            </xdr:nvSpPr>
            <xdr:spPr>
              <a:xfrm>
                <a:off x="-1747978" y="11455096"/>
                <a:ext cx="5395730" cy="140365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Ecosegme</a:t>
                </a:r>
                <a:r>
                  <a:rPr b="0"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Consultoria Ambiental Ltda</a:t>
                </a:r>
                <a:endParaRPr b="0" sz="1100">
                  <a:solidFill>
                    <a:schemeClr val="lt1"/>
                  </a:solidFill>
                </a:endParaRPr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 </a:t>
                </a:r>
                <a:r>
                  <a:rPr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Rua Prof. Antônio Giulesse N. 354 - Alvorada 02 - Manaus/AM.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>
                  <a:solidFill>
                    <a:schemeClr val="lt1"/>
                  </a:solidFill>
                </a:endParaRPr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     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      </a:t>
                </a:r>
                <a:r>
                  <a:rPr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08.584.308/0001-33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>
                  <a:solidFill>
                    <a:schemeClr val="lt1"/>
                  </a:solidFill>
                </a:endParaRPr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      </a:t>
                </a:r>
                <a:r>
                  <a:rPr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(92)</a:t>
                </a:r>
                <a:r>
                  <a:rPr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3657 - 7043                      vendas@ecosegme.com.br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descr="Telefone" id="10" name="Shape 10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-1764975" y="12526634"/>
                <a:ext cx="261204" cy="257007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Banco" id="11" name="Shape 11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-1771601" y="11776186"/>
                <a:ext cx="216426" cy="227352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Email" id="12" name="Shape 12"/>
              <xdr:cNvPicPr preferRelativeResize="0"/>
            </xdr:nvPicPr>
            <xdr:blipFill rotWithShape="1">
              <a:blip r:embed="rId3">
                <a:alphaModFix/>
              </a:blip>
              <a:srcRect b="0" l="0" r="0" t="0"/>
              <a:stretch/>
            </xdr:blipFill>
            <xdr:spPr>
              <a:xfrm>
                <a:off x="-587446" y="12544018"/>
                <a:ext cx="223889" cy="227352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Documento" id="13" name="Shape 13"/>
              <xdr:cNvPicPr preferRelativeResize="0"/>
            </xdr:nvPicPr>
            <xdr:blipFill rotWithShape="1">
              <a:blip r:embed="rId4">
                <a:alphaModFix/>
              </a:blip>
              <a:srcRect b="0" l="0" r="0" t="0"/>
              <a:stretch/>
            </xdr:blipFill>
            <xdr:spPr>
              <a:xfrm flipH="1">
                <a:off x="-1785293" y="12237805"/>
                <a:ext cx="268667" cy="19589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0</xdr:col>
      <xdr:colOff>0</xdr:colOff>
      <xdr:row>0</xdr:row>
      <xdr:rowOff>0</xdr:rowOff>
    </xdr:from>
    <xdr:ext cx="3152775" cy="2676525"/>
    <xdr:sp>
      <xdr:nvSpPr>
        <xdr:cNvPr id="14" name="Shape 14"/>
        <xdr:cNvSpPr/>
      </xdr:nvSpPr>
      <xdr:spPr>
        <a:xfrm rot="5400000">
          <a:off x="4012500" y="2213138"/>
          <a:ext cx="2667000" cy="3133725"/>
        </a:xfrm>
        <a:prstGeom prst="rtTriangle">
          <a:avLst/>
        </a:prstGeom>
        <a:gradFill>
          <a:gsLst>
            <a:gs pos="0">
              <a:srgbClr val="FFFFFF"/>
            </a:gs>
            <a:gs pos="90000">
              <a:srgbClr val="92D050"/>
            </a:gs>
            <a:gs pos="100000">
              <a:srgbClr val="92D050"/>
            </a:gs>
          </a:gsLst>
          <a:lin ang="2700000" scaled="0"/>
        </a:gradFill>
        <a:ln cap="flat" cmpd="sng" w="12700">
          <a:solidFill>
            <a:schemeClr val="lt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295275</xdr:colOff>
      <xdr:row>1</xdr:row>
      <xdr:rowOff>19050</xdr:rowOff>
    </xdr:from>
    <xdr:ext cx="4743450" cy="781050"/>
    <xdr:sp>
      <xdr:nvSpPr>
        <xdr:cNvPr id="15" name="Shape 15"/>
        <xdr:cNvSpPr txBox="1"/>
      </xdr:nvSpPr>
      <xdr:spPr>
        <a:xfrm>
          <a:off x="2979038" y="3394238"/>
          <a:ext cx="4733925" cy="7715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Monitoramento de Agentes Químicos</a:t>
          </a:r>
          <a:endParaRPr sz="3600">
            <a:solidFill>
              <a:schemeClr val="lt1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0</xdr:col>
      <xdr:colOff>0</xdr:colOff>
      <xdr:row>22</xdr:row>
      <xdr:rowOff>152400</xdr:rowOff>
    </xdr:from>
    <xdr:ext cx="7458075" cy="657225"/>
    <xdr:sp>
      <xdr:nvSpPr>
        <xdr:cNvPr id="16" name="Shape 16"/>
        <xdr:cNvSpPr txBox="1"/>
      </xdr:nvSpPr>
      <xdr:spPr>
        <a:xfrm>
          <a:off x="1616963" y="3456150"/>
          <a:ext cx="7458075" cy="647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4000">
            <a:solidFill>
              <a:srgbClr val="1E4E79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4</xdr:col>
      <xdr:colOff>266700</xdr:colOff>
      <xdr:row>8</xdr:row>
      <xdr:rowOff>161925</xdr:rowOff>
    </xdr:from>
    <xdr:ext cx="2800350" cy="2724150"/>
    <xdr:sp>
      <xdr:nvSpPr>
        <xdr:cNvPr id="17" name="Shape 17"/>
        <xdr:cNvSpPr/>
      </xdr:nvSpPr>
      <xdr:spPr>
        <a:xfrm>
          <a:off x="3960113" y="2427450"/>
          <a:ext cx="2771775" cy="2705100"/>
        </a:xfrm>
        <a:prstGeom prst="ellipse">
          <a:avLst/>
        </a:prstGeom>
        <a:blipFill rotWithShape="1">
          <a:blip r:embed="rId5">
            <a:alphaModFix/>
          </a:blip>
          <a:stretch>
            <a:fillRect b="0" l="0" r="0" t="0"/>
          </a:stretch>
        </a:blipFill>
        <a:ln cap="flat" cmpd="sng" w="28575">
          <a:solidFill>
            <a:schemeClr val="dk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323850</xdr:colOff>
      <xdr:row>26</xdr:row>
      <xdr:rowOff>104775</xdr:rowOff>
    </xdr:from>
    <xdr:ext cx="2895600" cy="495300"/>
    <xdr:sp>
      <xdr:nvSpPr>
        <xdr:cNvPr id="18" name="Shape 18"/>
        <xdr:cNvSpPr txBox="1"/>
      </xdr:nvSpPr>
      <xdr:spPr>
        <a:xfrm>
          <a:off x="3902963" y="3532350"/>
          <a:ext cx="2886075" cy="4953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4800">
            <a:solidFill>
              <a:srgbClr val="1E4E79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0</xdr:col>
      <xdr:colOff>76200</xdr:colOff>
      <xdr:row>24</xdr:row>
      <xdr:rowOff>161925</xdr:rowOff>
    </xdr:from>
    <xdr:ext cx="7286625" cy="495300"/>
    <xdr:sp>
      <xdr:nvSpPr>
        <xdr:cNvPr id="19" name="Shape 19"/>
        <xdr:cNvSpPr txBox="1"/>
      </xdr:nvSpPr>
      <xdr:spPr>
        <a:xfrm>
          <a:off x="1707450" y="3532350"/>
          <a:ext cx="7277100" cy="4953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4800">
            <a:solidFill>
              <a:srgbClr val="1E4E79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0</xdr:col>
      <xdr:colOff>76200</xdr:colOff>
      <xdr:row>34</xdr:row>
      <xdr:rowOff>209550</xdr:rowOff>
    </xdr:from>
    <xdr:ext cx="7286625" cy="495300"/>
    <xdr:sp>
      <xdr:nvSpPr>
        <xdr:cNvPr id="20" name="Shape 20"/>
        <xdr:cNvSpPr txBox="1"/>
      </xdr:nvSpPr>
      <xdr:spPr>
        <a:xfrm>
          <a:off x="1707450" y="3532350"/>
          <a:ext cx="7277100" cy="4953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4400">
            <a:solidFill>
              <a:srgbClr val="1E4E79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2</xdr:col>
      <xdr:colOff>514350</xdr:colOff>
      <xdr:row>3</xdr:row>
      <xdr:rowOff>219075</xdr:rowOff>
    </xdr:from>
    <xdr:ext cx="4305300" cy="542925"/>
    <xdr:sp>
      <xdr:nvSpPr>
        <xdr:cNvPr id="21" name="Shape 21"/>
        <xdr:cNvSpPr/>
      </xdr:nvSpPr>
      <xdr:spPr>
        <a:xfrm>
          <a:off x="3198113" y="3513300"/>
          <a:ext cx="4295775" cy="533400"/>
        </a:xfrm>
        <a:prstGeom prst="octagon">
          <a:avLst>
            <a:gd fmla="val 29289" name="adj"/>
          </a:avLst>
        </a:prstGeom>
        <a:gradFill>
          <a:gsLst>
            <a:gs pos="0">
              <a:srgbClr val="FFFFFF"/>
            </a:gs>
            <a:gs pos="90000">
              <a:srgbClr val="92D050"/>
            </a:gs>
            <a:gs pos="100000">
              <a:srgbClr val="92D050"/>
            </a:gs>
          </a:gsLst>
          <a:lin ang="27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2400">
            <a:solidFill>
              <a:srgbClr val="002060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</xdr:row>
      <xdr:rowOff>114300</xdr:rowOff>
    </xdr:from>
    <xdr:ext cx="6524625" cy="7162800"/>
    <xdr:sp>
      <xdr:nvSpPr>
        <xdr:cNvPr id="22" name="Shape 22"/>
        <xdr:cNvSpPr txBox="1"/>
      </xdr:nvSpPr>
      <xdr:spPr>
        <a:xfrm>
          <a:off x="2083688" y="198600"/>
          <a:ext cx="6524625" cy="71628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       A avaliação de agentes químicos no ambiente de trabalho tem como objetivo identificar e avaliar os riscos associados à exposição a substâncias químicas no local de trabalho, visando à prevenção de doenças ocupacionais e à promoção da saúde e segurança dos trabalhadores.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       Os agentes químicos presentes no ambiente de trabalho podem incluir substâncias tóxicas, irritantes, corrosivas, inflamáveis, cancerígenas, entre outras. A exposição a esses agentes pode ocorrer por inalação, contato dérmico ou ingestão, e pode levar a uma série de efeitos adversos à saúde, como irritação das vias respiratórias, danos ao sistema nervoso, câncer, entre outros. </a:t>
          </a:r>
          <a:endParaRPr sz="1400"/>
        </a:p>
        <a:p>
          <a:pPr indent="0" lvl="0" marL="0" marR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Quattrocento Sans"/>
            <a:buNone/>
          </a:pP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        Este trabalho visa atender, principalmente, às recomendações do Programa de Gerenciamento de Riscos - PGR e a Norma Regulamentadora N.15 - Atividades e Operações Insalubres da Portaria 3.214 do Ministério do Trabalho.</a:t>
          </a:r>
          <a:endParaRPr sz="1200">
            <a:solidFill>
              <a:schemeClr val="dk1"/>
            </a:solidFill>
            <a:latin typeface="Quattrocento Sans"/>
            <a:ea typeface="Quattrocento Sans"/>
            <a:cs typeface="Quattrocento Sans"/>
            <a:sym typeface="Quattrocento Sans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        Em resumo, o objetivo da avaliação de agentes químicos no ambiente de trabalho é garantir a saúde e segurança dos trabalhadores, identificando os riscos relacionados à exposição a substâncias químicas e implementando medidas de controle eficazes para prevenir doenças ocupacionais.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133350</xdr:colOff>
      <xdr:row>41</xdr:row>
      <xdr:rowOff>171450</xdr:rowOff>
    </xdr:from>
    <xdr:ext cx="6391275" cy="8553450"/>
    <xdr:sp>
      <xdr:nvSpPr>
        <xdr:cNvPr id="23" name="Shape 23"/>
        <xdr:cNvSpPr txBox="1"/>
      </xdr:nvSpPr>
      <xdr:spPr>
        <a:xfrm>
          <a:off x="2155125" y="0"/>
          <a:ext cx="6381750" cy="7560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ACGIH:</a:t>
          </a: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</a:t>
          </a:r>
          <a:r>
            <a:rPr b="1" i="0" lang="en-US" sz="1100" u="none" strike="noStrike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American Conference of Governmental Industrial Hygienists</a:t>
          </a:r>
          <a:endParaRPr b="1" i="0" sz="1100">
            <a:solidFill>
              <a:schemeClr val="dk1"/>
            </a:solidFill>
            <a:latin typeface="Quattrocento Sans"/>
            <a:ea typeface="Quattrocento Sans"/>
            <a:cs typeface="Quattrocento Sans"/>
            <a:sym typeface="Quattrocento Sans"/>
          </a:endParaRPr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Card: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Cardíaco</a:t>
          </a:r>
          <a:endParaRPr sz="1400"/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COHb-emia: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Carboxihemoglobinemia</a:t>
          </a:r>
          <a:endParaRPr sz="1400"/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Compr: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Comprometimento</a:t>
          </a:r>
          <a:endParaRPr sz="1400"/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Convul: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Convulsão</a:t>
          </a:r>
          <a:endParaRPr sz="1400"/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Dan: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Dano</a:t>
          </a:r>
          <a:endParaRPr sz="1400"/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Efe: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Efeitos</a:t>
          </a:r>
          <a:endParaRPr sz="1400"/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Form: 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Formação</a:t>
          </a:r>
          <a:endParaRPr sz="1400"/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Fun: 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Função</a:t>
          </a:r>
          <a:endParaRPr sz="1400"/>
        </a:p>
        <a:p>
          <a:pPr indent="0" lvl="0" marL="0" marR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Quattrocento Sans"/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GI: 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Gastrointestinal</a:t>
          </a:r>
          <a:endParaRPr sz="1100">
            <a:latin typeface="Quattrocento Sans"/>
            <a:ea typeface="Quattrocento Sans"/>
            <a:cs typeface="Quattrocento Sans"/>
            <a:sym typeface="Quattrocento Sans"/>
          </a:endParaRPr>
        </a:p>
        <a:p>
          <a:pPr indent="0" lvl="0" marL="0" marR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Quattrocento Sans"/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Hb: 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Hemoglobina</a:t>
          </a:r>
          <a:endParaRPr sz="1400"/>
        </a:p>
        <a:p>
          <a:pPr indent="0" lvl="0" marL="0" marR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Quattrocento Sans"/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Inib: 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Inibição</a:t>
          </a:r>
          <a:endParaRPr sz="1400"/>
        </a:p>
        <a:p>
          <a:pPr indent="0" lvl="0" marL="0" marR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Quattrocento Sans"/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Irr: 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Irritação</a:t>
          </a:r>
          <a:endParaRPr sz="1400"/>
        </a:p>
        <a:p>
          <a:pPr indent="0" lvl="0" marL="0" marR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Quattrocento Sans"/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MeHb-emia: 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Metahemoglobinemia</a:t>
          </a:r>
          <a:endParaRPr sz="1400"/>
        </a:p>
        <a:p>
          <a:pPr indent="0" lvl="0" marL="0" marR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Quattrocento Sans"/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Pulm: 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Pulmonar</a:t>
          </a:r>
          <a:endParaRPr sz="1400"/>
        </a:p>
        <a:p>
          <a:pPr indent="0" lvl="0" marL="0" marR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Quattrocento Sans"/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Repro: 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Reprodutivo</a:t>
          </a:r>
          <a:endParaRPr sz="1400"/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Resp: 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Respiratório</a:t>
          </a:r>
          <a:endParaRPr sz="1100">
            <a:latin typeface="Quattrocento Sans"/>
            <a:ea typeface="Quattrocento Sans"/>
            <a:cs typeface="Quattrocento Sans"/>
            <a:sym typeface="Quattrocento Sans"/>
          </a:endParaRPr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Sens: 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Sensibilização</a:t>
          </a:r>
          <a:endParaRPr sz="1100">
            <a:latin typeface="Quattrocento Sans"/>
            <a:ea typeface="Quattrocento Sans"/>
            <a:cs typeface="Quattrocento Sans"/>
            <a:sym typeface="Quattrocento Sans"/>
          </a:endParaRPr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SNC: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Sistema Nervoso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Central</a:t>
          </a:r>
          <a:endParaRPr sz="1100">
            <a:latin typeface="Quattrocento Sans"/>
            <a:ea typeface="Quattrocento Sans"/>
            <a:cs typeface="Quattrocento Sans"/>
            <a:sym typeface="Quattrocento Sans"/>
          </a:endParaRPr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SNP: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Sistema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Nervoso Periférico</a:t>
          </a:r>
          <a:endParaRPr sz="1100">
            <a:latin typeface="Quattrocento Sans"/>
            <a:ea typeface="Quattrocento Sans"/>
            <a:cs typeface="Quattrocento Sans"/>
            <a:sym typeface="Quattrocento Sans"/>
          </a:endParaRPr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TRI: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Trato Respiratório inferior</a:t>
          </a:r>
          <a:endParaRPr sz="1400"/>
        </a:p>
        <a:p>
          <a:pPr indent="0" lvl="0" marL="0" rtl="0" algn="l">
            <a:lnSpc>
              <a:spcPct val="2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TRS: 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Trato respiratório</a:t>
          </a:r>
          <a:r>
            <a:rPr lang="en-US" sz="1100">
              <a:solidFill>
                <a:schemeClr val="dk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superior</a:t>
          </a:r>
          <a:endParaRPr sz="1100">
            <a:solidFill>
              <a:srgbClr val="1E4E79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0</xdr:col>
      <xdr:colOff>95250</xdr:colOff>
      <xdr:row>90</xdr:row>
      <xdr:rowOff>-19050</xdr:rowOff>
    </xdr:from>
    <xdr:ext cx="6753225" cy="38100"/>
    <xdr:sp>
      <xdr:nvSpPr>
        <xdr:cNvPr id="24" name="Shape 24"/>
        <xdr:cNvSpPr txBox="1"/>
      </xdr:nvSpPr>
      <xdr:spPr>
        <a:xfrm>
          <a:off x="1969388" y="3780000"/>
          <a:ext cx="6753225" cy="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/>
        </a:p>
        <a:p>
          <a:pPr indent="0" lvl="0" marL="0" marR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/>
        </a:p>
        <a:p>
          <a:pPr indent="0" lvl="0" marL="0" marR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/>
        </a:p>
        <a:p>
          <a:pPr indent="0" lvl="0" marL="0" marR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/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1E4E79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561975</xdr:colOff>
      <xdr:row>76</xdr:row>
      <xdr:rowOff>209550</xdr:rowOff>
    </xdr:from>
    <xdr:ext cx="2943225" cy="1409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</xdr:colOff>
      <xdr:row>106</xdr:row>
      <xdr:rowOff>152400</xdr:rowOff>
    </xdr:from>
    <xdr:ext cx="190500" cy="266700"/>
    <xdr:sp>
      <xdr:nvSpPr>
        <xdr:cNvPr id="25" name="Shape 2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752475</xdr:colOff>
      <xdr:row>118</xdr:row>
      <xdr:rowOff>66675</xdr:rowOff>
    </xdr:from>
    <xdr:ext cx="2809875" cy="1247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-19050</xdr:rowOff>
    </xdr:from>
    <xdr:ext cx="6743700" cy="38100"/>
    <xdr:sp>
      <xdr:nvSpPr>
        <xdr:cNvPr id="26" name="Shape 26"/>
        <xdr:cNvSpPr txBox="1"/>
      </xdr:nvSpPr>
      <xdr:spPr>
        <a:xfrm>
          <a:off x="1974150" y="3780000"/>
          <a:ext cx="6743700" cy="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A avaliação de agentes químicos no ambiente de trabalho tem como objetivo identificar e avaliar os riscos associados à exposição a substâncias químicas no local de trabalho, visando à prevenção de doenças ocupacionais e à promoção da saúde e segurança dos trabalhadores.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Os agentes químicos presentes no ambiente de trabalho podem incluir substâncias tóxicas, irritantes, corrosivas, inflamáveis, cancerígenas, entre outras. A exposição a esses agentes pode ocorrer por inalação, contato dérmico ou ingestão, e pode levar a uma série de efeitos adversos à saúde, como irritação das vias respiratórias, danos ao sistema nervoso, câncer, entre outros. </a:t>
          </a:r>
          <a:endParaRPr sz="1400"/>
        </a:p>
        <a:p>
          <a:pPr indent="0" lvl="0" marL="0" marR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Este trabalho visa atender, principalmente, às recomendações do Programa de Gerenciamento de Riscos - PGR e a Norma Regulamentadora N.15 - Atividades e Operações Insalubres da Portaria 3.214 do Ministério do Trabalho.</a:t>
          </a:r>
          <a:endParaRPr sz="12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Em resumo, o objetivo da avaliação de agentes químicos no ambiente de trabalho é garantir a saúde e segurança dos trabalhadores, identificando os riscos relacionados à exposição a substâncias químicas e implementando medidas de controle eficazes para prevenir doenças ocupacionais.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400"/>
        </a:p>
      </xdr:txBody>
    </xdr:sp>
    <xdr:clientData fLocksWithSheet="0"/>
  </xdr:oneCellAnchor>
  <xdr:oneCellAnchor>
    <xdr:from>
      <xdr:col>0</xdr:col>
      <xdr:colOff>95250</xdr:colOff>
      <xdr:row>0</xdr:row>
      <xdr:rowOff>-19050</xdr:rowOff>
    </xdr:from>
    <xdr:ext cx="6753225" cy="38100"/>
    <xdr:sp>
      <xdr:nvSpPr>
        <xdr:cNvPr id="27" name="Shape 27"/>
        <xdr:cNvSpPr txBox="1"/>
      </xdr:nvSpPr>
      <xdr:spPr>
        <a:xfrm>
          <a:off x="1969388" y="3780000"/>
          <a:ext cx="6753225" cy="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/>
        </a:p>
        <a:p>
          <a:pPr indent="0" lvl="0" marL="0" marR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/>
        </a:p>
        <a:p>
          <a:pPr indent="0" lvl="0" marL="0" marR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/>
        </a:p>
        <a:p>
          <a:pPr indent="0" lvl="0" marL="0" marR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/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1E4E79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Ray%20Pexoto/Dropbox/Ecosegme/ENGENHARIA/MODELO%20DE%20LAUDOS/CIPA/RA_Modelo_Cipa_2021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ENGENHARIA\MODELO%20DE%20LAUDOS\QUIMICO\XXX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pa Anexo A"/>
      <sheetName val="CIPA"/>
      <sheetName val="3"/>
      <sheetName val="Capa Anexo B"/>
      <sheetName val="DADO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LV"/>
      <sheetName val="Met"/>
      <sheetName val="E-social"/>
      <sheetName val="TLV _Andrea"/>
      <sheetName val="Modelo"/>
      <sheetName val="PoeiraeSilica"/>
      <sheetName val="Plan1"/>
      <sheetName val="Calcul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ref="A1:C1052" displayName="Table_1" name="Table_1" id="1">
  <tableColumns count="3">
    <tableColumn name="Identificação" id="1"/>
    <tableColumn name="CNPJ" id="2"/>
    <tableColumn name="Endereçoo" id="3"/>
  </tableColumns>
  <tableStyleInfo name="Lista de Empres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/>
  </sheetViews>
  <sheetFormatPr customHeight="1" defaultColWidth="14.43" defaultRowHeight="15.0"/>
  <cols>
    <col customWidth="1" min="1" max="1" width="22.29"/>
    <col customWidth="1" min="2" max="2" width="12.71"/>
    <col customWidth="1" min="3" max="3" width="13.57"/>
    <col customWidth="1" min="4" max="6" width="12.71"/>
    <col customWidth="1" min="7" max="7" width="25.14"/>
    <col customWidth="1" min="8" max="10" width="9.14"/>
    <col customWidth="1" min="11" max="12" width="14.14"/>
    <col customWidth="1" min="13" max="22" width="9.14"/>
    <col customWidth="1" min="23" max="26" width="8.71"/>
  </cols>
  <sheetData>
    <row r="1" ht="19.5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/>
      <c r="B2" s="3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3"/>
      <c r="B3" s="3"/>
      <c r="C3" s="3"/>
      <c r="D3" s="3"/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8"/>
      <c r="B4" s="8"/>
      <c r="C4" s="8"/>
      <c r="D4" s="8"/>
      <c r="E4" s="8"/>
      <c r="F4" s="8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0"/>
      <c r="B5" s="12"/>
      <c r="C5" s="12"/>
      <c r="D5" s="12"/>
      <c r="E5" s="12"/>
      <c r="F5" s="1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1"/>
      <c r="B6" s="1"/>
      <c r="C6" s="1"/>
      <c r="D6" s="1"/>
      <c r="E6" s="1"/>
      <c r="F6" s="1"/>
      <c r="G6" s="1"/>
      <c r="H6" s="2"/>
      <c r="I6" s="2"/>
      <c r="J6" s="2"/>
      <c r="K6" s="2" t="s">
        <v>4</v>
      </c>
      <c r="L6" s="14" t="s">
        <v>5</v>
      </c>
      <c r="M6" s="2"/>
      <c r="N6" s="2"/>
      <c r="O6" s="2"/>
      <c r="P6" s="2"/>
      <c r="Q6" s="2"/>
      <c r="R6" s="2"/>
      <c r="S6" s="2"/>
      <c r="T6" s="15" t="s">
        <v>6</v>
      </c>
      <c r="U6" s="16" t="s">
        <v>7</v>
      </c>
      <c r="V6" s="2"/>
      <c r="W6" s="2"/>
      <c r="X6" s="2"/>
      <c r="Y6" s="2"/>
      <c r="Z6" s="2"/>
    </row>
    <row r="7" ht="19.5" customHeight="1">
      <c r="A7" s="1"/>
      <c r="B7" s="1"/>
      <c r="C7" s="1"/>
      <c r="D7" s="1"/>
      <c r="E7" s="1"/>
      <c r="F7" s="1"/>
      <c r="G7" s="1"/>
      <c r="H7" s="2"/>
      <c r="I7" s="2"/>
      <c r="J7" s="2"/>
      <c r="K7" s="2"/>
      <c r="L7" s="2" t="s">
        <v>8</v>
      </c>
      <c r="M7" s="2"/>
      <c r="N7" s="2"/>
      <c r="O7" s="2"/>
      <c r="P7" s="2"/>
      <c r="Q7" s="2"/>
      <c r="R7" s="2"/>
      <c r="S7" s="2"/>
      <c r="T7" s="15" t="str">
        <f t="shared" ref="T7:T25" si="1">$T$6</f>
        <v>0000 -</v>
      </c>
      <c r="U7" s="16" t="s">
        <v>10</v>
      </c>
      <c r="V7" s="2"/>
      <c r="W7" s="2"/>
      <c r="X7" s="2"/>
      <c r="Y7" s="2"/>
      <c r="Z7" s="2"/>
    </row>
    <row r="8" ht="19.5" customHeight="1">
      <c r="A8" s="1"/>
      <c r="B8" s="1"/>
      <c r="C8" s="1"/>
      <c r="D8" s="1"/>
      <c r="E8" s="1"/>
      <c r="F8" s="1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15" t="str">
        <f t="shared" si="1"/>
        <v>0000 -</v>
      </c>
      <c r="U8" s="16" t="s">
        <v>14</v>
      </c>
      <c r="V8" s="2"/>
      <c r="W8" s="2"/>
      <c r="X8" s="2"/>
      <c r="Y8" s="2"/>
      <c r="Z8" s="2"/>
    </row>
    <row r="9" ht="19.5" customHeight="1">
      <c r="A9" s="1"/>
      <c r="B9" s="1"/>
      <c r="C9" s="1"/>
      <c r="D9" s="1"/>
      <c r="E9" s="1"/>
      <c r="F9" s="1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5" t="str">
        <f t="shared" si="1"/>
        <v>0000 -</v>
      </c>
      <c r="U9" s="16" t="s">
        <v>19</v>
      </c>
      <c r="V9" s="2"/>
      <c r="W9" s="2"/>
      <c r="X9" s="2"/>
      <c r="Y9" s="2"/>
      <c r="Z9" s="2"/>
    </row>
    <row r="10" ht="19.5" customHeight="1">
      <c r="A10" s="1"/>
      <c r="B10" s="1"/>
      <c r="C10" s="1"/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15" t="str">
        <f t="shared" si="1"/>
        <v>0000 -</v>
      </c>
      <c r="U10" s="16" t="s">
        <v>23</v>
      </c>
      <c r="V10" s="2"/>
      <c r="W10" s="2"/>
      <c r="X10" s="2"/>
      <c r="Y10" s="2"/>
      <c r="Z10" s="2"/>
    </row>
    <row r="11" ht="19.5" customHeight="1">
      <c r="A11" s="1"/>
      <c r="B11" s="1"/>
      <c r="C11" s="50"/>
      <c r="D11" s="1"/>
      <c r="E11" s="1"/>
      <c r="F11" s="1"/>
      <c r="G11" s="1"/>
      <c r="H11" s="2"/>
      <c r="I11" s="2"/>
      <c r="J11" s="2"/>
      <c r="K11" s="54" t="s">
        <v>27</v>
      </c>
      <c r="L11" s="55"/>
      <c r="M11" s="2" t="s">
        <v>29</v>
      </c>
      <c r="N11" s="2"/>
      <c r="O11" s="2"/>
      <c r="P11" s="2"/>
      <c r="Q11" s="2"/>
      <c r="R11" s="2"/>
      <c r="S11" s="2"/>
      <c r="T11" s="15" t="str">
        <f t="shared" si="1"/>
        <v>0000 -</v>
      </c>
      <c r="U11" s="16" t="s">
        <v>30</v>
      </c>
      <c r="V11" s="2"/>
      <c r="W11" s="2"/>
      <c r="X11" s="2"/>
      <c r="Y11" s="2"/>
      <c r="Z11" s="2"/>
    </row>
    <row r="12" ht="19.5" customHeight="1">
      <c r="A12" s="1"/>
      <c r="B12" s="1"/>
      <c r="C12" s="1"/>
      <c r="D12" s="1"/>
      <c r="E12" s="1"/>
      <c r="F12" s="1"/>
      <c r="G12" s="1"/>
      <c r="H12" s="2"/>
      <c r="I12" s="2"/>
      <c r="J12" s="2"/>
      <c r="K12" s="62"/>
      <c r="L12" s="63"/>
      <c r="M12" s="2" t="s">
        <v>34</v>
      </c>
      <c r="N12" s="2"/>
      <c r="O12" s="2"/>
      <c r="P12" s="2"/>
      <c r="Q12" s="2"/>
      <c r="R12" s="2"/>
      <c r="S12" s="2"/>
      <c r="T12" s="15" t="str">
        <f t="shared" si="1"/>
        <v>0000 -</v>
      </c>
      <c r="U12" s="16" t="s">
        <v>36</v>
      </c>
      <c r="V12" s="2"/>
      <c r="W12" s="2"/>
      <c r="X12" s="2"/>
      <c r="Y12" s="2"/>
      <c r="Z12" s="2"/>
    </row>
    <row r="13" ht="19.5" customHeight="1">
      <c r="A13" s="67"/>
      <c r="B13" s="67"/>
      <c r="C13" s="67"/>
      <c r="D13" s="67"/>
      <c r="E13" s="69"/>
      <c r="F13" s="69"/>
      <c r="G13" s="6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15" t="str">
        <f t="shared" si="1"/>
        <v>0000 -</v>
      </c>
      <c r="U13" s="16" t="s">
        <v>46</v>
      </c>
      <c r="V13" s="2"/>
      <c r="W13" s="2"/>
      <c r="X13" s="2"/>
      <c r="Y13" s="2"/>
      <c r="Z13" s="2"/>
    </row>
    <row r="14" ht="19.5" customHeight="1">
      <c r="A14" s="67"/>
      <c r="B14" s="67"/>
      <c r="C14" s="75"/>
      <c r="D14" s="77"/>
      <c r="E14" s="12"/>
      <c r="F14" s="12"/>
      <c r="G14" s="7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5" t="str">
        <f t="shared" si="1"/>
        <v>0000 -</v>
      </c>
      <c r="U14" s="16" t="s">
        <v>47</v>
      </c>
      <c r="V14" s="2"/>
      <c r="W14" s="2"/>
      <c r="X14" s="2"/>
      <c r="Y14" s="2"/>
      <c r="Z14" s="2"/>
    </row>
    <row r="15" ht="19.5" customHeight="1">
      <c r="A15" s="67"/>
      <c r="B15" s="67"/>
      <c r="C15" s="80"/>
      <c r="D15" s="80"/>
      <c r="E15" s="12"/>
      <c r="F15" s="12"/>
      <c r="G15" s="7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15" t="str">
        <f t="shared" si="1"/>
        <v>0000 -</v>
      </c>
      <c r="U15" s="16" t="s">
        <v>49</v>
      </c>
      <c r="V15" s="2"/>
      <c r="W15" s="2"/>
      <c r="X15" s="2"/>
      <c r="Y15" s="2"/>
      <c r="Z15" s="2"/>
    </row>
    <row r="16" ht="19.5" customHeight="1">
      <c r="A16" s="69"/>
      <c r="B16" s="69"/>
      <c r="C16" s="12"/>
      <c r="D16" s="12"/>
      <c r="E16" s="12"/>
      <c r="F16" s="1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5" t="str">
        <f t="shared" si="1"/>
        <v>0000 -</v>
      </c>
      <c r="U16" s="16" t="s">
        <v>51</v>
      </c>
      <c r="V16" s="2"/>
      <c r="W16" s="2"/>
      <c r="X16" s="2"/>
      <c r="Y16" s="2"/>
      <c r="Z16" s="2"/>
    </row>
    <row r="17" ht="19.5" customHeight="1">
      <c r="A17" s="67"/>
      <c r="B17" s="67"/>
      <c r="C17" s="75"/>
      <c r="D17" s="77"/>
      <c r="E17" s="12"/>
      <c r="F17" s="12"/>
      <c r="G17" s="7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15" t="str">
        <f t="shared" si="1"/>
        <v>0000 -</v>
      </c>
      <c r="U17" s="16" t="s">
        <v>52</v>
      </c>
      <c r="V17" s="2"/>
      <c r="W17" s="2"/>
      <c r="X17" s="2"/>
      <c r="Y17" s="2"/>
      <c r="Z17" s="2"/>
    </row>
    <row r="18" ht="19.5" customHeight="1">
      <c r="A18" s="67"/>
      <c r="B18" s="67"/>
      <c r="C18" s="75"/>
      <c r="D18" s="77"/>
      <c r="E18" s="12"/>
      <c r="F18" s="12"/>
      <c r="G18" s="78"/>
      <c r="H18" s="2"/>
      <c r="I18" s="2"/>
      <c r="J18" s="2"/>
      <c r="K18" s="2" t="s">
        <v>54</v>
      </c>
      <c r="L18" s="89" t="s">
        <v>55</v>
      </c>
      <c r="M18" s="39"/>
      <c r="N18" s="39"/>
      <c r="O18" s="39"/>
      <c r="P18" s="40"/>
      <c r="Q18" s="2"/>
      <c r="R18" s="2"/>
      <c r="S18" s="2"/>
      <c r="T18" s="15" t="str">
        <f t="shared" si="1"/>
        <v>0000 -</v>
      </c>
      <c r="U18" s="16" t="s">
        <v>57</v>
      </c>
      <c r="V18" s="2"/>
      <c r="W18" s="2"/>
      <c r="X18" s="2"/>
      <c r="Y18" s="2"/>
      <c r="Z18" s="2"/>
    </row>
    <row r="19" ht="19.5" customHeight="1">
      <c r="A19" s="2"/>
      <c r="B19" s="67"/>
      <c r="C19" s="67"/>
      <c r="D19" s="67"/>
      <c r="E19" s="67"/>
      <c r="F19" s="67"/>
      <c r="G19" s="67"/>
      <c r="H19" s="2"/>
      <c r="I19" s="2"/>
      <c r="J19" s="2"/>
      <c r="K19" s="2" t="s">
        <v>13</v>
      </c>
      <c r="L19" s="2" t="str">
        <f>VLOOKUP($L$18,'Lista de Empresa'!A:C,3,FALSE)</f>
        <v>Rua Rio Quixito, 86 -   Vila Buriti  Manaus/Amazonas</v>
      </c>
      <c r="M19" s="2"/>
      <c r="N19" s="2"/>
      <c r="O19" s="2"/>
      <c r="P19" s="2"/>
      <c r="Q19" s="2"/>
      <c r="R19" s="2"/>
      <c r="S19" s="2"/>
      <c r="T19" s="15" t="str">
        <f t="shared" si="1"/>
        <v>0000 -</v>
      </c>
      <c r="U19" s="16" t="s">
        <v>60</v>
      </c>
      <c r="V19" s="2"/>
      <c r="W19" s="2"/>
      <c r="X19" s="2"/>
      <c r="Y19" s="2"/>
      <c r="Z19" s="2"/>
    </row>
    <row r="20" ht="19.5" customHeight="1">
      <c r="A20" s="2"/>
      <c r="B20" s="97"/>
      <c r="C20" s="97"/>
      <c r="D20" s="97"/>
      <c r="E20" s="97"/>
      <c r="F20" s="97"/>
      <c r="G20" s="97"/>
      <c r="H20" s="2"/>
      <c r="I20" s="2"/>
      <c r="J20" s="2"/>
      <c r="K20" s="2" t="s">
        <v>61</v>
      </c>
      <c r="L20" s="2" t="str">
        <f>IF(ISERROR(VLOOKUP(L18,'Lista de Empresa'!A:B,2,FALSE)),"",
    IF(OR(ISNUMBER(FIND(".",VLOOKUP(L18,'Lista de Empresa'!A:B,2,FALSE))),
          ISNUMBER(FIND("-",VLOOKUP(L18,'Lista de Empresa'!A:B,2,FALSE))),
          ISNUMBER(FIND("/",VLOOKUP(L18,'Lista de Empresa'!A:B,2,FALSE)))),
       VLOOKUP(L18,'Lista de Empresa'!A:B,2,FALSE),
       IF(LEN(VLOOKUP(L18,'Lista de Empresa'!A:B,2,FALSE))=11,
           TEXT(VLOOKUP(L18,'Lista de Empresa'!A:B,2,FALSE),"000\.000\.000\-00"),
           TEXT(VLOOKUP(L18,'Lista de Empresa'!A:B,2,FALSE),"00\.000\.000\/0000\-00")
       )
    )
)</f>
        <v>04.563.672/0001-66</v>
      </c>
      <c r="M20" s="2"/>
      <c r="N20" s="2"/>
      <c r="O20" s="2"/>
      <c r="P20" s="2"/>
      <c r="Q20" s="2"/>
      <c r="R20" s="2"/>
      <c r="S20" s="2"/>
      <c r="T20" s="15" t="str">
        <f t="shared" si="1"/>
        <v>0000 -</v>
      </c>
      <c r="U20" s="16" t="s">
        <v>64</v>
      </c>
      <c r="V20" s="2"/>
      <c r="W20" s="2"/>
      <c r="X20" s="2"/>
      <c r="Y20" s="2"/>
      <c r="Z20" s="2"/>
    </row>
    <row r="21" ht="19.5" customHeight="1">
      <c r="A21" s="97"/>
      <c r="B21" s="97"/>
      <c r="C21" s="97"/>
      <c r="D21" s="97"/>
      <c r="E21" s="97"/>
      <c r="F21" s="97"/>
      <c r="G21" s="9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5" t="str">
        <f t="shared" si="1"/>
        <v>0000 -</v>
      </c>
      <c r="U21" s="16" t="s">
        <v>67</v>
      </c>
      <c r="V21" s="2"/>
      <c r="W21" s="2"/>
      <c r="X21" s="2"/>
      <c r="Y21" s="2"/>
      <c r="Z21" s="2"/>
    </row>
    <row r="22" ht="19.5" customHeight="1">
      <c r="A22" s="97"/>
      <c r="B22" s="97"/>
      <c r="C22" s="97"/>
      <c r="D22" s="97"/>
      <c r="E22" s="97"/>
      <c r="F22" s="97"/>
      <c r="G22" s="9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15" t="str">
        <f t="shared" si="1"/>
        <v>0000 -</v>
      </c>
      <c r="U22" s="16" t="s">
        <v>70</v>
      </c>
      <c r="V22" s="2"/>
      <c r="W22" s="2"/>
      <c r="X22" s="2"/>
      <c r="Y22" s="2"/>
      <c r="Z22" s="2"/>
    </row>
    <row r="23" ht="19.5" customHeight="1">
      <c r="A23" s="113"/>
      <c r="B23" s="114"/>
      <c r="C23" s="114"/>
      <c r="D23" s="114"/>
      <c r="E23" s="114"/>
      <c r="F23" s="114"/>
      <c r="G23" s="11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15" t="str">
        <f t="shared" si="1"/>
        <v>0000 -</v>
      </c>
      <c r="U23" s="16" t="s">
        <v>72</v>
      </c>
      <c r="V23" s="2"/>
      <c r="W23" s="2"/>
      <c r="X23" s="2"/>
      <c r="Y23" s="2"/>
      <c r="Z23" s="2"/>
    </row>
    <row r="24" ht="19.5" customHeight="1">
      <c r="A24" s="114"/>
      <c r="B24" s="114"/>
      <c r="C24" s="114"/>
      <c r="D24" s="114"/>
      <c r="E24" s="114"/>
      <c r="F24" s="114"/>
      <c r="G24" s="11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5" t="str">
        <f t="shared" si="1"/>
        <v>0000 -</v>
      </c>
      <c r="U24" s="16" t="s">
        <v>75</v>
      </c>
      <c r="V24" s="2"/>
      <c r="W24" s="2"/>
      <c r="X24" s="2"/>
      <c r="Y24" s="2"/>
      <c r="Z24" s="2"/>
    </row>
    <row r="25" ht="19.5" customHeight="1">
      <c r="A25" s="118"/>
      <c r="B25" s="118"/>
      <c r="C25" s="118"/>
      <c r="D25" s="118"/>
      <c r="E25" s="118"/>
      <c r="F25" s="118"/>
      <c r="G25" s="11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5" t="str">
        <f t="shared" si="1"/>
        <v>0000 -</v>
      </c>
      <c r="U25" s="16" t="s">
        <v>92</v>
      </c>
      <c r="V25" s="2"/>
      <c r="W25" s="2"/>
      <c r="X25" s="2"/>
      <c r="Y25" s="2"/>
      <c r="Z25" s="2"/>
    </row>
    <row r="26" ht="19.5" customHeight="1">
      <c r="A26" s="67"/>
      <c r="B26" s="67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1"/>
      <c r="B28" s="1"/>
      <c r="C28" s="143" t="s">
        <v>61</v>
      </c>
      <c r="D28" s="1"/>
      <c r="E28" s="1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1"/>
      <c r="B29" s="1"/>
      <c r="C29" s="1"/>
      <c r="D29" s="1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1"/>
      <c r="B30" s="1"/>
      <c r="C30" s="1"/>
      <c r="D30" s="1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1"/>
      <c r="B31" s="1"/>
      <c r="C31" s="1"/>
      <c r="D31" s="1"/>
      <c r="E31" s="1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12"/>
      <c r="B32" s="12"/>
      <c r="C32" s="12"/>
      <c r="D32" s="12"/>
      <c r="E32" s="12"/>
      <c r="F32" s="12"/>
      <c r="G32" s="1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12"/>
      <c r="B33" s="12"/>
      <c r="C33" s="12"/>
      <c r="D33" s="12"/>
      <c r="E33" s="12"/>
      <c r="F33" s="12"/>
      <c r="G33" s="1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 t="s">
        <v>140</v>
      </c>
      <c r="L34" s="2" t="s">
        <v>141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1"/>
      <c r="B35" s="1"/>
      <c r="C35" s="1"/>
      <c r="D35" s="1"/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169"/>
      <c r="D36" s="169"/>
      <c r="E36" s="16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169"/>
      <c r="D37" s="169"/>
      <c r="E37" s="16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169"/>
      <c r="D38" s="169"/>
      <c r="E38" s="16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169"/>
      <c r="D39" s="169"/>
      <c r="E39" s="16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182"/>
      <c r="D40" s="182"/>
      <c r="E40" s="18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12"/>
      <c r="D41" s="12"/>
      <c r="E41" s="1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69"/>
      <c r="B42" s="69"/>
      <c r="C42" s="69"/>
      <c r="D42" s="69"/>
      <c r="E42" s="69"/>
      <c r="F42" s="69"/>
      <c r="G42" s="69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186"/>
      <c r="B43" s="39"/>
      <c r="C43" s="39"/>
      <c r="D43" s="39"/>
      <c r="E43" s="39"/>
      <c r="F43" s="39"/>
      <c r="G43" s="40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K11:L12"/>
    <mergeCell ref="L18:P18"/>
    <mergeCell ref="A43:G43"/>
  </mergeCells>
  <dataValidations>
    <dataValidation type="list" allowBlank="1" showErrorMessage="1" sqref="L18">
      <formula1>'Lista de Empresa'!$A$2:$A$1080</formula1>
    </dataValidation>
  </dataValidations>
  <printOptions horizontalCentered="1" verticalCentered="1"/>
  <pageMargins bottom="0.0" footer="0.0" header="0.0" left="0.0" right="0.0" top="0.0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2" width="8.29"/>
    <col customWidth="1" min="3" max="3" width="9.57"/>
    <col customWidth="1" min="4" max="4" width="10.29"/>
    <col customWidth="1" min="5" max="5" width="7.71"/>
    <col customWidth="1" min="6" max="6" width="12.29"/>
    <col customWidth="1" min="7" max="7" width="12.14"/>
    <col customWidth="1" min="8" max="8" width="14.57"/>
    <col customWidth="1" min="9" max="9" width="18.29"/>
    <col customWidth="1" min="10" max="10" width="16.14"/>
    <col customWidth="1" min="11" max="11" width="9.43"/>
    <col customWidth="1" min="12" max="12" width="46.43"/>
    <col customWidth="1" min="13" max="13" width="9.71"/>
    <col customWidth="1" min="14" max="14" width="11.43"/>
    <col customWidth="1" min="15" max="26" width="8.71"/>
  </cols>
  <sheetData>
    <row r="1" ht="19.5" customHeight="1"/>
    <row r="2" ht="19.5" customHeight="1">
      <c r="A2" s="4" t="s">
        <v>0</v>
      </c>
    </row>
    <row r="3" ht="19.5" customHeight="1"/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>
      <c r="A41" s="4" t="s">
        <v>1</v>
      </c>
    </row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>
      <c r="L81" s="5"/>
      <c r="M81" s="6"/>
      <c r="N81" s="6"/>
    </row>
    <row r="82" ht="19.5" customHeight="1">
      <c r="L82" s="6"/>
      <c r="M82" s="6"/>
      <c r="N82" s="6"/>
    </row>
    <row r="83" ht="19.5" customHeight="1">
      <c r="L83" s="6"/>
      <c r="M83" s="6"/>
      <c r="N83" s="6"/>
    </row>
    <row r="84" ht="19.5" customHeight="1">
      <c r="L84" s="6"/>
      <c r="M84" s="6"/>
      <c r="N84" s="6"/>
    </row>
    <row r="85" ht="19.5" customHeight="1">
      <c r="L85" s="6"/>
      <c r="M85" s="6"/>
      <c r="N85" s="6"/>
    </row>
    <row r="86" ht="19.5" customHeight="1">
      <c r="L86" s="6"/>
      <c r="M86" s="6"/>
      <c r="N86" s="6"/>
    </row>
    <row r="87" ht="19.5" customHeight="1">
      <c r="L87" s="6"/>
      <c r="M87" s="6"/>
      <c r="N87" s="6"/>
    </row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>
      <c r="A97" s="7" t="s">
        <v>2</v>
      </c>
    </row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3">
    <mergeCell ref="A2:I2"/>
    <mergeCell ref="A41:I41"/>
    <mergeCell ref="A97:I99"/>
  </mergeCells>
  <printOptions horizontalCentered="1" verticalCentered="1"/>
  <pageMargins bottom="0.5905511811023623" footer="0.0" header="0.0" left="0.3937007874015748" right="0.1968503937007874" top="1.5748031496062993"/>
  <pageSetup paperSize="9" scale="90" orientation="portrait"/>
  <headerFooter>
    <oddHeader>&amp;L &amp;R 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2.71"/>
    <col customWidth="1" min="3" max="3" width="12.14"/>
    <col customWidth="1" min="4" max="4" width="12.71"/>
    <col customWidth="1" min="5" max="5" width="11.86"/>
    <col customWidth="1" min="6" max="6" width="12.71"/>
    <col customWidth="1" min="7" max="7" width="35.0"/>
    <col customWidth="1" min="8" max="8" width="9.14"/>
  </cols>
  <sheetData>
    <row r="1" ht="17.25" customHeight="1">
      <c r="A1" s="9" t="s">
        <v>3</v>
      </c>
      <c r="B1" s="11"/>
      <c r="C1" s="11"/>
      <c r="D1" s="13"/>
      <c r="E1" s="17" t="str">
        <f t="array" ref="E1:F1">'Capa '!T6:U6</f>
        <v>0000 -</v>
      </c>
      <c r="F1" s="18" t="s">
        <v>7</v>
      </c>
      <c r="G1" s="19"/>
      <c r="H1" s="20"/>
    </row>
    <row r="2" ht="17.25" customHeight="1">
      <c r="A2" s="21" t="s">
        <v>9</v>
      </c>
      <c r="B2" s="11"/>
      <c r="C2" s="11"/>
      <c r="D2" s="11"/>
      <c r="E2" s="11"/>
      <c r="F2" s="11"/>
      <c r="G2" s="13"/>
      <c r="H2" s="20"/>
    </row>
    <row r="3" ht="17.25" customHeight="1">
      <c r="A3" s="22" t="s">
        <v>11</v>
      </c>
      <c r="B3" s="11"/>
      <c r="C3" s="11"/>
      <c r="D3" s="11"/>
      <c r="E3" s="11"/>
      <c r="F3" s="11"/>
      <c r="G3" s="23"/>
      <c r="H3" s="20"/>
    </row>
    <row r="4" ht="17.25" customHeight="1">
      <c r="A4" s="24" t="s">
        <v>12</v>
      </c>
      <c r="B4" s="25" t="str">
        <f>'Capa '!L18</f>
        <v>11342 Sociedade Fogas Ltda - Manaus</v>
      </c>
      <c r="G4" s="26"/>
      <c r="H4" s="20"/>
    </row>
    <row r="5" ht="17.25" customHeight="1">
      <c r="A5" s="27" t="s">
        <v>13</v>
      </c>
      <c r="B5" s="25" t="str">
        <f>'Capa '!L19</f>
        <v>Rua Rio Quixito, 86 -   Vila Buriti  Manaus/Amazonas</v>
      </c>
      <c r="G5" s="26"/>
      <c r="H5" s="20"/>
    </row>
    <row r="6" ht="17.25" customHeight="1">
      <c r="A6" s="28" t="s">
        <v>15</v>
      </c>
      <c r="B6" s="29" t="s">
        <v>16</v>
      </c>
      <c r="C6" s="30"/>
      <c r="D6" s="30"/>
      <c r="E6" s="30"/>
      <c r="F6" s="30"/>
      <c r="G6" s="31"/>
      <c r="H6" s="20"/>
    </row>
    <row r="7" ht="17.25" customHeight="1">
      <c r="A7" s="32" t="s">
        <v>17</v>
      </c>
      <c r="B7" s="11"/>
      <c r="C7" s="11"/>
      <c r="D7" s="11"/>
      <c r="E7" s="11"/>
      <c r="F7" s="11"/>
      <c r="G7" s="23"/>
      <c r="H7" s="20"/>
    </row>
    <row r="8" ht="17.25" customHeight="1">
      <c r="A8" s="33" t="s">
        <v>18</v>
      </c>
      <c r="B8" s="34"/>
      <c r="C8" s="35"/>
      <c r="D8" s="35"/>
      <c r="E8" s="35"/>
      <c r="F8" s="35"/>
      <c r="G8" s="36"/>
      <c r="H8" s="20"/>
    </row>
    <row r="9" ht="17.25" customHeight="1">
      <c r="A9" s="37" t="s">
        <v>20</v>
      </c>
      <c r="B9" s="38"/>
      <c r="C9" s="39"/>
      <c r="D9" s="40"/>
      <c r="E9" s="41" t="s">
        <v>21</v>
      </c>
      <c r="F9" s="42"/>
      <c r="G9" s="43"/>
      <c r="H9" s="20"/>
    </row>
    <row r="10" ht="17.25" customHeight="1">
      <c r="A10" s="44" t="s">
        <v>22</v>
      </c>
      <c r="B10" s="45"/>
      <c r="C10" s="46"/>
      <c r="D10" s="47"/>
      <c r="E10" s="48" t="s">
        <v>24</v>
      </c>
      <c r="F10" s="45"/>
      <c r="G10" s="49"/>
      <c r="H10" s="20"/>
    </row>
    <row r="11" ht="17.25" customHeight="1">
      <c r="A11" s="22" t="s">
        <v>25</v>
      </c>
      <c r="B11" s="11"/>
      <c r="C11" s="11"/>
      <c r="D11" s="11"/>
      <c r="E11" s="11"/>
      <c r="F11" s="11"/>
      <c r="G11" s="23"/>
      <c r="H11" s="20"/>
    </row>
    <row r="12" ht="17.25" customHeight="1">
      <c r="A12" s="51" t="s">
        <v>26</v>
      </c>
      <c r="B12" s="52"/>
      <c r="C12" s="53"/>
      <c r="D12" s="56" t="s">
        <v>28</v>
      </c>
      <c r="E12" s="57"/>
      <c r="F12" s="58" t="str">
        <f>#REF!</f>
        <v>#REF!</v>
      </c>
      <c r="G12" s="59" t="s">
        <v>31</v>
      </c>
      <c r="H12" s="20"/>
    </row>
    <row r="13" ht="17.25" customHeight="1">
      <c r="A13" s="44" t="s">
        <v>32</v>
      </c>
      <c r="B13" s="30"/>
      <c r="C13" s="30"/>
      <c r="D13" s="60" t="s">
        <v>33</v>
      </c>
      <c r="E13" s="30"/>
      <c r="F13" s="61"/>
      <c r="G13" s="49"/>
      <c r="H13" s="20"/>
    </row>
    <row r="14" ht="12.0" customHeight="1">
      <c r="A14" s="64"/>
      <c r="B14" s="65"/>
      <c r="C14" s="65"/>
      <c r="D14" s="65"/>
      <c r="E14" s="65"/>
      <c r="F14" s="64"/>
      <c r="G14" s="64"/>
      <c r="H14" s="20"/>
    </row>
    <row r="15" ht="19.5" customHeight="1">
      <c r="A15" s="66" t="s">
        <v>35</v>
      </c>
      <c r="B15" s="11"/>
      <c r="C15" s="11"/>
      <c r="D15" s="11"/>
      <c r="E15" s="11"/>
      <c r="F15" s="11"/>
      <c r="G15" s="11"/>
      <c r="H15" s="20"/>
    </row>
    <row r="16" ht="17.25" customHeight="1">
      <c r="A16" s="68" t="s">
        <v>37</v>
      </c>
      <c r="B16" s="68" t="s">
        <v>38</v>
      </c>
      <c r="C16" s="70" t="s">
        <v>39</v>
      </c>
      <c r="D16" s="71" t="s">
        <v>40</v>
      </c>
      <c r="E16" s="23"/>
      <c r="F16" s="70" t="s">
        <v>41</v>
      </c>
      <c r="G16" s="68" t="s">
        <v>42</v>
      </c>
      <c r="H16" s="20"/>
    </row>
    <row r="17" ht="17.25" customHeight="1">
      <c r="A17" s="72"/>
      <c r="B17" s="72"/>
      <c r="C17" s="72"/>
      <c r="D17" s="73" t="s">
        <v>43</v>
      </c>
      <c r="E17" s="73" t="s">
        <v>44</v>
      </c>
      <c r="F17" s="72"/>
      <c r="G17" s="72"/>
      <c r="H17" s="20"/>
    </row>
    <row r="18" ht="19.5" customHeight="1">
      <c r="A18" s="74" t="s">
        <v>45</v>
      </c>
      <c r="B18" s="76" t="str">
        <f>VLOOKUP(A18,TLV!H:P,9,FALSE)</f>
        <v>&lt; 0,011</v>
      </c>
      <c r="C18" s="79" t="str">
        <f>VLOOKUP(A18,TLV!B:D,3,FALSE)</f>
        <v>ppm</v>
      </c>
      <c r="D18" s="79">
        <f>VLOOKUP(A18,TLV!B:G,4,FALSE)</f>
        <v>0.02</v>
      </c>
      <c r="E18" s="79" t="str">
        <f>VLOOKUP(A18,TLV!B:G,5,FALSE)</f>
        <v>-</v>
      </c>
      <c r="F18" s="79" t="str">
        <f>VLOOKUP(A18,TLV!B:G,6,FALSE)</f>
        <v>-</v>
      </c>
      <c r="G18" s="81" t="str">
        <f>VLOOKUP(A18,TLV!$H:$I,2,FALSE)</f>
        <v>Síndrome mielodisplásica; Leucemia mieolóide aguda; Leucemia; Efeitos hematológicos; Dano cromossômico</v>
      </c>
      <c r="H18" s="20"/>
    </row>
    <row r="19" ht="19.5" customHeight="1">
      <c r="A19" s="82" t="str">
        <f>VLOOKUP($A$18,TLV!H:L,4,FALSE)</f>
        <v>Método NIOSH 1501 </v>
      </c>
      <c r="C19" s="83"/>
      <c r="D19" s="83"/>
      <c r="E19" s="83"/>
      <c r="F19" s="83"/>
      <c r="G19" s="83"/>
      <c r="H19" s="20"/>
    </row>
    <row r="20" ht="19.5" customHeight="1">
      <c r="A20" s="84" t="str">
        <f>VLOOKUP(A18,TLV!B:C,2,FALSE)</f>
        <v>Cód. e-Social: 01.03.001</v>
      </c>
      <c r="B20" s="30"/>
      <c r="C20" s="85"/>
      <c r="D20" s="85"/>
      <c r="E20" s="85"/>
      <c r="F20" s="85"/>
      <c r="G20" s="85"/>
      <c r="H20" s="20"/>
    </row>
    <row r="21" ht="20.25" customHeight="1">
      <c r="A21" s="86" t="s">
        <v>50</v>
      </c>
      <c r="B21" s="76" t="str">
        <f>VLOOKUP(A21,TLV!H:P,9,FALSE)</f>
        <v>&lt; 0,003</v>
      </c>
      <c r="C21" s="86" t="str">
        <f>VLOOKUP(A21,TLV!B:D,3,FALSE)</f>
        <v>ppm</v>
      </c>
      <c r="D21" s="86">
        <f>VLOOKUP(A21,TLV!B:G,4,FALSE)</f>
        <v>20</v>
      </c>
      <c r="E21" s="86" t="str">
        <f>VLOOKUP(A21,TLV!B:G,5,FALSE)</f>
        <v>-</v>
      </c>
      <c r="F21" s="86">
        <f>VLOOKUP(A21,TLV!B:G,6,FALSE)</f>
        <v>78</v>
      </c>
      <c r="G21" s="87" t="str">
        <f>VLOOKUP(A21,TLV!$H:$I,2,FALSE)</f>
        <v>Danos no sistema nervoso central; Danos auditivos; Comprometimento da visão; Dano reprodutivo feminino; Aborto</v>
      </c>
      <c r="H21" s="20"/>
    </row>
    <row r="22" ht="20.25" customHeight="1">
      <c r="A22" s="88" t="str">
        <f>VLOOKUP($A$21,TLV!H:L,4,FALSE)</f>
        <v>Método NIOSH 1501 </v>
      </c>
      <c r="H22" s="20"/>
    </row>
    <row r="23" ht="20.25" customHeight="1">
      <c r="A23" s="90" t="str">
        <f>VLOOKUP(A21,TLV!B:C,2,FALSE)</f>
        <v>Cód. e-Social: 01.03.001</v>
      </c>
      <c r="B23" s="30"/>
      <c r="C23" s="30"/>
      <c r="D23" s="30"/>
      <c r="E23" s="30"/>
      <c r="F23" s="30"/>
      <c r="G23" s="30"/>
      <c r="H23" s="20"/>
    </row>
    <row r="24" ht="30.0" customHeight="1">
      <c r="A24" s="92" t="s">
        <v>58</v>
      </c>
      <c r="B24" s="95" t="str">
        <f>VLOOKUP(A24,TLV!H:P,9,FALSE)</f>
        <v>&lt; 0,003</v>
      </c>
      <c r="C24" s="96" t="str">
        <f>VLOOKUP(A24,TLV!B:D,3,FALSE)</f>
        <v>ppm</v>
      </c>
      <c r="D24" s="96">
        <f>VLOOKUP(A24,TLV!B:G,4,FALSE)</f>
        <v>20</v>
      </c>
      <c r="E24" s="96" t="str">
        <f>VLOOKUP(A24,TLV!B:G,5,FALSE)</f>
        <v>-</v>
      </c>
      <c r="F24" s="96">
        <f>VLOOKUP(A24,TLV!B:G,6,FALSE)</f>
        <v>78</v>
      </c>
      <c r="G24" s="101" t="str">
        <f>VLOOKUP(A24,TLV!$H:$I,2,FALSE)</f>
        <v>Irritações no TRS; Irritações nos olhos; Efeitos hematológicos; Ototoxicidade - apenas para o para-xileno e misturas contendo para-xileno; Comprometimento do SNC</v>
      </c>
      <c r="H24" s="20"/>
    </row>
    <row r="25" ht="30.0" customHeight="1">
      <c r="A25" s="104" t="str">
        <f>VLOOKUP($A$24,TLV!H:L,4,FALSE)</f>
        <v>Método NIOSH 1501 </v>
      </c>
      <c r="B25" s="83"/>
      <c r="C25" s="83"/>
      <c r="D25" s="83"/>
      <c r="E25" s="83"/>
      <c r="F25" s="83"/>
      <c r="G25" s="83"/>
      <c r="H25" s="20"/>
    </row>
    <row r="26" ht="30.0" customHeight="1">
      <c r="A26" s="106" t="str">
        <f>VLOOKUP(A24,TLV!B:C,2,FALSE)</f>
        <v>Cód. e-Social: 01.03.001</v>
      </c>
      <c r="B26" s="85"/>
      <c r="C26" s="85"/>
      <c r="D26" s="85"/>
      <c r="E26" s="85"/>
      <c r="F26" s="85"/>
      <c r="G26" s="85"/>
      <c r="H26" s="20"/>
    </row>
    <row r="27" ht="19.5" customHeight="1">
      <c r="A27" s="86" t="s">
        <v>62</v>
      </c>
      <c r="B27" s="76" t="str">
        <f>VLOOKUP(A27,TLV!H:P,9,FALSE)</f>
        <v>&lt; 0,007</v>
      </c>
      <c r="C27" s="86" t="str">
        <f>VLOOKUP(A27,TLV!B:D,3,FALSE)</f>
        <v>ppm</v>
      </c>
      <c r="D27" s="86">
        <f>VLOOKUP(A27,TLV!B:G,4,FALSE)</f>
        <v>5</v>
      </c>
      <c r="E27" s="86" t="str">
        <f>VLOOKUP(A27,TLV!B:G,5,FALSE)</f>
        <v>-</v>
      </c>
      <c r="F27" s="86">
        <f>VLOOKUP(A27,TLV!B:G,6,FALSE)</f>
        <v>39</v>
      </c>
      <c r="G27" s="87" t="str">
        <f>VLOOKUP(A27,TLV!$H:$I,2,FALSE)</f>
        <v>Adenoma TRS; efeito neurológico</v>
      </c>
      <c r="H27" s="20"/>
    </row>
    <row r="28" ht="19.5" customHeight="1">
      <c r="A28" s="88" t="str">
        <f>VLOOKUP($A$27,TLV!H:L,4,FALSE)</f>
        <v>Método NIOSH 1501</v>
      </c>
      <c r="H28" s="20"/>
    </row>
    <row r="29" ht="19.5" customHeight="1">
      <c r="A29" s="90" t="str">
        <f>VLOOKUP(A27,TLV!B:C,2,FALSE)</f>
        <v>Cód. e-Social: 01.03.001</v>
      </c>
      <c r="B29" s="30"/>
      <c r="C29" s="30"/>
      <c r="D29" s="30"/>
      <c r="E29" s="30"/>
      <c r="F29" s="30"/>
      <c r="G29" s="30"/>
      <c r="H29" s="20"/>
    </row>
    <row r="30" ht="24.0" customHeight="1">
      <c r="A30" s="86" t="s">
        <v>69</v>
      </c>
      <c r="B30" s="76" t="str">
        <f>VLOOKUP(A30,TLV!H:P,9,FALSE)</f>
        <v>&lt; 0,004</v>
      </c>
      <c r="C30" s="86" t="str">
        <f>VLOOKUP(A30,TLV!B:D,3,FALSE)</f>
        <v>ppm</v>
      </c>
      <c r="D30" s="86">
        <f>VLOOKUP(A30,TLV!B:G,4,FALSE)</f>
        <v>10</v>
      </c>
      <c r="E30" s="86">
        <f>VLOOKUP(A30,TLV!B:G,5,FALSE)</f>
        <v>20</v>
      </c>
      <c r="F30" s="86">
        <f>VLOOKUP(A30,TLV!B:G,6,FALSE)</f>
        <v>78</v>
      </c>
      <c r="G30" s="87" t="str">
        <f>VLOOKUP(A30,TLV!$H:$I,2,FALSE)</f>
        <v>Comprometimento do SNC; Comprometimento do sistema auditivo; Irritações no TRS; Neuropatia periférica; Desordens visuais</v>
      </c>
      <c r="H30" s="20"/>
    </row>
    <row r="31" ht="24.0" customHeight="1">
      <c r="A31" s="88" t="str">
        <f>VLOOKUP($A$27,TLV!H:L,4,FALSE)</f>
        <v>Método NIOSH 1501</v>
      </c>
      <c r="H31" s="20"/>
    </row>
    <row r="32" ht="24.0" customHeight="1">
      <c r="A32" s="90" t="str">
        <f>VLOOKUP(A30,TLV!B:C,2,FALSE)</f>
        <v>Cód. e-Social: 01.03.002</v>
      </c>
      <c r="B32" s="30"/>
      <c r="C32" s="30"/>
      <c r="D32" s="30"/>
      <c r="E32" s="30"/>
      <c r="F32" s="30"/>
      <c r="G32" s="30"/>
      <c r="H32" s="20"/>
    </row>
    <row r="33" ht="25.5" customHeight="1">
      <c r="A33" s="86" t="s">
        <v>73</v>
      </c>
      <c r="B33" s="76" t="str">
        <f>VLOOKUP(A33,TLV!H:P,9,FALSE)</f>
        <v>&lt; 0,001</v>
      </c>
      <c r="C33" s="86" t="str">
        <f>VLOOKUP(A33,TLV!B:D,3,FALSE)</f>
        <v>ppm</v>
      </c>
      <c r="D33" s="86">
        <f>VLOOKUP(A33,TLV!B:G,4,FALSE)</f>
        <v>20</v>
      </c>
      <c r="E33" s="86" t="str">
        <f>VLOOKUP(A33,TLV!B:G,5,FALSE)</f>
        <v>-</v>
      </c>
      <c r="F33" s="86">
        <f>VLOOKUP(A33,TLV!B:G,6,FALSE)</f>
        <v>78</v>
      </c>
      <c r="G33" s="87" t="str">
        <f>VLOOKUP(A33,TLV!$H:$I,2,FALSE)</f>
        <v>Irritações no TRS; Irritações nos olhos; Danos nos rins (nefrotoxicidade); Comprometimento do SNC; Ototoxicidade</v>
      </c>
      <c r="H33" s="20"/>
    </row>
    <row r="34" ht="25.5" customHeight="1">
      <c r="A34" s="88" t="str">
        <f>VLOOKUP($A$27,TLV!H:L,4,FALSE)</f>
        <v>Método NIOSH 1501</v>
      </c>
      <c r="H34" s="20"/>
    </row>
    <row r="35" ht="25.5" customHeight="1">
      <c r="A35" s="90" t="str">
        <f>VLOOKUP(A33,TLV!B:C,2,FALSE)</f>
        <v>Cód. e-Social: 01.19.035</v>
      </c>
      <c r="B35" s="30"/>
      <c r="C35" s="30"/>
      <c r="D35" s="30"/>
      <c r="E35" s="30"/>
      <c r="F35" s="30"/>
      <c r="G35" s="30"/>
      <c r="H35" s="20"/>
    </row>
    <row r="36" ht="19.5" customHeight="1">
      <c r="A36" s="86" t="s">
        <v>77</v>
      </c>
      <c r="B36" s="76" t="str">
        <f>VLOOKUP(A36,TLV!H:P,9,FALSE)</f>
        <v>&lt; 0,003</v>
      </c>
      <c r="C36" s="86" t="str">
        <f>VLOOKUP(A36,TLV!B:D,3,FALSE)</f>
        <v>ppm</v>
      </c>
      <c r="D36" s="86">
        <f>VLOOKUP(A36,TLV!B:G,4,FALSE)</f>
        <v>10</v>
      </c>
      <c r="E36" s="86" t="str">
        <f>VLOOKUP(A36,TLV!B:G,5,FALSE)</f>
        <v>-</v>
      </c>
      <c r="F36" s="86" t="str">
        <f>VLOOKUP(A36,TLV!B:G,6,FALSE)</f>
        <v>-</v>
      </c>
      <c r="G36" s="87" t="str">
        <f>VLOOKUP(A36,TLV!$H:$I,2,FALSE)</f>
        <v>Danos TRS e pulmão</v>
      </c>
      <c r="H36" s="20"/>
    </row>
    <row r="37" ht="19.5" customHeight="1">
      <c r="A37" s="88" t="str">
        <f>VLOOKUP($A$27,TLV!H:L,4,FALSE)</f>
        <v>Método NIOSH 1501</v>
      </c>
      <c r="H37" s="20"/>
    </row>
    <row r="38" ht="19.5" customHeight="1">
      <c r="A38" s="90" t="str">
        <f>VLOOKUP(A36,TLV!B:C,2,FALSE)</f>
        <v>Cód. e-Social: N. C.</v>
      </c>
      <c r="B38" s="30"/>
      <c r="C38" s="30"/>
      <c r="D38" s="30"/>
      <c r="E38" s="30"/>
      <c r="F38" s="30"/>
      <c r="G38" s="30"/>
      <c r="H38" s="20"/>
    </row>
    <row r="39" ht="19.5" customHeight="1">
      <c r="A39" s="86" t="s">
        <v>80</v>
      </c>
      <c r="B39" s="125" t="str">
        <f>VLOOKUP(A39,TLV!H:P,9,FALSE)</f>
        <v>&lt; 0,003</v>
      </c>
      <c r="C39" s="86" t="str">
        <f>VLOOKUP(A39,TLV!B:D,3,FALSE)</f>
        <v>ppm</v>
      </c>
      <c r="D39" s="86">
        <f>VLOOKUP(A39,TLV!B:G,4,FALSE)</f>
        <v>10</v>
      </c>
      <c r="E39" s="86" t="str">
        <f>VLOOKUP(A39,TLV!B:G,5,FALSE)</f>
        <v>-</v>
      </c>
      <c r="F39" s="86" t="str">
        <f>VLOOKUP(A39,TLV!B:G,6,FALSE)</f>
        <v>-</v>
      </c>
      <c r="G39" s="87" t="str">
        <f>VLOOKUP(A39,TLV!$H:$I,2,FALSE)</f>
        <v>Irritações no TRS;
Danos nos rins;
Dano reprodutivo feminino</v>
      </c>
      <c r="H39" s="20"/>
    </row>
    <row r="40" ht="19.5" customHeight="1">
      <c r="A40" s="88" t="str">
        <f>VLOOKUP($A$27,TLV!H:L,4,FALSE)</f>
        <v>Método NIOSH 1501</v>
      </c>
      <c r="H40" s="20"/>
    </row>
    <row r="41" ht="19.5" customHeight="1">
      <c r="A41" s="90" t="str">
        <f>VLOOKUP(A39,TLV!B:C,2,FALSE)</f>
        <v>Cód. e-Social: 01.03.001</v>
      </c>
      <c r="B41" s="30"/>
      <c r="C41" s="30"/>
      <c r="D41" s="30"/>
      <c r="E41" s="30"/>
      <c r="F41" s="30"/>
      <c r="G41" s="30"/>
      <c r="H41" s="20"/>
    </row>
    <row r="42" ht="19.5" customHeight="1">
      <c r="A42" s="9" t="s">
        <v>3</v>
      </c>
      <c r="B42" s="11"/>
      <c r="C42" s="11"/>
      <c r="D42" s="13"/>
      <c r="E42" s="17" t="str">
        <f t="shared" ref="E42:F42" si="1">E1</f>
        <v>0000 -</v>
      </c>
      <c r="F42" s="18" t="str">
        <f t="shared" si="1"/>
        <v>1 / 2026.0</v>
      </c>
      <c r="G42" s="19"/>
      <c r="H42" s="20"/>
    </row>
    <row r="43" ht="19.5" customHeight="1">
      <c r="A43" s="129" t="s">
        <v>82</v>
      </c>
      <c r="B43" s="11"/>
      <c r="C43" s="11"/>
      <c r="D43" s="11"/>
      <c r="E43" s="11"/>
      <c r="F43" s="11"/>
      <c r="G43" s="23"/>
      <c r="H43" s="20"/>
    </row>
    <row r="44" ht="19.5" customHeight="1">
      <c r="A44" s="130"/>
      <c r="B44" s="130"/>
      <c r="C44" s="130"/>
      <c r="D44" s="130"/>
      <c r="E44" s="130"/>
      <c r="F44" s="130"/>
      <c r="G44" s="130"/>
      <c r="H44" s="20"/>
    </row>
    <row r="45" ht="19.5" customHeight="1">
      <c r="A45" s="131" t="s">
        <v>83</v>
      </c>
      <c r="B45" s="132"/>
      <c r="C45" s="132"/>
      <c r="D45" s="132"/>
      <c r="E45" s="132"/>
      <c r="F45" s="132"/>
      <c r="G45" s="132"/>
      <c r="H45" s="132"/>
    </row>
    <row r="46" ht="19.5" customHeight="1">
      <c r="A46" s="133" t="s">
        <v>84</v>
      </c>
      <c r="H46" s="132"/>
    </row>
    <row r="47" ht="19.5" customHeight="1">
      <c r="A47" s="133" t="s">
        <v>85</v>
      </c>
      <c r="H47" s="132"/>
    </row>
    <row r="48" ht="19.5" customHeight="1">
      <c r="A48" s="133" t="s">
        <v>86</v>
      </c>
      <c r="C48" s="132"/>
      <c r="D48" s="132"/>
      <c r="E48" s="132"/>
      <c r="F48" s="132"/>
      <c r="G48" s="132"/>
      <c r="H48" s="132"/>
    </row>
    <row r="49" ht="19.5" customHeight="1">
      <c r="A49" s="132" t="s">
        <v>87</v>
      </c>
      <c r="B49" s="132"/>
      <c r="C49" s="132"/>
      <c r="D49" s="132"/>
      <c r="E49" s="132"/>
      <c r="F49" s="132"/>
      <c r="G49" s="132"/>
      <c r="H49" s="132"/>
    </row>
    <row r="50" ht="19.5" customHeight="1">
      <c r="A50" s="132"/>
      <c r="B50" s="132"/>
      <c r="C50" s="132"/>
      <c r="D50" s="132"/>
      <c r="E50" s="132"/>
      <c r="F50" s="132"/>
      <c r="G50" s="132"/>
      <c r="H50" s="132"/>
    </row>
    <row r="51" ht="19.5" customHeight="1">
      <c r="A51" s="134" t="s">
        <v>88</v>
      </c>
      <c r="B51" s="132"/>
      <c r="C51" s="132"/>
      <c r="D51" s="132"/>
      <c r="E51" s="132"/>
      <c r="F51" s="132"/>
      <c r="G51" s="132"/>
      <c r="H51" s="132"/>
    </row>
    <row r="52" ht="19.5" customHeight="1">
      <c r="A52" s="133" t="s">
        <v>89</v>
      </c>
      <c r="H52" s="132"/>
    </row>
    <row r="53" ht="19.5" customHeight="1">
      <c r="A53" s="133" t="s">
        <v>90</v>
      </c>
      <c r="H53" s="132"/>
    </row>
    <row r="54" ht="19.5" customHeight="1">
      <c r="A54" s="133" t="s">
        <v>91</v>
      </c>
      <c r="H54" s="132"/>
    </row>
    <row r="55" ht="19.5" customHeight="1">
      <c r="A55" s="133"/>
      <c r="H55" s="132"/>
    </row>
    <row r="56" ht="19.5" customHeight="1">
      <c r="A56" s="88"/>
      <c r="B56" s="135"/>
      <c r="C56" s="88"/>
      <c r="D56" s="88"/>
      <c r="E56" s="88"/>
      <c r="F56" s="88"/>
      <c r="G56" s="136"/>
      <c r="H56" s="20"/>
    </row>
    <row r="57" ht="19.5" customHeight="1">
      <c r="A57" s="137" t="s">
        <v>93</v>
      </c>
      <c r="B57" s="39"/>
      <c r="C57" s="39"/>
      <c r="D57" s="39"/>
      <c r="E57" s="39"/>
      <c r="F57" s="40"/>
      <c r="G57" s="130"/>
      <c r="H57" s="20"/>
    </row>
    <row r="58" ht="19.5" customHeight="1">
      <c r="A58" s="105" t="str">
        <f>VLOOKUP($A$18,TLV!H:L,3,FALSE)</f>
        <v>Tubo de Carvão Ativado</v>
      </c>
      <c r="D58" s="138"/>
      <c r="E58" s="138"/>
      <c r="F58" s="138"/>
      <c r="G58" s="130"/>
      <c r="H58" s="20"/>
    </row>
    <row r="59" ht="19.5" customHeight="1">
      <c r="A59" s="136"/>
      <c r="G59" s="88"/>
      <c r="H59" s="20"/>
    </row>
    <row r="60" ht="19.5" customHeight="1">
      <c r="A60" s="137" t="s">
        <v>94</v>
      </c>
      <c r="B60" s="40"/>
      <c r="C60" s="139">
        <v>1.0</v>
      </c>
      <c r="D60" s="64"/>
      <c r="E60" s="64"/>
      <c r="F60" s="64"/>
      <c r="G60" s="64"/>
      <c r="H60" s="132"/>
    </row>
    <row r="61" ht="19.5" customHeight="1">
      <c r="A61" s="105" t="str">
        <f>VLOOKUP($A$18,TLV!H:L,5,FALSE)</f>
        <v>Cromatografia</v>
      </c>
      <c r="B61" s="140"/>
      <c r="C61" s="139"/>
      <c r="D61" s="64"/>
      <c r="E61" s="64"/>
      <c r="F61" s="64"/>
      <c r="G61" s="64"/>
      <c r="H61" s="132"/>
    </row>
    <row r="62" ht="19.5" customHeight="1">
      <c r="A62" s="141"/>
      <c r="B62" s="141"/>
      <c r="C62" s="141"/>
      <c r="D62" s="141"/>
      <c r="E62" s="141"/>
      <c r="F62" s="141"/>
      <c r="G62" s="64"/>
      <c r="H62" s="132"/>
    </row>
    <row r="63" ht="19.5" customHeight="1">
      <c r="A63" s="142" t="s">
        <v>96</v>
      </c>
      <c r="B63" s="64"/>
      <c r="C63" s="64"/>
      <c r="D63" s="64"/>
      <c r="E63" s="64"/>
      <c r="F63" s="64"/>
      <c r="G63" s="64"/>
      <c r="H63" s="132"/>
    </row>
    <row r="64" ht="19.5" customHeight="1">
      <c r="A64" s="65" t="s">
        <v>97</v>
      </c>
      <c r="H64" s="132"/>
    </row>
    <row r="65" ht="19.5" customHeight="1">
      <c r="A65" s="65" t="s">
        <v>98</v>
      </c>
      <c r="F65" s="65"/>
      <c r="G65" s="65"/>
      <c r="H65" s="132"/>
    </row>
    <row r="66" ht="19.5" customHeight="1">
      <c r="A66" s="65" t="s">
        <v>99</v>
      </c>
      <c r="D66" s="65"/>
      <c r="E66" s="65"/>
      <c r="F66" s="65"/>
      <c r="G66" s="65"/>
      <c r="H66" s="132"/>
    </row>
    <row r="67" ht="19.5" customHeight="1">
      <c r="A67" s="65" t="s">
        <v>100</v>
      </c>
      <c r="H67" s="132"/>
    </row>
    <row r="68" ht="19.5" customHeight="1">
      <c r="A68" s="65" t="s">
        <v>101</v>
      </c>
      <c r="H68" s="132"/>
    </row>
    <row r="69" ht="19.5" customHeight="1">
      <c r="A69" s="64"/>
      <c r="B69" s="64"/>
      <c r="C69" s="64"/>
      <c r="D69" s="64"/>
      <c r="E69" s="64"/>
      <c r="F69" s="64"/>
      <c r="G69" s="64"/>
      <c r="H69" s="20"/>
    </row>
    <row r="70" ht="19.5" customHeight="1">
      <c r="A70" s="142" t="s">
        <v>102</v>
      </c>
      <c r="B70" s="64"/>
      <c r="C70" s="64"/>
      <c r="D70" s="64"/>
      <c r="E70" s="64"/>
      <c r="F70" s="64"/>
      <c r="G70" s="64"/>
      <c r="H70" s="20"/>
    </row>
    <row r="71" ht="19.5" customHeight="1">
      <c r="A71" s="141" t="s">
        <v>103</v>
      </c>
      <c r="H71" s="20"/>
    </row>
    <row r="72" ht="19.5" customHeight="1">
      <c r="H72" s="20"/>
    </row>
    <row r="73" ht="19.5" customHeight="1">
      <c r="H73" s="20"/>
    </row>
    <row r="74" ht="19.5" customHeight="1">
      <c r="A74" s="20"/>
      <c r="B74" s="20"/>
      <c r="C74" s="20"/>
      <c r="D74" s="20"/>
      <c r="E74" s="20"/>
      <c r="F74" s="20"/>
      <c r="G74" s="20"/>
      <c r="H74" s="20"/>
    </row>
    <row r="75" ht="19.5" customHeight="1">
      <c r="A75" s="20"/>
      <c r="B75" s="20"/>
      <c r="C75" s="20"/>
      <c r="D75" s="20"/>
      <c r="E75" s="20"/>
      <c r="F75" s="20"/>
      <c r="G75" s="20"/>
      <c r="H75" s="20"/>
    </row>
    <row r="76" ht="19.5" customHeight="1">
      <c r="A76" s="144"/>
      <c r="B76" s="144"/>
      <c r="C76" s="145" t="s">
        <v>104</v>
      </c>
      <c r="D76" s="146" t="str">
        <f>'Capa '!M12</f>
        <v>01 de janeiro de 2026.</v>
      </c>
      <c r="G76" s="144"/>
      <c r="H76" s="20"/>
    </row>
    <row r="77" ht="19.5" customHeight="1">
      <c r="A77" s="20"/>
      <c r="B77" s="20"/>
      <c r="C77" s="88"/>
      <c r="D77" s="88"/>
      <c r="E77" s="88"/>
      <c r="F77" s="20"/>
      <c r="G77" s="20"/>
      <c r="H77" s="20"/>
    </row>
    <row r="78" ht="19.5" customHeight="1">
      <c r="A78" s="20"/>
      <c r="B78" s="20"/>
      <c r="C78" s="88"/>
      <c r="D78" s="88"/>
      <c r="E78" s="88"/>
      <c r="F78" s="20"/>
      <c r="G78" s="20"/>
      <c r="H78" s="20"/>
    </row>
    <row r="79" ht="19.5" customHeight="1">
      <c r="A79" s="20"/>
      <c r="B79" s="20"/>
      <c r="C79" s="147"/>
      <c r="D79" s="147"/>
      <c r="E79" s="147"/>
      <c r="F79" s="20"/>
      <c r="G79" s="20"/>
      <c r="H79" s="20"/>
    </row>
    <row r="80" ht="19.5" customHeight="1">
      <c r="A80" s="20"/>
      <c r="B80" s="20"/>
      <c r="C80" s="148"/>
      <c r="D80" s="148"/>
      <c r="E80" s="148"/>
      <c r="F80" s="20"/>
      <c r="G80" s="20"/>
      <c r="H80" s="20"/>
    </row>
    <row r="81" ht="19.5" customHeight="1">
      <c r="A81" s="20"/>
      <c r="B81" s="20"/>
      <c r="C81" s="148"/>
      <c r="D81" s="148"/>
      <c r="E81" s="148"/>
      <c r="F81" s="20"/>
      <c r="G81" s="20"/>
      <c r="H81" s="20"/>
    </row>
    <row r="82" ht="19.5" customHeight="1">
      <c r="A82" s="20"/>
      <c r="B82" s="20"/>
      <c r="C82" s="148"/>
      <c r="D82" s="148"/>
      <c r="E82" s="148"/>
      <c r="F82" s="20"/>
      <c r="G82" s="20"/>
      <c r="H82" s="20"/>
    </row>
  </sheetData>
  <mergeCells count="93">
    <mergeCell ref="A1:D1"/>
    <mergeCell ref="A2:G2"/>
    <mergeCell ref="A3:G3"/>
    <mergeCell ref="B4:G4"/>
    <mergeCell ref="B5:G5"/>
    <mergeCell ref="B6:G6"/>
    <mergeCell ref="A7:G7"/>
    <mergeCell ref="B8:G8"/>
    <mergeCell ref="B9:D9"/>
    <mergeCell ref="F9:G9"/>
    <mergeCell ref="B10:D10"/>
    <mergeCell ref="F10:G10"/>
    <mergeCell ref="A11:G11"/>
    <mergeCell ref="D12:E12"/>
    <mergeCell ref="F16:F17"/>
    <mergeCell ref="G16:G17"/>
    <mergeCell ref="B12:C12"/>
    <mergeCell ref="A13:C13"/>
    <mergeCell ref="D13:E13"/>
    <mergeCell ref="F13:G13"/>
    <mergeCell ref="A15:G15"/>
    <mergeCell ref="A16:A17"/>
    <mergeCell ref="B16:B17"/>
    <mergeCell ref="C16:C17"/>
    <mergeCell ref="D16:E16"/>
    <mergeCell ref="C18:C20"/>
    <mergeCell ref="D18:D20"/>
    <mergeCell ref="E18:E20"/>
    <mergeCell ref="F18:F20"/>
    <mergeCell ref="G18:G20"/>
    <mergeCell ref="B18:B20"/>
    <mergeCell ref="B21:B23"/>
    <mergeCell ref="C21:C23"/>
    <mergeCell ref="D21:D23"/>
    <mergeCell ref="E21:E23"/>
    <mergeCell ref="F21:F23"/>
    <mergeCell ref="G21:G23"/>
    <mergeCell ref="C27:C29"/>
    <mergeCell ref="D27:D29"/>
    <mergeCell ref="A67:G67"/>
    <mergeCell ref="A68:G68"/>
    <mergeCell ref="A71:G73"/>
    <mergeCell ref="D76:F76"/>
    <mergeCell ref="A57:F57"/>
    <mergeCell ref="A58:C58"/>
    <mergeCell ref="A59:F59"/>
    <mergeCell ref="A60:B60"/>
    <mergeCell ref="A64:G64"/>
    <mergeCell ref="A65:E65"/>
    <mergeCell ref="A66:C66"/>
    <mergeCell ref="E27:E29"/>
    <mergeCell ref="F27:F29"/>
    <mergeCell ref="B24:B26"/>
    <mergeCell ref="C24:C26"/>
    <mergeCell ref="D24:D26"/>
    <mergeCell ref="E24:E26"/>
    <mergeCell ref="F24:F26"/>
    <mergeCell ref="G24:G26"/>
    <mergeCell ref="G27:G29"/>
    <mergeCell ref="B27:B29"/>
    <mergeCell ref="B30:B32"/>
    <mergeCell ref="C30:C32"/>
    <mergeCell ref="D30:D32"/>
    <mergeCell ref="E30:E32"/>
    <mergeCell ref="F30:F32"/>
    <mergeCell ref="G30:G32"/>
    <mergeCell ref="E36:E38"/>
    <mergeCell ref="F36:F38"/>
    <mergeCell ref="E39:E41"/>
    <mergeCell ref="F39:F41"/>
    <mergeCell ref="G39:G41"/>
    <mergeCell ref="B33:B35"/>
    <mergeCell ref="C33:C35"/>
    <mergeCell ref="D33:D35"/>
    <mergeCell ref="E33:E35"/>
    <mergeCell ref="F33:F35"/>
    <mergeCell ref="G33:G35"/>
    <mergeCell ref="B36:B38"/>
    <mergeCell ref="G36:G38"/>
    <mergeCell ref="C36:C38"/>
    <mergeCell ref="D36:D38"/>
    <mergeCell ref="B39:B41"/>
    <mergeCell ref="C39:C41"/>
    <mergeCell ref="D39:D41"/>
    <mergeCell ref="A42:D42"/>
    <mergeCell ref="A43:G43"/>
    <mergeCell ref="A46:G46"/>
    <mergeCell ref="A47:G47"/>
    <mergeCell ref="A48:B48"/>
    <mergeCell ref="A52:G52"/>
    <mergeCell ref="A53:G53"/>
    <mergeCell ref="A54:G54"/>
    <mergeCell ref="A55:G55"/>
  </mergeCells>
  <dataValidations>
    <dataValidation type="list" allowBlank="1" showErrorMessage="1" sqref="F13">
      <formula1>"Alexandre Moura,Engº Arimar Neves Neto,Diogo dos Santos,Willian de Moraes,Emanuelle de Menezes,Yuri Fonseca"</formula1>
    </dataValidation>
    <dataValidation type="list" allowBlank="1" showErrorMessage="1" sqref="A59">
      <formula1>"Bomba Gravimétrica com Impinger,Bomba Gravimétrica com Balão de Tedlar 5L,Analisador de Gases Portátil provenientes da Combustão,Bomba Gravimétrica com K7 e Filtro de MCE e Tubo de Sílica Gel"</formula1>
    </dataValidation>
    <dataValidation type="list" allowBlank="1" showErrorMessage="1" sqref="A62">
      <formula1>"Cromatografia,Cromatografia e Espectrofotometria,Medição Direta,Espectrofotometria e Gravimetria,Espectrofotometria,Espectrofotometria e Complexometria,Gravimetria"</formula1>
    </dataValidation>
  </dataValidations>
  <printOptions horizontalCentered="1" verticalCentered="1"/>
  <pageMargins bottom="0.984251968503937" footer="0.0" header="0.0" left="0.3937007874015748" right="0.3937007874015748" top="1.5748031496062993"/>
  <pageSetup paperSize="9" scale="80" orientation="portrait"/>
  <headerFooter>
    <oddHead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2.71"/>
    <col customWidth="1" min="3" max="3" width="13.57"/>
    <col customWidth="1" min="4" max="6" width="12.71"/>
    <col customWidth="1" min="7" max="7" width="26.14"/>
    <col customWidth="1" min="8" max="8" width="9.14"/>
    <col customWidth="1" min="9" max="9" width="11.29"/>
    <col customWidth="1" min="10" max="10" width="10.14"/>
    <col customWidth="1" min="11" max="11" width="11.57"/>
    <col customWidth="1" min="12" max="26" width="9.14"/>
  </cols>
  <sheetData>
    <row r="1" ht="19.5" customHeight="1">
      <c r="A1" s="9" t="s">
        <v>3</v>
      </c>
      <c r="B1" s="11"/>
      <c r="C1" s="11"/>
      <c r="D1" s="13"/>
      <c r="E1" s="17" t="str">
        <f t="array" ref="E1:F1">'Capa '!T6:U6</f>
        <v>0000 -</v>
      </c>
      <c r="F1" s="18" t="s">
        <v>7</v>
      </c>
      <c r="G1" s="19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9.5" customHeight="1">
      <c r="A2" s="21" t="s">
        <v>48</v>
      </c>
      <c r="B2" s="11"/>
      <c r="C2" s="11"/>
      <c r="D2" s="11"/>
      <c r="E2" s="11"/>
      <c r="F2" s="11"/>
      <c r="G2" s="13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ht="19.5" customHeight="1">
      <c r="A3" s="22" t="s">
        <v>11</v>
      </c>
      <c r="B3" s="11"/>
      <c r="C3" s="11"/>
      <c r="D3" s="11"/>
      <c r="E3" s="11"/>
      <c r="F3" s="11"/>
      <c r="G3" s="23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ht="19.5" customHeight="1">
      <c r="A4" s="24" t="s">
        <v>12</v>
      </c>
      <c r="B4" s="25" t="str">
        <f>'Capa '!L18</f>
        <v>11342 Sociedade Fogas Ltda - Manaus</v>
      </c>
      <c r="G4" s="26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ht="19.5" customHeight="1">
      <c r="A5" s="27" t="s">
        <v>13</v>
      </c>
      <c r="B5" s="25" t="str">
        <f>'Capa '!L19</f>
        <v>Rua Rio Quixito, 86 -   Vila Buriti  Manaus/Amazonas</v>
      </c>
      <c r="G5" s="26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ht="19.5" customHeight="1">
      <c r="A6" s="28" t="s">
        <v>15</v>
      </c>
      <c r="B6" s="29" t="s">
        <v>53</v>
      </c>
      <c r="C6" s="30"/>
      <c r="D6" s="30"/>
      <c r="E6" s="30"/>
      <c r="F6" s="30"/>
      <c r="G6" s="31"/>
      <c r="H6" s="64"/>
      <c r="I6" s="91" t="s">
        <v>56</v>
      </c>
      <c r="J6" s="93">
        <v>0.5</v>
      </c>
      <c r="K6" s="9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ht="19.5" customHeight="1">
      <c r="A7" s="32" t="s">
        <v>17</v>
      </c>
      <c r="B7" s="11"/>
      <c r="C7" s="11"/>
      <c r="D7" s="11"/>
      <c r="E7" s="11"/>
      <c r="F7" s="11"/>
      <c r="G7" s="23"/>
      <c r="H7" s="64"/>
      <c r="I7" s="91" t="s">
        <v>59</v>
      </c>
      <c r="J7" s="93">
        <v>0.3333333333333333</v>
      </c>
      <c r="K7" s="9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19.5" customHeight="1">
      <c r="A8" s="33" t="s">
        <v>18</v>
      </c>
      <c r="B8" s="98"/>
      <c r="C8" s="57"/>
      <c r="D8" s="57"/>
      <c r="E8" s="57"/>
      <c r="F8" s="57"/>
      <c r="G8" s="99"/>
      <c r="H8" s="64"/>
      <c r="I8" s="100"/>
      <c r="J8" s="102">
        <f>J6-J7</f>
        <v>0.1666666667</v>
      </c>
      <c r="K8" s="103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19.5" customHeight="1">
      <c r="A9" s="37" t="s">
        <v>20</v>
      </c>
      <c r="B9" s="105"/>
      <c r="E9" s="41" t="s">
        <v>21</v>
      </c>
      <c r="F9" s="65"/>
      <c r="G9" s="26"/>
      <c r="H9" s="64"/>
      <c r="I9" s="107"/>
      <c r="J9" s="94">
        <f>HOUR(J8)*60+MINUTE(J8)</f>
        <v>240</v>
      </c>
      <c r="K9" s="108" t="s">
        <v>63</v>
      </c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19.5" customHeight="1">
      <c r="A10" s="44" t="s">
        <v>22</v>
      </c>
      <c r="B10" s="109"/>
      <c r="C10" s="30"/>
      <c r="D10" s="30"/>
      <c r="E10" s="48" t="s">
        <v>24</v>
      </c>
      <c r="F10" s="109"/>
      <c r="G10" s="31"/>
      <c r="H10" s="64"/>
      <c r="I10" s="110" t="s">
        <v>65</v>
      </c>
      <c r="J10" s="111">
        <v>0.02</v>
      </c>
      <c r="K10" s="108" t="s">
        <v>66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19.5" customHeight="1">
      <c r="A11" s="22" t="s">
        <v>25</v>
      </c>
      <c r="B11" s="11"/>
      <c r="C11" s="11"/>
      <c r="D11" s="11"/>
      <c r="E11" s="11"/>
      <c r="F11" s="11"/>
      <c r="G11" s="23"/>
      <c r="H11" s="64"/>
      <c r="I11" s="110" t="s">
        <v>68</v>
      </c>
      <c r="J11" s="94">
        <f>J10*J9</f>
        <v>4.8</v>
      </c>
      <c r="K11" s="108" t="s">
        <v>31</v>
      </c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19.5" customHeight="1">
      <c r="A12" s="51" t="s">
        <v>26</v>
      </c>
      <c r="B12" s="112">
        <v>45471.0</v>
      </c>
      <c r="C12" s="57"/>
      <c r="D12" s="58" t="s">
        <v>28</v>
      </c>
      <c r="E12" s="57"/>
      <c r="F12" s="58">
        <f>$J$11</f>
        <v>4.8</v>
      </c>
      <c r="G12" s="59" t="s">
        <v>31</v>
      </c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19.5" customHeight="1">
      <c r="A13" s="44" t="s">
        <v>32</v>
      </c>
      <c r="B13" s="30"/>
      <c r="C13" s="30"/>
      <c r="D13" s="60" t="s">
        <v>33</v>
      </c>
      <c r="E13" s="30"/>
      <c r="F13" s="115" t="s">
        <v>71</v>
      </c>
      <c r="G13" s="31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19.5" customHeight="1">
      <c r="A14" s="64"/>
      <c r="B14" s="64"/>
      <c r="C14" s="64"/>
      <c r="D14" s="64"/>
      <c r="E14" s="64"/>
      <c r="F14" s="64"/>
      <c r="G14" s="64"/>
      <c r="H14" s="64"/>
      <c r="I14" s="116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19.5" customHeight="1">
      <c r="A15" s="66" t="s">
        <v>74</v>
      </c>
      <c r="B15" s="11"/>
      <c r="C15" s="11"/>
      <c r="D15" s="11"/>
      <c r="E15" s="11"/>
      <c r="F15" s="11"/>
      <c r="G15" s="11"/>
      <c r="H15" s="64"/>
      <c r="I15" s="117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19.5" customHeight="1">
      <c r="A16" s="119" t="s">
        <v>37</v>
      </c>
      <c r="B16" s="120" t="s">
        <v>76</v>
      </c>
      <c r="C16" s="121" t="s">
        <v>39</v>
      </c>
      <c r="D16" s="122" t="s">
        <v>40</v>
      </c>
      <c r="E16" s="53"/>
      <c r="F16" s="121" t="s">
        <v>41</v>
      </c>
      <c r="G16" s="119" t="s">
        <v>42</v>
      </c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19.5" customHeight="1">
      <c r="A17" s="85"/>
      <c r="B17" s="123" t="s">
        <v>78</v>
      </c>
      <c r="C17" s="85"/>
      <c r="D17" s="124" t="s">
        <v>43</v>
      </c>
      <c r="E17" s="124" t="s">
        <v>44</v>
      </c>
      <c r="F17" s="85"/>
      <c r="G17" s="85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9.5" customHeight="1">
      <c r="A18" s="87" t="s">
        <v>79</v>
      </c>
      <c r="B18" s="76" t="str">
        <f>VLOOKUP(A18,TLV!H:P,9,FALSE)</f>
        <v>&lt; 0,005</v>
      </c>
      <c r="C18" s="86" t="str">
        <f>VLOOKUP(A18,TLV!B:D,3,FALSE)</f>
        <v>mg/m3</v>
      </c>
      <c r="D18" s="86">
        <f>VLOOKUP(A18,TLV!B:G,4,FALSE)</f>
        <v>1</v>
      </c>
      <c r="E18" s="86" t="str">
        <f>VLOOKUP(A18,TLV!B:G,5,FALSE)</f>
        <v>-</v>
      </c>
      <c r="F18" s="86" t="str">
        <f>VLOOKUP(A18,TLV!B:G,6,FALSE)</f>
        <v>-</v>
      </c>
      <c r="G18" s="87" t="str">
        <f>VLOOKUP(A18,TLV!$H:$I,2,FALSE)</f>
        <v>Pneumoconiose; Irritação TRI neurotoxicidade</v>
      </c>
      <c r="H18" s="64"/>
      <c r="I18" s="64"/>
      <c r="J18" s="126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9.5" customHeight="1">
      <c r="A19" s="88" t="str">
        <f>VLOOKUP(A18,TLV!H:L,4,FALSE)</f>
        <v>Método NIOSH 7303</v>
      </c>
      <c r="H19" s="64"/>
      <c r="I19" s="126"/>
      <c r="J19" s="126"/>
      <c r="K19" s="127"/>
      <c r="L19" s="128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9.5" customHeight="1">
      <c r="A20" s="90" t="str">
        <f>VLOOKUP(A18,TLV!B:C,2,FALSE)</f>
        <v>Cód. e-Social: N. C.</v>
      </c>
      <c r="B20" s="30"/>
      <c r="C20" s="30"/>
      <c r="D20" s="30"/>
      <c r="E20" s="30"/>
      <c r="F20" s="30"/>
      <c r="G20" s="30"/>
      <c r="H20" s="64"/>
      <c r="I20" s="64"/>
      <c r="J20" s="126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19.5" customHeight="1">
      <c r="A21" s="87" t="s">
        <v>81</v>
      </c>
      <c r="B21" s="76" t="str">
        <f>VLOOKUP(A21,TLV!H:P,9,FALSE)</f>
        <v>&lt; 0,005</v>
      </c>
      <c r="C21" s="86" t="str">
        <f>VLOOKUP(A21,TLV!B:D,3,FALSE)</f>
        <v>mg/m3</v>
      </c>
      <c r="D21" s="86">
        <f>VLOOKUP(A21,TLV!B:G,4,FALSE)</f>
        <v>0.5</v>
      </c>
      <c r="E21" s="86" t="str">
        <f>VLOOKUP(A21,TLV!B:G,5,FALSE)</f>
        <v>-</v>
      </c>
      <c r="F21" s="86" t="str">
        <f>VLOOKUP(A21,TLV!B:G,6,FALSE)</f>
        <v>-</v>
      </c>
      <c r="G21" s="87" t="str">
        <f>VLOOKUP(A21,TLV!$H:$I,2,FALSE)</f>
        <v>Irritações na pele;
Irritações no TRS</v>
      </c>
      <c r="H21" s="64"/>
      <c r="I21" s="64"/>
      <c r="J21" s="126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19.5" customHeight="1">
      <c r="A22" s="88" t="str">
        <f>VLOOKUP(A21,TLV!H:L,4,FALSE)</f>
        <v>Método NIOSH 7303</v>
      </c>
      <c r="H22" s="64"/>
      <c r="I22" s="126"/>
      <c r="J22" s="126"/>
      <c r="K22" s="127"/>
      <c r="L22" s="128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9.5" customHeight="1">
      <c r="A23" s="90" t="str">
        <f>VLOOKUP(A21,TLV!B:C,2,FALSE)</f>
        <v>Cód. e-Social: N. C.</v>
      </c>
      <c r="B23" s="30"/>
      <c r="C23" s="30"/>
      <c r="D23" s="30"/>
      <c r="E23" s="30"/>
      <c r="F23" s="30"/>
      <c r="G23" s="30"/>
      <c r="H23" s="64"/>
      <c r="I23" s="64"/>
      <c r="J23" s="126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9.5" customHeight="1">
      <c r="A24" s="87" t="s">
        <v>95</v>
      </c>
      <c r="B24" s="76" t="str">
        <f>VLOOKUP(A24,TLV!H:P,9,FALSE)</f>
        <v>&lt; 0,005</v>
      </c>
      <c r="C24" s="86" t="str">
        <f>VLOOKUP(A24,TLV!B:D,3,FALSE)</f>
        <v>mg/m3</v>
      </c>
      <c r="D24" s="86">
        <f>VLOOKUP(A24,TLV!B:G,4,FALSE)</f>
        <v>0.01</v>
      </c>
      <c r="E24" s="86" t="str">
        <f>VLOOKUP(A24,TLV!B:G,5,FALSE)</f>
        <v>-</v>
      </c>
      <c r="F24" s="86" t="str">
        <f>VLOOKUP(A24,TLV!B:G,6,FALSE)</f>
        <v>-</v>
      </c>
      <c r="G24" s="87" t="str">
        <f>VLOOKUP(A24,TLV!$H:$I,2,FALSE)</f>
        <v>Câncer do pulmão</v>
      </c>
      <c r="H24" s="64"/>
      <c r="I24" s="64"/>
      <c r="J24" s="126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9.5" customHeight="1">
      <c r="A25" s="88" t="str">
        <f>VLOOKUP(A24,TLV!H:L,4,FALSE)</f>
        <v>Método NIOSH 7303</v>
      </c>
      <c r="H25" s="64"/>
      <c r="I25" s="126"/>
      <c r="J25" s="126"/>
      <c r="K25" s="127"/>
      <c r="L25" s="128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9.5" customHeight="1">
      <c r="A26" s="90" t="str">
        <f>VLOOKUP(A24,TLV!B:C,2,FALSE)</f>
        <v>Cód. e-Social: 01.01.001</v>
      </c>
      <c r="B26" s="30"/>
      <c r="C26" s="30"/>
      <c r="D26" s="30"/>
      <c r="E26" s="30"/>
      <c r="F26" s="30"/>
      <c r="G26" s="30"/>
      <c r="H26" s="64"/>
      <c r="I26" s="64"/>
      <c r="J26" s="126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9.5" customHeight="1">
      <c r="A27" s="87" t="s">
        <v>105</v>
      </c>
      <c r="B27" s="76" t="str">
        <f>VLOOKUP(A27,TLV!H:P,9,FALSE)</f>
        <v>&lt; 0,001</v>
      </c>
      <c r="C27" s="86" t="str">
        <f>VLOOKUP(A27,TLV!B:D,3,FALSE)</f>
        <v>mg/m3</v>
      </c>
      <c r="D27" s="86">
        <f>VLOOKUP(A27,TLV!B:G,4,FALSE)</f>
        <v>0.5</v>
      </c>
      <c r="E27" s="86" t="str">
        <f>VLOOKUP(A27,TLV!B:G,5,FALSE)</f>
        <v>-</v>
      </c>
      <c r="F27" s="86" t="str">
        <f>VLOOKUP(A27,TLV!B:G,6,FALSE)</f>
        <v>-</v>
      </c>
      <c r="G27" s="87" t="str">
        <f>VLOOKUP(A27,TLV!$H:$I,2,FALSE)</f>
        <v>Irritação olhos, pele e GI; estim muscular</v>
      </c>
      <c r="H27" s="64"/>
      <c r="I27" s="64"/>
      <c r="J27" s="126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9.5" customHeight="1">
      <c r="A28" s="88" t="str">
        <f>VLOOKUP(A27,TLV!H:L,4,FALSE)</f>
        <v>Método NIOSH 7303</v>
      </c>
      <c r="H28" s="64"/>
      <c r="I28" s="126"/>
      <c r="J28" s="126"/>
      <c r="K28" s="127"/>
      <c r="L28" s="128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9.5" customHeight="1">
      <c r="A29" s="90" t="str">
        <f>VLOOKUP(A27,TLV!B:C,2,FALSE)</f>
        <v>Cód. e-Social: N. C.</v>
      </c>
      <c r="B29" s="30"/>
      <c r="C29" s="30"/>
      <c r="D29" s="30"/>
      <c r="E29" s="30"/>
      <c r="F29" s="30"/>
      <c r="G29" s="30"/>
      <c r="H29" s="64"/>
      <c r="I29" s="64"/>
      <c r="J29" s="126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9.5" customHeight="1">
      <c r="A30" s="87" t="s">
        <v>107</v>
      </c>
      <c r="B30" s="76" t="str">
        <f>VLOOKUP(A30,TLV!H:P,9,FALSE)</f>
        <v>&lt; 0,001</v>
      </c>
      <c r="C30" s="86" t="str">
        <f>VLOOKUP(A30,TLV!B:D,3,FALSE)</f>
        <v>mg/m3</v>
      </c>
      <c r="D30" s="86">
        <f>VLOOKUP(A30,TLV!B:G,4,FALSE)</f>
        <v>0.002</v>
      </c>
      <c r="E30" s="86" t="str">
        <f>VLOOKUP(A30,TLV!B:G,5,FALSE)</f>
        <v>-</v>
      </c>
      <c r="F30" s="86" t="str">
        <f>VLOOKUP(A30,TLV!B:G,6,FALSE)</f>
        <v>-</v>
      </c>
      <c r="G30" s="87" t="str">
        <f>VLOOKUP(A30,TLV!$H:$I,2,FALSE)</f>
        <v>Dano rins</v>
      </c>
      <c r="H30" s="64"/>
      <c r="I30" s="64"/>
      <c r="J30" s="126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19.5" customHeight="1">
      <c r="A31" s="88" t="str">
        <f>VLOOKUP(A30,TLV!H:L,4,FALSE)</f>
        <v>Método NIOSH 7303</v>
      </c>
      <c r="H31" s="64"/>
      <c r="I31" s="126"/>
      <c r="J31" s="126"/>
      <c r="K31" s="127"/>
      <c r="L31" s="128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19.5" customHeight="1">
      <c r="A32" s="90" t="str">
        <f>VLOOKUP(A30,TLV!B:C,2,FALSE)</f>
        <v>Cód. e-Social: 01.06.001</v>
      </c>
      <c r="B32" s="30"/>
      <c r="C32" s="30"/>
      <c r="D32" s="30"/>
      <c r="E32" s="30"/>
      <c r="F32" s="30"/>
      <c r="G32" s="30"/>
      <c r="H32" s="64"/>
      <c r="I32" s="64"/>
      <c r="J32" s="126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24.75" customHeight="1">
      <c r="A33" s="87" t="s">
        <v>108</v>
      </c>
      <c r="B33" s="76" t="str">
        <f>VLOOKUP(A33,TLV!H:P,9,FALSE)</f>
        <v>&lt; 0,001</v>
      </c>
      <c r="C33" s="86" t="str">
        <f>VLOOKUP(A33,TLV!B:D,3,FALSE)</f>
        <v>mg/m3</v>
      </c>
      <c r="D33" s="86">
        <f>VLOOKUP(A33,TLV!B:G,4,FALSE)</f>
        <v>0.05</v>
      </c>
      <c r="E33" s="86" t="str">
        <f>VLOOKUP(A33,TLV!B:G,5,FALSE)</f>
        <v>-</v>
      </c>
      <c r="F33" s="86">
        <f>VLOOKUP(A33,TLV!B:G,6,FALSE)</f>
        <v>0.1</v>
      </c>
      <c r="G33" s="87" t="str">
        <f>VLOOKUP(A33,TLV!$H:$I,2,FALSE)</f>
        <v>Comprometimento do SNC; Comprometimento do sistema nervoso periférico; Efeitos hematológicos</v>
      </c>
      <c r="H33" s="64"/>
      <c r="I33" s="64"/>
      <c r="J33" s="126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24.75" customHeight="1">
      <c r="A34" s="88" t="str">
        <f>VLOOKUP(A33,TLV!H:L,4,FALSE)</f>
        <v>Método NIOSH 7303</v>
      </c>
      <c r="H34" s="64"/>
      <c r="I34" s="126"/>
      <c r="J34" s="126"/>
      <c r="K34" s="127"/>
      <c r="L34" s="128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24.75" customHeight="1">
      <c r="A35" s="90" t="str">
        <f>VLOOKUP(A33,TLV!B:C,2,FALSE)</f>
        <v>Cód. e-Social: 01.08.001</v>
      </c>
      <c r="B35" s="30"/>
      <c r="C35" s="30"/>
      <c r="D35" s="30"/>
      <c r="E35" s="30"/>
      <c r="F35" s="30"/>
      <c r="G35" s="30"/>
      <c r="H35" s="64"/>
      <c r="I35" s="64"/>
      <c r="J35" s="126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19.5" customHeight="1">
      <c r="A36" s="87" t="s">
        <v>262</v>
      </c>
      <c r="B36" s="76" t="str">
        <f>VLOOKUP(A36,TLV!H:P,9,FALSE)</f>
        <v>&lt; 0,005</v>
      </c>
      <c r="C36" s="86" t="str">
        <f>VLOOKUP(A36,TLV!B:D,3,FALSE)</f>
        <v>mg/m3</v>
      </c>
      <c r="D36" s="86">
        <f>VLOOKUP(A36,TLV!B:G,4,FALSE)</f>
        <v>0.02</v>
      </c>
      <c r="E36" s="86" t="str">
        <f>VLOOKUP(A36,TLV!B:G,5,FALSE)</f>
        <v>-</v>
      </c>
      <c r="F36" s="86" t="str">
        <f>VLOOKUP(A36,TLV!B:G,6,FALSE)</f>
        <v>-</v>
      </c>
      <c r="G36" s="87" t="str">
        <f>VLOOKUP(A36,TLV!$H:$I,2,FALSE)</f>
        <v>Mudanças na função pulmonar.</v>
      </c>
      <c r="H36" s="64"/>
      <c r="I36" s="64"/>
      <c r="J36" s="126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19.5" customHeight="1">
      <c r="A37" s="88" t="str">
        <f>VLOOKUP(A36,TLV!H:L,4,FALSE)</f>
        <v>Método NIOSH 7303</v>
      </c>
      <c r="H37" s="64"/>
      <c r="I37" s="126"/>
      <c r="J37" s="126"/>
      <c r="K37" s="127"/>
      <c r="L37" s="128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19.5" customHeight="1">
      <c r="A38" s="90" t="str">
        <f>VLOOKUP(A36,TLV!B:C,2,FALSE)</f>
        <v>Cód. e-Social: N. C.</v>
      </c>
      <c r="B38" s="30"/>
      <c r="C38" s="30"/>
      <c r="D38" s="30"/>
      <c r="E38" s="30"/>
      <c r="F38" s="30"/>
      <c r="G38" s="30"/>
      <c r="H38" s="64"/>
      <c r="I38" s="64"/>
      <c r="J38" s="126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19.5" customHeight="1">
      <c r="A39" s="87" t="s">
        <v>275</v>
      </c>
      <c r="B39" s="76" t="str">
        <f>VLOOKUP(A39,TLV!H:P,9,FALSE)</f>
        <v>&lt; 0,005</v>
      </c>
      <c r="C39" s="86" t="str">
        <f>VLOOKUP(A39,TLV!B:D,3,FALSE)</f>
        <v>mg/m3</v>
      </c>
      <c r="D39" s="86">
        <f>VLOOKUP(A39,TLV!B:G,4,FALSE)</f>
        <v>1</v>
      </c>
      <c r="E39" s="86" t="str">
        <f>VLOOKUP(A39,TLV!B:G,5,FALSE)</f>
        <v>-</v>
      </c>
      <c r="F39" s="86" t="str">
        <f>VLOOKUP(A39,TLV!B:G,6,FALSE)</f>
        <v>-</v>
      </c>
      <c r="G39" s="87" t="str">
        <f>VLOOKUP(A39,TLV!$H:$I,2,FALSE)</f>
        <v>Irritação; GI; febre dos fumos metálicos</v>
      </c>
      <c r="H39" s="64"/>
      <c r="I39" s="64"/>
      <c r="J39" s="126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19.5" customHeight="1">
      <c r="A40" s="88" t="str">
        <f>VLOOKUP(A39,TLV!H:L,4,FALSE)</f>
        <v>Método NIOSH 7303</v>
      </c>
      <c r="H40" s="64"/>
      <c r="I40" s="126"/>
      <c r="J40" s="126"/>
      <c r="K40" s="127"/>
      <c r="L40" s="128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19.5" customHeight="1">
      <c r="A41" s="90" t="str">
        <f>VLOOKUP(A39,TLV!B:C,2,FALSE)</f>
        <v>Cód. e-Social: N. C.</v>
      </c>
      <c r="B41" s="30"/>
      <c r="C41" s="30"/>
      <c r="D41" s="30"/>
      <c r="E41" s="30"/>
      <c r="F41" s="30"/>
      <c r="G41" s="30"/>
      <c r="H41" s="64"/>
      <c r="I41" s="64"/>
      <c r="J41" s="126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19.5" customHeight="1">
      <c r="A42" s="9" t="s">
        <v>3</v>
      </c>
      <c r="B42" s="11"/>
      <c r="C42" s="11"/>
      <c r="D42" s="13"/>
      <c r="E42" s="189" t="str">
        <f t="array" ref="E42">ANCHORARRAY(E1)</f>
        <v>#NAME?</v>
      </c>
      <c r="F42" s="190"/>
      <c r="G42" s="19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</row>
    <row r="43" ht="19.5" customHeight="1">
      <c r="A43" s="21" t="s">
        <v>413</v>
      </c>
      <c r="B43" s="11"/>
      <c r="C43" s="11"/>
      <c r="D43" s="11"/>
      <c r="E43" s="11"/>
      <c r="F43" s="11"/>
      <c r="G43" s="13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</row>
    <row r="44" ht="19.5" customHeight="1">
      <c r="A44" s="64"/>
      <c r="B44" s="64"/>
      <c r="C44" s="64"/>
      <c r="D44" s="64"/>
      <c r="E44" s="64"/>
      <c r="F44" s="64"/>
      <c r="G44" s="64"/>
      <c r="H44" s="64"/>
      <c r="I44" s="116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ht="19.5" customHeight="1">
      <c r="A45" s="66" t="s">
        <v>74</v>
      </c>
      <c r="B45" s="11"/>
      <c r="C45" s="11"/>
      <c r="D45" s="11"/>
      <c r="E45" s="11"/>
      <c r="F45" s="11"/>
      <c r="G45" s="11"/>
      <c r="H45" s="64"/>
      <c r="I45" s="117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ht="19.5" customHeight="1">
      <c r="A46" s="119" t="s">
        <v>37</v>
      </c>
      <c r="B46" s="120" t="s">
        <v>76</v>
      </c>
      <c r="C46" s="121" t="s">
        <v>39</v>
      </c>
      <c r="D46" s="122" t="s">
        <v>40</v>
      </c>
      <c r="E46" s="53"/>
      <c r="F46" s="121" t="s">
        <v>41</v>
      </c>
      <c r="G46" s="119" t="s">
        <v>42</v>
      </c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ht="19.5" customHeight="1">
      <c r="A47" s="85"/>
      <c r="B47" s="123" t="s">
        <v>78</v>
      </c>
      <c r="C47" s="85"/>
      <c r="D47" s="124" t="s">
        <v>43</v>
      </c>
      <c r="E47" s="124" t="s">
        <v>44</v>
      </c>
      <c r="F47" s="85"/>
      <c r="G47" s="85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19.5" customHeight="1">
      <c r="A48" s="87" t="s">
        <v>462</v>
      </c>
      <c r="B48" s="76" t="str">
        <f>VLOOKUP(A48,TLV!H:P,9,FALSE)</f>
        <v>&lt; 0,02</v>
      </c>
      <c r="C48" s="86" t="str">
        <f>VLOOKUP(A48,TLV!B:D,3,FALSE)</f>
        <v>mg/m3</v>
      </c>
      <c r="D48" s="86">
        <f>VLOOKUP(A48,TLV!B:G,4,FALSE)</f>
        <v>0.5</v>
      </c>
      <c r="E48" s="86" t="str">
        <f>VLOOKUP(A48,TLV!B:G,5,FALSE)</f>
        <v>-</v>
      </c>
      <c r="F48" s="86" t="str">
        <f>VLOOKUP(A48,TLV!B:G,6,FALSE)</f>
        <v>-</v>
      </c>
      <c r="G48" s="87" t="str">
        <f>VLOOKUP(A48,TLV!$H:$I,2,FALSE)</f>
        <v>Irritações no TRS</v>
      </c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</row>
    <row r="49" ht="19.5" customHeight="1">
      <c r="A49" s="88" t="str">
        <f>VLOOKUP(A48,TLV!H:L,4,FALSE)</f>
        <v>Método NIOSH 7303</v>
      </c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</row>
    <row r="50" ht="19.5" customHeight="1">
      <c r="A50" s="90" t="str">
        <f>VLOOKUP(A48,TLV!B:C,2,FALSE)</f>
        <v>Cód. e-Social: 01.10.001</v>
      </c>
      <c r="B50" s="30"/>
      <c r="C50" s="30"/>
      <c r="D50" s="30"/>
      <c r="E50" s="30"/>
      <c r="F50" s="30"/>
      <c r="G50" s="30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</row>
    <row r="51" ht="19.5" customHeight="1">
      <c r="A51" s="87" t="s">
        <v>478</v>
      </c>
      <c r="B51" s="76" t="str">
        <f>VLOOKUP(A51,TLV!H:P,9,FALSE)</f>
        <v>&lt; 0,017</v>
      </c>
      <c r="C51" s="86" t="str">
        <f>VLOOKUP(A51,TLV!B:D,3,FALSE)</f>
        <v>mg/m3</v>
      </c>
      <c r="D51" s="86">
        <f>VLOOKUP(A51,TLV!B:G,4,FALSE)</f>
        <v>2.5</v>
      </c>
      <c r="E51" s="86" t="str">
        <f>VLOOKUP(A51,TLV!B:G,5,FALSE)</f>
        <v>-</v>
      </c>
      <c r="F51" s="86" t="str">
        <f>VLOOKUP(A51,TLV!B:G,6,FALSE)</f>
        <v>-</v>
      </c>
      <c r="G51" s="87" t="str">
        <f>VLOOKUP(A51,TLV!$H:$I,2,FALSE)</f>
        <v>Irritação no TRI, Pneumoconiose</v>
      </c>
      <c r="H51" s="64"/>
      <c r="I51" s="64"/>
      <c r="J51" s="126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ht="19.5" customHeight="1">
      <c r="A52" s="88" t="str">
        <f>VLOOKUP(A51,TLV!H:L,4,FALSE)</f>
        <v>Método NIOSH 7303</v>
      </c>
      <c r="H52" s="64"/>
      <c r="I52" s="126"/>
      <c r="J52" s="126"/>
      <c r="K52" s="127"/>
      <c r="L52" s="128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ht="19.5" customHeight="1">
      <c r="A53" s="90" t="str">
        <f>VLOOKUP(A51,TLV!B:C,2,FALSE)</f>
        <v>Cód. e-Social: N. C.</v>
      </c>
      <c r="B53" s="30"/>
      <c r="C53" s="30"/>
      <c r="D53" s="30"/>
      <c r="E53" s="30"/>
      <c r="F53" s="30"/>
      <c r="G53" s="30"/>
      <c r="H53" s="64"/>
      <c r="I53" s="64"/>
      <c r="J53" s="126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ht="19.5" customHeight="1">
      <c r="A54" s="87" t="s">
        <v>558</v>
      </c>
      <c r="B54" s="76" t="str">
        <f>VLOOKUP(A54,TLV!H:P,9,FALSE)</f>
        <v>&lt; 0,001</v>
      </c>
      <c r="C54" s="86" t="str">
        <f>VLOOKUP(A54,TLV!B:D,3,FALSE)</f>
        <v>mg/m3</v>
      </c>
      <c r="D54" s="86">
        <f>VLOOKUP(A54,TLV!B:G,4,FALSE)</f>
        <v>2</v>
      </c>
      <c r="E54" s="86" t="str">
        <f>VLOOKUP(A54,TLV!B:G,5,FALSE)</f>
        <v>-</v>
      </c>
      <c r="F54" s="86" t="str">
        <f>VLOOKUP(A54,TLV!B:G,6,FALSE)</f>
        <v>-</v>
      </c>
      <c r="G54" s="87" t="str">
        <f>VLOOKUP(A54,TLV!$H:$I,2,FALSE)</f>
        <v>Pneumoconiose</v>
      </c>
      <c r="H54" s="64"/>
      <c r="I54" s="64"/>
      <c r="J54" s="126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ht="19.5" customHeight="1">
      <c r="A55" s="88" t="str">
        <f>VLOOKUP(A54,TLV!H:L,4,FALSE)</f>
        <v>Método NIOSH 7303</v>
      </c>
      <c r="H55" s="64"/>
      <c r="I55" s="126"/>
      <c r="J55" s="126"/>
      <c r="K55" s="127"/>
      <c r="L55" s="128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ht="19.5" customHeight="1">
      <c r="A56" s="90" t="str">
        <f>VLOOKUP(A54,TLV!B:C,2,FALSE)</f>
        <v>Cód. e-Social: N. C.</v>
      </c>
      <c r="B56" s="30"/>
      <c r="C56" s="30"/>
      <c r="D56" s="30"/>
      <c r="E56" s="30"/>
      <c r="F56" s="30"/>
      <c r="G56" s="30"/>
      <c r="H56" s="64"/>
      <c r="I56" s="64"/>
      <c r="J56" s="126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ht="19.5" customHeight="1">
      <c r="A57" s="87" t="s">
        <v>600</v>
      </c>
      <c r="B57" s="76" t="str">
        <f>VLOOKUP(A57,TLV!H:P,9,FALSE)</f>
        <v>&lt; 0,005</v>
      </c>
      <c r="C57" s="86" t="str">
        <f>VLOOKUP(A57,TLV!B:D,3,FALSE)</f>
        <v>mg/m3</v>
      </c>
      <c r="D57" s="86">
        <f>VLOOKUP(A57,TLV!B:G,4,FALSE)</f>
        <v>5</v>
      </c>
      <c r="E57" s="86" t="str">
        <f>VLOOKUP(A57,TLV!B:G,5,FALSE)</f>
        <v>-</v>
      </c>
      <c r="F57" s="86" t="str">
        <f>VLOOKUP(A57,TLV!B:G,6,FALSE)</f>
        <v>-</v>
      </c>
      <c r="G57" s="87" t="str">
        <f>VLOOKUP(A57,TLV!$H:$I,2,FALSE)</f>
        <v>Pneumoconiose</v>
      </c>
      <c r="H57" s="64"/>
      <c r="I57" s="64"/>
      <c r="J57" s="126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ht="19.5" customHeight="1">
      <c r="A58" s="88" t="str">
        <f>VLOOKUP(A57,TLV!H:L,4,FALSE)</f>
        <v>Método NIOSH 7303</v>
      </c>
      <c r="H58" s="64"/>
      <c r="I58" s="126"/>
      <c r="J58" s="126"/>
      <c r="K58" s="127"/>
      <c r="L58" s="128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ht="19.5" customHeight="1">
      <c r="A59" s="90" t="str">
        <f>VLOOKUP(A57,TLV!B:C,2,FALSE)</f>
        <v>Cód. e-Social: N. C.</v>
      </c>
      <c r="B59" s="30"/>
      <c r="C59" s="30"/>
      <c r="D59" s="30"/>
      <c r="E59" s="30"/>
      <c r="F59" s="30"/>
      <c r="G59" s="30"/>
      <c r="H59" s="64"/>
      <c r="I59" s="64"/>
      <c r="J59" s="126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ht="19.5" customHeight="1">
      <c r="A60" s="87" t="s">
        <v>601</v>
      </c>
      <c r="B60" s="76" t="str">
        <f>VLOOKUP(A60,TLV!H:P,9,FALSE)</f>
        <v>&lt; 0,007</v>
      </c>
      <c r="C60" s="86" t="str">
        <f>VLOOKUP(A60,TLV!B:D,3,FALSE)</f>
        <v>mg/m3</v>
      </c>
      <c r="D60" s="86" t="str">
        <f>VLOOKUP(A60,TLV!B:G,4,FALSE)</f>
        <v>-</v>
      </c>
      <c r="E60" s="86">
        <f>VLOOKUP(A60,TLV!B:G,5,FALSE)</f>
        <v>2</v>
      </c>
      <c r="F60" s="86" t="str">
        <f>VLOOKUP(A60,TLV!B:G,6,FALSE)</f>
        <v>-</v>
      </c>
      <c r="G60" s="87" t="str">
        <f>VLOOKUP(A60,TLV!$H:$I,2,FALSE)</f>
        <v>Irritação olhos, pele e TRS</v>
      </c>
      <c r="H60" s="64"/>
      <c r="I60" s="64"/>
      <c r="J60" s="126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ht="19.5" customHeight="1">
      <c r="A61" s="88" t="str">
        <f>VLOOKUP(A60,TLV!H:L,4,FALSE)</f>
        <v>Método NIOSH 7303</v>
      </c>
      <c r="H61" s="64"/>
      <c r="I61" s="126"/>
      <c r="J61" s="126"/>
      <c r="K61" s="127"/>
      <c r="L61" s="128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ht="19.5" customHeight="1">
      <c r="A62" s="90" t="str">
        <f>VLOOKUP(A60,TLV!B:C,2,FALSE)</f>
        <v>Cód. e-Social: N. C.</v>
      </c>
      <c r="B62" s="30"/>
      <c r="C62" s="30"/>
      <c r="D62" s="30"/>
      <c r="E62" s="30"/>
      <c r="F62" s="30"/>
      <c r="G62" s="30"/>
      <c r="H62" s="64"/>
      <c r="I62" s="64"/>
      <c r="J62" s="126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ht="19.5" customHeight="1">
      <c r="A63" s="87" t="s">
        <v>668</v>
      </c>
      <c r="B63" s="76" t="str">
        <f>VLOOKUP(A63,TLV!H:P,9,FALSE)</f>
        <v>&lt; 0,008</v>
      </c>
      <c r="C63" s="86" t="str">
        <f>VLOOKUP(A63,TLV!B:D,3,FALSE)</f>
        <v>mg/m3</v>
      </c>
      <c r="D63" s="86" t="str">
        <f>VLOOKUP(A63,TLV!B:G,4,FALSE)</f>
        <v>-</v>
      </c>
      <c r="E63" s="86">
        <f>VLOOKUP(A63,TLV!B:G,5,FALSE)</f>
        <v>2</v>
      </c>
      <c r="F63" s="86" t="str">
        <f>VLOOKUP(A63,TLV!B:G,6,FALSE)</f>
        <v>-</v>
      </c>
      <c r="G63" s="87" t="str">
        <f>VLOOKUP(A63,TLV!$H:$I,2,FALSE)</f>
        <v>Irritação olhos, pele e TRS</v>
      </c>
      <c r="H63" s="64"/>
      <c r="I63" s="64"/>
      <c r="J63" s="126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ht="19.5" customHeight="1">
      <c r="A64" s="88" t="str">
        <f>VLOOKUP(A63,TLV!H:L,4,FALSE)</f>
        <v>Método NIOSH 7303</v>
      </c>
      <c r="H64" s="64"/>
      <c r="I64" s="126"/>
      <c r="J64" s="126"/>
      <c r="K64" s="127"/>
      <c r="L64" s="128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ht="19.5" customHeight="1">
      <c r="A65" s="90" t="str">
        <f>VLOOKUP(A63,TLV!B:C,2,FALSE)</f>
        <v>Cód. e-Social: N. C.</v>
      </c>
      <c r="B65" s="30"/>
      <c r="C65" s="30"/>
      <c r="D65" s="30"/>
      <c r="E65" s="30"/>
      <c r="F65" s="30"/>
      <c r="G65" s="30"/>
      <c r="H65" s="64"/>
      <c r="I65" s="64"/>
      <c r="J65" s="126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ht="19.5" customHeight="1">
      <c r="A66" s="87" t="s">
        <v>765</v>
      </c>
      <c r="B66" s="76" t="str">
        <f>VLOOKUP(A66,TLV!H:P,9,FALSE)</f>
        <v>&lt; 0,005</v>
      </c>
      <c r="C66" s="86" t="str">
        <f>VLOOKUP(A66,TLV!B:D,3,FALSE)</f>
        <v>mg/m3</v>
      </c>
      <c r="D66" s="86">
        <f>VLOOKUP(A66,TLV!B:G,4,FALSE)</f>
        <v>0.1</v>
      </c>
      <c r="E66" s="86" t="str">
        <f>VLOOKUP(A66,TLV!B:G,5,FALSE)</f>
        <v>-</v>
      </c>
      <c r="F66" s="192">
        <f>VLOOKUP(A66,TLV!B:G,6,FALSE)</f>
        <v>1</v>
      </c>
      <c r="G66" s="87" t="str">
        <f>VLOOKUP(A66,TLV!$H:$I,2,FALSE)</f>
        <v>Compr SNC</v>
      </c>
      <c r="H66" s="64"/>
      <c r="I66" s="64"/>
      <c r="J66" s="126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ht="19.5" customHeight="1">
      <c r="A67" s="88" t="str">
        <f>VLOOKUP(A66,TLV!H:L,4,FALSE)</f>
        <v>Método NIOSH 7303</v>
      </c>
      <c r="H67" s="64"/>
      <c r="I67" s="64"/>
      <c r="J67" s="126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ht="19.5" customHeight="1">
      <c r="A68" s="90" t="str">
        <f>VLOOKUP(A66,TLV!B:C,2,FALSE)</f>
        <v>Cód. e-Social: 01.14.001</v>
      </c>
      <c r="B68" s="30"/>
      <c r="C68" s="30"/>
      <c r="D68" s="30"/>
      <c r="E68" s="30"/>
      <c r="F68" s="30"/>
      <c r="G68" s="30"/>
      <c r="H68" s="64"/>
      <c r="I68" s="64"/>
      <c r="J68" s="126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ht="19.5" customHeight="1">
      <c r="A69" s="87" t="s">
        <v>769</v>
      </c>
      <c r="B69" s="76" t="str">
        <f>VLOOKUP(A69,TLV!H:P,9,FALSE)</f>
        <v>&lt; 0,012</v>
      </c>
      <c r="C69" s="86" t="str">
        <f>VLOOKUP(A69,TLV!B:D,3,FALSE)</f>
        <v>mg/m3</v>
      </c>
      <c r="D69" s="86">
        <f>VLOOKUP(A69,TLV!B:G,4,FALSE)</f>
        <v>2</v>
      </c>
      <c r="E69" s="86" t="str">
        <f>VLOOKUP(A69,TLV!B:G,5,FALSE)</f>
        <v>-</v>
      </c>
      <c r="F69" s="86" t="str">
        <f>VLOOKUP(A69,TLV!B:G,6,FALSE)</f>
        <v>-</v>
      </c>
      <c r="G69" s="87" t="str">
        <f>VLOOKUP(A69,TLV!$H:$I,2,FALSE)</f>
        <v>Irritações no TRS</v>
      </c>
      <c r="H69" s="64"/>
      <c r="I69" s="64"/>
      <c r="J69" s="126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ht="19.5" customHeight="1">
      <c r="A70" s="88" t="str">
        <f>VLOOKUP(A69,TLV!H:L,4,FALSE)</f>
        <v>Método NIOSH 7303</v>
      </c>
      <c r="H70" s="64"/>
      <c r="I70" s="126"/>
      <c r="J70" s="126"/>
      <c r="K70" s="127"/>
      <c r="L70" s="128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ht="19.5" customHeight="1">
      <c r="A71" s="90" t="str">
        <f>VLOOKUP(A69,TLV!B:C,2,FALSE)</f>
        <v>Cód. e-Social: N. C.</v>
      </c>
      <c r="B71" s="30"/>
      <c r="C71" s="30"/>
      <c r="D71" s="30"/>
      <c r="E71" s="30"/>
      <c r="F71" s="30"/>
      <c r="G71" s="30"/>
      <c r="H71" s="64"/>
      <c r="I71" s="64"/>
      <c r="J71" s="126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ht="19.5" customHeight="1">
      <c r="A72" s="87" t="s">
        <v>809</v>
      </c>
      <c r="B72" s="76" t="str">
        <f>VLOOKUP(A72,TLV!H:P,9,FALSE)</f>
        <v>&lt; 0,012</v>
      </c>
      <c r="C72" s="86" t="str">
        <f>VLOOKUP(A72,TLV!B:D,3,FALSE)</f>
        <v>mg/m3</v>
      </c>
      <c r="D72" s="86">
        <f>VLOOKUP(A72,TLV!B:G,4,FALSE)</f>
        <v>2</v>
      </c>
      <c r="E72" s="86">
        <f>VLOOKUP(A72,TLV!B:G,5,FALSE)</f>
        <v>10</v>
      </c>
      <c r="F72" s="86" t="str">
        <f>VLOOKUP(A72,TLV!B:G,6,FALSE)</f>
        <v>-</v>
      </c>
      <c r="G72" s="87" t="str">
        <f>VLOOKUP(A72,TLV!$H:$I,2,FALSE)</f>
        <v>Febre de fumos metálicos</v>
      </c>
      <c r="H72" s="64"/>
      <c r="I72" s="64"/>
      <c r="J72" s="126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ht="19.5" customHeight="1">
      <c r="A73" s="88" t="str">
        <f>VLOOKUP(A72,TLV!H:L,4,FALSE)</f>
        <v>Método NIOSH 7303</v>
      </c>
      <c r="H73" s="64"/>
      <c r="I73" s="126"/>
      <c r="J73" s="126"/>
      <c r="K73" s="127"/>
      <c r="L73" s="128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ht="19.5" customHeight="1">
      <c r="A74" s="90" t="str">
        <f>VLOOKUP(A72,TLV!B:C,2,FALSE)</f>
        <v>Cód. e-Social: N. C.</v>
      </c>
      <c r="B74" s="30"/>
      <c r="C74" s="30"/>
      <c r="D74" s="30"/>
      <c r="E74" s="30"/>
      <c r="F74" s="30"/>
      <c r="G74" s="30"/>
      <c r="H74" s="64"/>
      <c r="I74" s="64"/>
      <c r="J74" s="126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ht="19.5" customHeight="1">
      <c r="A75" s="87" t="s">
        <v>877</v>
      </c>
      <c r="B75" s="76">
        <f>VLOOKUP(A75,TLV!H:P,9,FALSE)</f>
        <v>5</v>
      </c>
      <c r="C75" s="86" t="str">
        <f>VLOOKUP(A75,TLV!B:D,3,FALSE)</f>
        <v>mg/m3</v>
      </c>
      <c r="D75" s="86">
        <f>VLOOKUP(A75,TLV!B:G,4,FALSE)</f>
        <v>3</v>
      </c>
      <c r="E75" s="86" t="str">
        <f>VLOOKUP(A75,TLV!B:G,5,FALSE)</f>
        <v>-</v>
      </c>
      <c r="F75" s="86" t="str">
        <f>VLOOKUP(A75,TLV!B:G,6,FALSE)</f>
        <v>-</v>
      </c>
      <c r="G75" s="87" t="str">
        <f>VLOOKUP(A75,TLV!$H:$I,2,FALSE)</f>
        <v>Dano pulmonar</v>
      </c>
      <c r="H75" s="64"/>
      <c r="I75" s="64"/>
      <c r="J75" s="126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19.5" customHeight="1">
      <c r="A76" s="88" t="str">
        <f>VLOOKUP(A75,TLV!H:L,4,FALSE)</f>
        <v>Método NIOSH 7303</v>
      </c>
      <c r="H76" s="64"/>
      <c r="I76" s="126"/>
      <c r="J76" s="126"/>
      <c r="K76" s="127"/>
      <c r="L76" s="128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19.5" customHeight="1">
      <c r="A77" s="90" t="str">
        <f>VLOOKUP(A75,TLV!B:C,2,FALSE)</f>
        <v>Cód. e-Social: N. C.</v>
      </c>
      <c r="B77" s="30"/>
      <c r="C77" s="30"/>
      <c r="D77" s="30"/>
      <c r="E77" s="30"/>
      <c r="F77" s="30"/>
      <c r="G77" s="30"/>
      <c r="H77" s="64"/>
      <c r="I77" s="64"/>
      <c r="J77" s="126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19.5" customHeight="1">
      <c r="A78" s="87" t="s">
        <v>1048</v>
      </c>
      <c r="B78" s="76" t="str">
        <f>VLOOKUP(A78,TLV!H:P,9,FALSE)</f>
        <v>&lt; 0,001</v>
      </c>
      <c r="C78" s="86" t="str">
        <f>VLOOKUP(A78,TLV!B:D,3,FALSE)</f>
        <v>mg/m3</v>
      </c>
      <c r="D78" s="86">
        <f>VLOOKUP(A78,TLV!B:G,4,FALSE)</f>
        <v>0.1</v>
      </c>
      <c r="E78" s="86" t="str">
        <f>VLOOKUP(A78,TLV!B:G,5,FALSE)</f>
        <v>-</v>
      </c>
      <c r="F78" s="86" t="str">
        <f>VLOOKUP(A78,TLV!B:G,6,FALSE)</f>
        <v>-</v>
      </c>
      <c r="G78" s="87" t="str">
        <f>VLOOKUP(A78,TLV!$H:$I,2,FALSE)</f>
        <v>Argíria</v>
      </c>
      <c r="H78" s="64"/>
      <c r="I78" s="64"/>
      <c r="J78" s="126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9.5" customHeight="1">
      <c r="A79" s="88" t="str">
        <f>VLOOKUP(A78,TLV!H:L,4,FALSE)</f>
        <v>Método NIOSH 7303</v>
      </c>
      <c r="H79" s="64"/>
      <c r="I79" s="126"/>
      <c r="J79" s="126"/>
      <c r="K79" s="127"/>
      <c r="L79" s="128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9.5" customHeight="1">
      <c r="A80" s="90" t="str">
        <f>VLOOKUP(A78,TLV!B:C,2,FALSE)</f>
        <v>Cód. e-Social: N. C.</v>
      </c>
      <c r="B80" s="30"/>
      <c r="C80" s="30"/>
      <c r="D80" s="30"/>
      <c r="E80" s="30"/>
      <c r="F80" s="30"/>
      <c r="G80" s="30"/>
      <c r="H80" s="64"/>
      <c r="I80" s="64"/>
      <c r="J80" s="126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19.5" customHeight="1">
      <c r="A81" s="88"/>
      <c r="B81" s="135"/>
      <c r="C81" s="88"/>
      <c r="D81" s="88"/>
      <c r="E81" s="88"/>
      <c r="F81" s="88"/>
      <c r="G81" s="136"/>
      <c r="H81" s="64"/>
      <c r="I81" s="64"/>
      <c r="J81" s="126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9.5" customHeight="1">
      <c r="A82" s="88"/>
      <c r="B82" s="135"/>
      <c r="C82" s="88"/>
      <c r="D82" s="88"/>
      <c r="E82" s="88"/>
      <c r="F82" s="88"/>
      <c r="G82" s="136"/>
      <c r="H82" s="64"/>
      <c r="I82" s="64"/>
      <c r="J82" s="126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9.5" customHeight="1">
      <c r="A83" s="88"/>
      <c r="B83" s="135"/>
      <c r="C83" s="88"/>
      <c r="D83" s="88"/>
      <c r="E83" s="88"/>
      <c r="F83" s="88"/>
      <c r="G83" s="136"/>
      <c r="H83" s="64"/>
      <c r="I83" s="64"/>
      <c r="J83" s="126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9.5" customHeight="1">
      <c r="A84" s="9" t="s">
        <v>3</v>
      </c>
      <c r="B84" s="11"/>
      <c r="C84" s="11"/>
      <c r="D84" s="13"/>
      <c r="E84" s="189" t="str">
        <f t="array" ref="E84">ANCHORARRAY(E1)</f>
        <v>#NAME?</v>
      </c>
      <c r="F84" s="190"/>
      <c r="G84" s="19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</row>
    <row r="85" ht="19.5" customHeight="1">
      <c r="A85" s="21" t="s">
        <v>1245</v>
      </c>
      <c r="B85" s="11"/>
      <c r="C85" s="11"/>
      <c r="D85" s="11"/>
      <c r="E85" s="11"/>
      <c r="F85" s="11"/>
      <c r="G85" s="13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</row>
    <row r="86" ht="19.5" customHeight="1">
      <c r="A86" s="88"/>
      <c r="B86" s="135"/>
      <c r="C86" s="88"/>
      <c r="D86" s="88"/>
      <c r="E86" s="88"/>
      <c r="F86" s="88"/>
      <c r="G86" s="136"/>
      <c r="H86" s="64"/>
      <c r="I86" s="64"/>
      <c r="J86" s="126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19.5" customHeight="1">
      <c r="A87" s="142" t="s">
        <v>83</v>
      </c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ht="19.5" customHeight="1">
      <c r="A88" s="133" t="s">
        <v>84</v>
      </c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</row>
    <row r="89" ht="19.5" customHeight="1">
      <c r="A89" s="133" t="s">
        <v>85</v>
      </c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</row>
    <row r="90" ht="19.5" customHeight="1">
      <c r="A90" s="133" t="s">
        <v>86</v>
      </c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</row>
    <row r="91" ht="19.5" customHeight="1">
      <c r="A91" s="88"/>
      <c r="B91" s="135"/>
      <c r="C91" s="88"/>
      <c r="D91" s="88"/>
      <c r="E91" s="88"/>
      <c r="F91" s="88"/>
      <c r="G91" s="136"/>
      <c r="H91" s="64"/>
      <c r="I91" s="64"/>
      <c r="J91" s="126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ht="19.5" customHeight="1">
      <c r="A92" s="140" t="s">
        <v>88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ht="19.5" customHeight="1">
      <c r="A93" s="133" t="s">
        <v>89</v>
      </c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ht="19.5" customHeight="1">
      <c r="A94" s="133" t="s">
        <v>1417</v>
      </c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ht="19.5" customHeight="1">
      <c r="A95" s="195" t="s">
        <v>1430</v>
      </c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ht="19.5" customHeight="1">
      <c r="A96" s="133" t="s">
        <v>91</v>
      </c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ht="19.5" customHeight="1">
      <c r="A97" s="133"/>
      <c r="B97" s="196"/>
      <c r="C97" s="196"/>
      <c r="D97" s="196"/>
      <c r="E97" s="196"/>
      <c r="F97" s="196"/>
      <c r="G97" s="196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ht="19.5" customHeight="1">
      <c r="A98" s="140" t="s">
        <v>93</v>
      </c>
      <c r="C98" s="130"/>
      <c r="D98" s="130"/>
      <c r="E98" s="130"/>
      <c r="F98" s="130"/>
      <c r="G98" s="13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9.5" customHeight="1">
      <c r="A99" s="65" t="str">
        <f>VLOOKUP($A$18,TLV!H:L,3,FALSE)</f>
        <v>Filtro de éster de celulose</v>
      </c>
      <c r="B99" s="140"/>
      <c r="C99" s="130"/>
      <c r="D99" s="130"/>
      <c r="E99" s="130"/>
      <c r="F99" s="130"/>
      <c r="G99" s="13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9.5" customHeight="1">
      <c r="A100" s="65"/>
      <c r="B100" s="140"/>
      <c r="C100" s="130"/>
      <c r="D100" s="130"/>
      <c r="E100" s="130"/>
      <c r="F100" s="130"/>
      <c r="G100" s="13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9.5" customHeight="1">
      <c r="A101" s="140" t="s">
        <v>94</v>
      </c>
      <c r="C101" s="139">
        <v>1.0</v>
      </c>
      <c r="D101" s="64"/>
      <c r="E101" s="64"/>
      <c r="F101" s="64"/>
      <c r="G101" s="64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</row>
    <row r="102" ht="19.5" customHeight="1">
      <c r="A102" s="65" t="str">
        <f>VLOOKUP($A$18,TLV!H:L,5,FALSE)</f>
        <v>Espectrofotometria</v>
      </c>
      <c r="B102" s="140"/>
      <c r="C102" s="139"/>
      <c r="D102" s="64"/>
      <c r="E102" s="64"/>
      <c r="F102" s="64"/>
      <c r="G102" s="64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</row>
    <row r="103" ht="19.5" customHeight="1">
      <c r="A103" s="65"/>
      <c r="B103" s="140"/>
      <c r="C103" s="139"/>
      <c r="D103" s="64"/>
      <c r="E103" s="64"/>
      <c r="F103" s="64"/>
      <c r="G103" s="64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</row>
    <row r="104" ht="19.5" customHeight="1">
      <c r="A104" s="142" t="s">
        <v>96</v>
      </c>
      <c r="B104" s="64"/>
      <c r="C104" s="139">
        <v>1.0</v>
      </c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197"/>
      <c r="P104" s="197"/>
      <c r="Q104" s="197"/>
      <c r="R104" s="64"/>
      <c r="S104" s="64"/>
      <c r="T104" s="64"/>
      <c r="U104" s="64"/>
      <c r="V104" s="64"/>
      <c r="W104" s="64"/>
      <c r="X104" s="64"/>
      <c r="Y104" s="64"/>
      <c r="Z104" s="64"/>
    </row>
    <row r="105" ht="19.5" customHeight="1">
      <c r="A105" s="65" t="s">
        <v>97</v>
      </c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ht="19.5" customHeight="1">
      <c r="A106" s="65" t="s">
        <v>98</v>
      </c>
      <c r="F106" s="65"/>
      <c r="G106" s="65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ht="19.5" customHeight="1">
      <c r="A107" s="65" t="s">
        <v>99</v>
      </c>
      <c r="D107" s="65"/>
      <c r="E107" s="65"/>
      <c r="F107" s="65"/>
      <c r="G107" s="65"/>
      <c r="H107" s="64"/>
      <c r="I107" s="64"/>
      <c r="J107" s="64"/>
      <c r="K107" s="64"/>
      <c r="L107" s="198"/>
      <c r="U107" s="64"/>
      <c r="V107" s="64"/>
      <c r="W107" s="64"/>
      <c r="X107" s="64"/>
      <c r="Y107" s="64"/>
      <c r="Z107" s="64"/>
    </row>
    <row r="108" ht="19.5" customHeight="1">
      <c r="A108" s="65" t="s">
        <v>100</v>
      </c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ht="19.5" customHeight="1">
      <c r="A109" s="65" t="s">
        <v>101</v>
      </c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ht="19.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ht="19.5" customHeight="1">
      <c r="A111" s="142" t="s">
        <v>102</v>
      </c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ht="19.5" customHeight="1">
      <c r="A112" s="141" t="str">
        <f>VLOOKUP($I$113,K113:L114,2,FALSE)</f>
        <v>De acordo com os resultados encontrados é possível afirmar que as concentrações dos agentes monitorados, encontram-se dentro dos limites exigidos pelas referências acima, índices esses também aceitos pela Associação Brasileira de Higienistas Ocupacionais - ABHO e Ministério do Trabalho e Emprego.</v>
      </c>
      <c r="H112" s="64"/>
      <c r="I112" s="64" t="s">
        <v>1663</v>
      </c>
      <c r="J112" s="64"/>
      <c r="K112" s="132"/>
      <c r="L112" s="64"/>
      <c r="M112" s="64"/>
      <c r="N112" s="132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ht="19.5" customHeight="1">
      <c r="H113" s="64"/>
      <c r="I113" s="199">
        <v>2.0</v>
      </c>
      <c r="J113" s="200" t="s">
        <v>1681</v>
      </c>
      <c r="K113" s="201">
        <v>1.0</v>
      </c>
      <c r="L113" s="202" t="s">
        <v>1688</v>
      </c>
      <c r="M113" s="197"/>
      <c r="N113" s="197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ht="19.5" customHeight="1">
      <c r="H114" s="64"/>
      <c r="I114" s="64"/>
      <c r="J114" s="201" t="s">
        <v>1702</v>
      </c>
      <c r="K114" s="201">
        <v>2.0</v>
      </c>
      <c r="L114" s="202" t="s">
        <v>103</v>
      </c>
      <c r="M114" s="197"/>
      <c r="N114" s="197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ht="19.5" customHeight="1">
      <c r="H115" s="64"/>
      <c r="I115" s="64"/>
      <c r="J115" s="64"/>
      <c r="K115" s="20"/>
      <c r="L115" s="20"/>
      <c r="M115" s="20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ht="19.5" customHeight="1">
      <c r="A116" s="141"/>
      <c r="B116" s="141"/>
      <c r="C116" s="141"/>
      <c r="D116" s="141"/>
      <c r="E116" s="141"/>
      <c r="F116" s="141"/>
      <c r="G116" s="141"/>
      <c r="H116" s="64"/>
      <c r="I116" s="64"/>
      <c r="J116" s="64"/>
      <c r="K116" s="20"/>
      <c r="L116" s="20"/>
      <c r="M116" s="20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ht="19.5" customHeight="1">
      <c r="A117" s="141"/>
      <c r="B117" s="141"/>
      <c r="C117" s="141"/>
      <c r="D117" s="141"/>
      <c r="E117" s="141"/>
      <c r="F117" s="141"/>
      <c r="G117" s="141"/>
      <c r="H117" s="64"/>
      <c r="I117" s="64"/>
      <c r="J117" s="64"/>
      <c r="K117" s="20"/>
      <c r="L117" s="20"/>
      <c r="M117" s="20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ht="19.5" customHeight="1">
      <c r="A118" s="141"/>
      <c r="B118" s="141"/>
      <c r="C118" s="130" t="s">
        <v>104</v>
      </c>
      <c r="D118" s="146" t="str">
        <f>'Capa '!M12</f>
        <v>01 de janeiro de 2026.</v>
      </c>
      <c r="G118" s="141"/>
      <c r="H118" s="64"/>
      <c r="I118" s="64"/>
      <c r="J118" s="64"/>
      <c r="K118" s="20"/>
      <c r="L118" s="20"/>
      <c r="M118" s="20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ht="19.5" customHeight="1">
      <c r="A119" s="141"/>
      <c r="B119" s="141"/>
      <c r="C119" s="141"/>
      <c r="D119" s="141"/>
      <c r="E119" s="141"/>
      <c r="F119" s="141"/>
      <c r="G119" s="141"/>
      <c r="H119" s="64"/>
      <c r="I119" s="64"/>
      <c r="J119" s="64"/>
      <c r="K119" s="20"/>
      <c r="L119" s="20"/>
      <c r="M119" s="20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ht="19.5" customHeight="1">
      <c r="A120" s="141"/>
      <c r="B120" s="141"/>
      <c r="C120" s="141"/>
      <c r="D120" s="141"/>
      <c r="E120" s="141"/>
      <c r="F120" s="141"/>
      <c r="G120" s="141"/>
      <c r="H120" s="64"/>
      <c r="I120" s="64"/>
      <c r="J120" s="64"/>
      <c r="K120" s="20"/>
      <c r="L120" s="20"/>
      <c r="M120" s="20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ht="19.5" customHeight="1">
      <c r="A121" s="141"/>
      <c r="B121" s="141"/>
      <c r="C121" s="141"/>
      <c r="D121" s="141"/>
      <c r="E121" s="141"/>
      <c r="F121" s="141"/>
      <c r="G121" s="141"/>
      <c r="H121" s="64"/>
      <c r="I121" s="64"/>
      <c r="J121" s="64"/>
      <c r="K121" s="20"/>
      <c r="L121" s="20"/>
      <c r="M121" s="20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ht="19.5" customHeight="1">
      <c r="A122" s="141"/>
      <c r="B122" s="141"/>
      <c r="C122" s="141"/>
      <c r="D122" s="141"/>
      <c r="E122" s="141"/>
      <c r="F122" s="141"/>
      <c r="G122" s="141"/>
      <c r="H122" s="64"/>
      <c r="I122" s="64"/>
      <c r="J122" s="64"/>
      <c r="K122" s="20"/>
      <c r="L122" s="20"/>
      <c r="M122" s="20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ht="19.5" customHeight="1">
      <c r="A123" s="141"/>
      <c r="B123" s="141"/>
      <c r="C123" s="141"/>
      <c r="D123" s="141"/>
      <c r="E123" s="141"/>
      <c r="F123" s="141"/>
      <c r="G123" s="141"/>
      <c r="H123" s="64"/>
      <c r="I123" s="64"/>
      <c r="J123" s="64"/>
      <c r="K123" s="20"/>
      <c r="L123" s="20"/>
      <c r="M123" s="20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ht="19.5" customHeight="1">
      <c r="A124" s="141"/>
      <c r="B124" s="141"/>
      <c r="C124" s="141"/>
      <c r="D124" s="141"/>
      <c r="E124" s="141"/>
      <c r="F124" s="141"/>
      <c r="G124" s="141"/>
      <c r="H124" s="64"/>
      <c r="I124" s="64"/>
      <c r="J124" s="64"/>
      <c r="K124" s="20"/>
      <c r="L124" s="20"/>
      <c r="M124" s="20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ht="19.5" customHeight="1">
      <c r="A125" s="141"/>
      <c r="B125" s="141"/>
      <c r="C125" s="141"/>
      <c r="D125" s="141"/>
      <c r="E125" s="141"/>
      <c r="F125" s="141"/>
      <c r="G125" s="141"/>
      <c r="H125" s="64"/>
      <c r="I125" s="64"/>
      <c r="J125" s="64"/>
      <c r="K125" s="20"/>
      <c r="L125" s="20"/>
      <c r="M125" s="20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ht="19.5" customHeight="1">
      <c r="A126" s="141"/>
      <c r="B126" s="141"/>
      <c r="C126" s="141"/>
      <c r="D126" s="141"/>
      <c r="E126" s="141"/>
      <c r="F126" s="141"/>
      <c r="G126" s="141"/>
      <c r="H126" s="64"/>
      <c r="I126" s="64"/>
      <c r="J126" s="64"/>
      <c r="K126" s="20"/>
      <c r="L126" s="20"/>
      <c r="M126" s="20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ht="19.5" customHeight="1">
      <c r="A127" s="141"/>
      <c r="B127" s="141"/>
      <c r="C127" s="141"/>
      <c r="D127" s="141"/>
      <c r="E127" s="141"/>
      <c r="F127" s="141"/>
      <c r="G127" s="141"/>
      <c r="H127" s="64"/>
      <c r="I127" s="64"/>
      <c r="J127" s="64"/>
      <c r="K127" s="20"/>
      <c r="L127" s="20"/>
      <c r="M127" s="20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ht="19.5" customHeight="1">
      <c r="A128" s="141"/>
      <c r="B128" s="141"/>
      <c r="C128" s="64"/>
      <c r="D128" s="64"/>
      <c r="E128" s="64"/>
      <c r="F128" s="64"/>
      <c r="G128" s="141"/>
      <c r="H128" s="64"/>
      <c r="I128" s="64"/>
      <c r="J128" s="64"/>
      <c r="K128" s="20"/>
      <c r="L128" s="20"/>
      <c r="M128" s="20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ht="19.5" customHeight="1">
      <c r="A129" s="141"/>
      <c r="B129" s="141"/>
      <c r="C129" s="141"/>
      <c r="D129" s="141"/>
      <c r="E129" s="141"/>
      <c r="F129" s="141"/>
      <c r="G129" s="141"/>
      <c r="H129" s="64"/>
      <c r="I129" s="64"/>
      <c r="J129" s="64"/>
      <c r="K129" s="20"/>
      <c r="L129" s="20"/>
      <c r="M129" s="20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ht="19.5" customHeight="1">
      <c r="A130" s="144"/>
      <c r="B130" s="144"/>
      <c r="C130" s="20"/>
      <c r="D130" s="20"/>
      <c r="E130" s="20"/>
      <c r="F130" s="20"/>
      <c r="G130" s="144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9.5" customHeight="1">
      <c r="A131" s="64"/>
      <c r="B131" s="64"/>
      <c r="C131" s="88"/>
      <c r="D131" s="88"/>
      <c r="E131" s="88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ht="19.5" customHeight="1">
      <c r="A132" s="64"/>
      <c r="B132" s="64"/>
      <c r="C132" s="88"/>
      <c r="D132" s="88"/>
      <c r="E132" s="88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ht="19.5" customHeight="1">
      <c r="A133" s="64"/>
      <c r="B133" s="64"/>
      <c r="C133" s="147"/>
      <c r="D133" s="147"/>
      <c r="E133" s="147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ht="19.5" customHeight="1">
      <c r="A134" s="64"/>
      <c r="B134" s="64"/>
      <c r="C134" s="148"/>
      <c r="D134" s="148"/>
      <c r="E134" s="148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ht="19.5" customHeight="1">
      <c r="A135" s="105"/>
      <c r="D135" s="148"/>
      <c r="E135" s="148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ht="19.5" customHeight="1">
      <c r="A136" s="64"/>
      <c r="B136" s="64"/>
      <c r="C136" s="148"/>
      <c r="D136" s="148"/>
      <c r="E136" s="148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ht="19.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9.5" customHeight="1">
      <c r="A138" s="204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9.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9.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9.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9.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9.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9.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9.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9.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9.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9.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9.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9.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9.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9.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9.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9.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9.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9.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9.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9.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9.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9.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9.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9.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9.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9.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9.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9.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9.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9.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9.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9.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9.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9.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9.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9.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9.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9.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9.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9.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9.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9.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9.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9.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9.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9.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9.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9.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9.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9.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9.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9.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9.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9.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9.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9.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9.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9.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9.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9.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9.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9.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9.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9.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9.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9.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9.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9.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9.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9.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9.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9.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9.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9.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9.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9.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9.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9.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9.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9.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9.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9.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9.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9.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9.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9.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9.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9.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9.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9.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9.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9.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9.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9.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9.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9.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9.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9.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9.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9.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9.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9.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9.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9.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9.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9.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9.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9.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9.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9.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9.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9.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9.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9.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9.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9.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9.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9.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9.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9.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9.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9.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9.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9.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9.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9.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9.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9.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9.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9.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9.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9.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9.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9.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9.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9.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9.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9.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9.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9.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9.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9.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9.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9.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9.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9.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9.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9.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9.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9.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9.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9.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9.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9.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9.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9.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9.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9.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9.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9.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9.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9.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9.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9.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9.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9.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9.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9.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9.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9.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9.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9.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9.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9.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9.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9.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9.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9.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9.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9.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9.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9.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9.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9.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9.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9.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9.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9.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9.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9.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9.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9.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9.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9.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9.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9.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9.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9.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9.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9.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9.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9.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9.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9.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9.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9.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9.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9.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9.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9.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9.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9.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9.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9.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9.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9.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9.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9.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9.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9.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9.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9.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9.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9.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9.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9.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9.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9.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9.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9.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9.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9.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9.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9.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9.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9.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9.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9.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9.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9.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9.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9.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9.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9.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9.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9.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9.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9.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9.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9.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9.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9.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9.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9.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9.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9.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9.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9.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9.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9.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9.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9.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9.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9.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9.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9.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9.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9.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9.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9.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9.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9.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9.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9.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9.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9.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9.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9.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9.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9.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9.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9.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9.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9.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9.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9.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9.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9.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9.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9.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9.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9.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9.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9.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9.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9.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9.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9.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9.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9.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9.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9.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9.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9.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9.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9.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9.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9.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9.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9.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9.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9.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9.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9.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9.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9.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9.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9.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9.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9.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9.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9.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9.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9.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9.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9.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9.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9.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9.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9.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9.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9.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9.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9.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9.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9.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9.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9.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9.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9.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9.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9.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9.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9.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9.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9.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9.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9.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9.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9.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9.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9.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9.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9.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9.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9.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9.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9.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9.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9.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9.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9.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9.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9.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9.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9.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9.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9.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9.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9.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9.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9.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9.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9.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9.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9.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9.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9.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9.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9.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9.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9.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9.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9.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9.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9.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9.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9.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9.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9.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9.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9.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9.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9.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9.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9.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9.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9.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9.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9.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9.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9.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9.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9.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9.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9.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9.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9.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9.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9.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9.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9.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9.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9.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9.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9.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9.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9.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9.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9.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9.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9.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9.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9.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9.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9.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9.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9.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9.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9.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9.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9.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9.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9.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9.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9.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9.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9.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9.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9.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9.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9.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9.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9.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9.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9.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9.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9.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9.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9.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9.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9.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9.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9.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9.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9.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9.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9.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9.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9.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9.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9.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9.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9.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9.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9.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9.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9.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9.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9.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9.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9.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9.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9.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9.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9.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9.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9.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9.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9.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9.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9.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9.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9.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9.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9.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9.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9.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9.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9.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9.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9.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9.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9.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9.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9.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9.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9.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9.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9.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9.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9.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9.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9.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9.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9.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9.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9.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9.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9.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9.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9.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9.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9.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9.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9.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9.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9.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9.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9.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9.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9.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9.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9.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9.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9.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9.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9.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9.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9.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9.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9.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9.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9.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9.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9.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9.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9.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9.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9.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9.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9.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9.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9.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9.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9.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9.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9.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9.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9.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9.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9.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9.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9.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9.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9.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9.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9.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9.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9.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9.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9.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9.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9.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9.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9.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9.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9.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9.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9.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9.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9.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9.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9.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9.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9.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9.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9.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9.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9.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9.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9.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9.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9.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9.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9.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9.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9.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9.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9.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9.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9.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9.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9.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9.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9.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9.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9.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9.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9.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9.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9.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9.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9.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9.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9.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9.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9.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9.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9.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9.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9.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9.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9.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9.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9.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9.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9.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9.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9.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9.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9.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9.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9.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9.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9.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9.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9.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9.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9.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9.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9.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9.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9.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9.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9.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9.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9.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9.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9.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9.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9.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9.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9.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9.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9.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9.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9.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9.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9.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9.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9.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9.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9.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9.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9.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9.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9.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9.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9.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9.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9.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9.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9.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9.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9.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9.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9.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9.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9.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9.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9.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9.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9.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9.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9.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9.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9.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9.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9.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9.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9.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9.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9.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9.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9.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9.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9.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9.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9.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9.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9.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9.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9.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9.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9.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9.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9.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9.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9.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9.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9.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9.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9.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9.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9.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9.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9.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9.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9.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9.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9.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9.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9.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9.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9.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9.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9.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9.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9.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9.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9.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9.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9.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9.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9.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9.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9.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9.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9.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9.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9.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9.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9.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9.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9.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9.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9.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9.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9.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9.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9.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9.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9.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9.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9.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9.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9.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9.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9.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9.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9.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9.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9.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9.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9.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9.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9.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9.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9.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9.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9.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9.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9.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9.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9.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9.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9.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9.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9.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9.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9.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9.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9.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9.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9.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9.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9.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9.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9.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9.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9.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9.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9.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9.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9.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9.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9.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9.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9.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9.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9.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9.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9.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9.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9.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9.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9.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9.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9.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9.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9.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9.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9.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9.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9.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9.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9.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9.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9.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9.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9.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9.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9.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9.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9.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9.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9.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9.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9.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9.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9.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9.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9.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9.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9.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9.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9.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9.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9.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9.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9.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9.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9.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9.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9.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9.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9.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9.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9.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9.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9.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9.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9.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9.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9.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9.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9.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9.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9.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9.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9.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9.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9.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9.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9.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9.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9.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9.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9.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9.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9.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66">
    <mergeCell ref="E27:E29"/>
    <mergeCell ref="F27:F29"/>
    <mergeCell ref="E30:E32"/>
    <mergeCell ref="F30:F32"/>
    <mergeCell ref="G30:G32"/>
    <mergeCell ref="E33:E35"/>
    <mergeCell ref="F33:F35"/>
    <mergeCell ref="G33:G35"/>
    <mergeCell ref="C27:C29"/>
    <mergeCell ref="D27:D29"/>
    <mergeCell ref="B30:B32"/>
    <mergeCell ref="C30:C32"/>
    <mergeCell ref="D30:D32"/>
    <mergeCell ref="C33:C35"/>
    <mergeCell ref="D33:D35"/>
    <mergeCell ref="A1:D1"/>
    <mergeCell ref="A2:G2"/>
    <mergeCell ref="A3:G3"/>
    <mergeCell ref="B4:G4"/>
    <mergeCell ref="B5:G5"/>
    <mergeCell ref="B6:G6"/>
    <mergeCell ref="A7:G7"/>
    <mergeCell ref="B8:G8"/>
    <mergeCell ref="B9:D9"/>
    <mergeCell ref="F9:G9"/>
    <mergeCell ref="B10:D10"/>
    <mergeCell ref="F10:G10"/>
    <mergeCell ref="A11:G11"/>
    <mergeCell ref="D12:E12"/>
    <mergeCell ref="B12:C12"/>
    <mergeCell ref="A13:C13"/>
    <mergeCell ref="D13:E13"/>
    <mergeCell ref="F13:G13"/>
    <mergeCell ref="A15:G15"/>
    <mergeCell ref="A16:A17"/>
    <mergeCell ref="C16:C17"/>
    <mergeCell ref="G16:G17"/>
    <mergeCell ref="D16:E16"/>
    <mergeCell ref="F16:F17"/>
    <mergeCell ref="C18:C20"/>
    <mergeCell ref="D18:D20"/>
    <mergeCell ref="E18:E20"/>
    <mergeCell ref="F18:F20"/>
    <mergeCell ref="G18:G20"/>
    <mergeCell ref="B18:B20"/>
    <mergeCell ref="B21:B23"/>
    <mergeCell ref="C21:C23"/>
    <mergeCell ref="D21:D23"/>
    <mergeCell ref="E21:E23"/>
    <mergeCell ref="F21:F23"/>
    <mergeCell ref="G21:G23"/>
    <mergeCell ref="B24:B26"/>
    <mergeCell ref="C24:C26"/>
    <mergeCell ref="D24:D26"/>
    <mergeCell ref="E24:E26"/>
    <mergeCell ref="F24:F26"/>
    <mergeCell ref="G24:G26"/>
    <mergeCell ref="B27:B29"/>
    <mergeCell ref="G27:G29"/>
    <mergeCell ref="B33:B35"/>
    <mergeCell ref="B36:B38"/>
    <mergeCell ref="C36:C38"/>
    <mergeCell ref="D36:D38"/>
    <mergeCell ref="E36:E38"/>
    <mergeCell ref="F36:F38"/>
    <mergeCell ref="G36:G38"/>
    <mergeCell ref="B39:B41"/>
    <mergeCell ref="C39:C41"/>
    <mergeCell ref="D39:D41"/>
    <mergeCell ref="E39:E41"/>
    <mergeCell ref="F39:F41"/>
    <mergeCell ref="G39:G41"/>
    <mergeCell ref="A42:D42"/>
    <mergeCell ref="A43:G43"/>
    <mergeCell ref="A45:G45"/>
    <mergeCell ref="A46:A47"/>
    <mergeCell ref="C46:C47"/>
    <mergeCell ref="D46:E46"/>
    <mergeCell ref="F46:F47"/>
    <mergeCell ref="G46:G47"/>
    <mergeCell ref="E51:E53"/>
    <mergeCell ref="F51:F53"/>
    <mergeCell ref="E54:E56"/>
    <mergeCell ref="F54:F56"/>
    <mergeCell ref="G54:G56"/>
    <mergeCell ref="E57:E59"/>
    <mergeCell ref="F57:F59"/>
    <mergeCell ref="G57:G59"/>
    <mergeCell ref="B48:B50"/>
    <mergeCell ref="C48:C50"/>
    <mergeCell ref="D48:D50"/>
    <mergeCell ref="E48:E50"/>
    <mergeCell ref="F48:F50"/>
    <mergeCell ref="G48:G50"/>
    <mergeCell ref="B51:B53"/>
    <mergeCell ref="G51:G53"/>
    <mergeCell ref="B57:B59"/>
    <mergeCell ref="B60:B62"/>
    <mergeCell ref="C60:C62"/>
    <mergeCell ref="D60:D62"/>
    <mergeCell ref="E60:E62"/>
    <mergeCell ref="F60:F62"/>
    <mergeCell ref="G60:G62"/>
    <mergeCell ref="C51:C53"/>
    <mergeCell ref="D51:D53"/>
    <mergeCell ref="B54:B56"/>
    <mergeCell ref="C54:C56"/>
    <mergeCell ref="D54:D56"/>
    <mergeCell ref="C57:C59"/>
    <mergeCell ref="D57:D59"/>
    <mergeCell ref="C66:C68"/>
    <mergeCell ref="D66:D68"/>
    <mergeCell ref="A109:G109"/>
    <mergeCell ref="A112:G115"/>
    <mergeCell ref="D118:F118"/>
    <mergeCell ref="A98:B98"/>
    <mergeCell ref="A101:B101"/>
    <mergeCell ref="A105:G105"/>
    <mergeCell ref="A106:E106"/>
    <mergeCell ref="A107:C107"/>
    <mergeCell ref="L107:T107"/>
    <mergeCell ref="A108:G108"/>
    <mergeCell ref="E66:E68"/>
    <mergeCell ref="F66:F68"/>
    <mergeCell ref="B63:B65"/>
    <mergeCell ref="C63:C65"/>
    <mergeCell ref="D63:D65"/>
    <mergeCell ref="E63:E65"/>
    <mergeCell ref="F63:F65"/>
    <mergeCell ref="G63:G65"/>
    <mergeCell ref="G66:G68"/>
    <mergeCell ref="B66:B68"/>
    <mergeCell ref="B69:B71"/>
    <mergeCell ref="C69:C71"/>
    <mergeCell ref="D69:D71"/>
    <mergeCell ref="E69:E71"/>
    <mergeCell ref="F69:F71"/>
    <mergeCell ref="G69:G71"/>
    <mergeCell ref="E75:E77"/>
    <mergeCell ref="F75:F77"/>
    <mergeCell ref="E78:E80"/>
    <mergeCell ref="F78:F80"/>
    <mergeCell ref="G78:G80"/>
    <mergeCell ref="B72:B74"/>
    <mergeCell ref="C72:C74"/>
    <mergeCell ref="D72:D74"/>
    <mergeCell ref="E72:E74"/>
    <mergeCell ref="F72:F74"/>
    <mergeCell ref="G72:G74"/>
    <mergeCell ref="B75:B77"/>
    <mergeCell ref="G75:G77"/>
    <mergeCell ref="C75:C77"/>
    <mergeCell ref="D75:D77"/>
    <mergeCell ref="B78:B80"/>
    <mergeCell ref="C78:C80"/>
    <mergeCell ref="D78:D80"/>
    <mergeCell ref="A84:D84"/>
    <mergeCell ref="A85:G85"/>
    <mergeCell ref="A88:G88"/>
    <mergeCell ref="A89:G89"/>
    <mergeCell ref="A90:B90"/>
    <mergeCell ref="A93:G93"/>
    <mergeCell ref="A94:G94"/>
    <mergeCell ref="A95:G95"/>
    <mergeCell ref="A96:G96"/>
    <mergeCell ref="A135:C135"/>
  </mergeCells>
  <dataValidations>
    <dataValidation type="list" allowBlank="1" showErrorMessage="1" sqref="F13">
      <formula1>"Alexandre O. Moura,Engº Arimar Neves Neto,German Bezerra,Diogo Farias dos Santos,Willian Douglas Brito,Emanuelle C. de Menezes"</formula1>
    </dataValidation>
  </dataValidations>
  <printOptions horizontalCentered="1" verticalCentered="1"/>
  <pageMargins bottom="0.984251968503937" footer="0.0" header="0.0" left="0.3937007874015748" right="0.3937007874015748" top="1.5748031496062993"/>
  <pageSetup paperSize="9" scale="80" orientation="portrait"/>
  <headerFooter>
    <oddHead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2" width="8.29"/>
    <col customWidth="1" min="3" max="3" width="9.57"/>
    <col customWidth="1" min="4" max="4" width="10.29"/>
    <col customWidth="1" min="5" max="5" width="7.71"/>
    <col customWidth="1" min="6" max="6" width="12.29"/>
    <col customWidth="1" min="7" max="7" width="12.14"/>
    <col customWidth="1" min="8" max="8" width="14.57"/>
    <col customWidth="1" min="9" max="9" width="18.29"/>
    <col customWidth="1" min="10" max="26" width="8.71"/>
  </cols>
  <sheetData>
    <row r="21" ht="15.75" customHeight="1"/>
    <row r="22" ht="15.75" customHeight="1"/>
    <row r="23" ht="15.75" customHeight="1"/>
    <row r="24" ht="15.75" customHeight="1"/>
    <row r="25" ht="15.75" customHeight="1">
      <c r="A25" s="7" t="s">
        <v>106</v>
      </c>
    </row>
    <row r="26" ht="15.0" customHeight="1"/>
    <row r="27" ht="15.0" customHeight="1"/>
    <row r="28" ht="15.0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5:I28"/>
  </mergeCells>
  <printOptions horizontalCentered="1" verticalCentered="1"/>
  <pageMargins bottom="0.5905511811023623" footer="0.0" header="0.0" left="0.3937007874015748" right="0.1968503937007874" top="1.5748031496062993"/>
  <pageSetup paperSize="9" scale="90" orientation="portrait"/>
  <headerFooter>
    <oddHeader>&amp;L &amp;R 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30.86"/>
    <col customWidth="1" min="3" max="3" width="34.43"/>
    <col customWidth="1" min="4" max="4" width="15.14"/>
    <col customWidth="1" min="5" max="5" width="11.71"/>
    <col customWidth="1" min="6" max="6" width="12.14"/>
    <col customWidth="1" min="7" max="7" width="12.86"/>
    <col customWidth="1" min="8" max="8" width="27.14"/>
    <col customWidth="1" min="9" max="9" width="37.71"/>
    <col customWidth="1" min="10" max="10" width="15.57"/>
    <col customWidth="1" min="11" max="11" width="13.14"/>
    <col customWidth="1" min="12" max="12" width="12.71"/>
    <col customWidth="1" min="13" max="13" width="14.86"/>
    <col customWidth="1" min="14" max="14" width="12.57"/>
    <col customWidth="1" min="15" max="15" width="11.29"/>
    <col customWidth="1" min="16" max="16" width="14.86"/>
    <col customWidth="1" min="17" max="17" width="13.86"/>
    <col customWidth="1" min="18" max="18" width="11.57"/>
    <col customWidth="1" min="19" max="27" width="9.14"/>
  </cols>
  <sheetData>
    <row r="1" ht="39.75" customHeight="1">
      <c r="A1" s="149"/>
      <c r="B1" s="149">
        <v>1.0</v>
      </c>
      <c r="C1" s="149">
        <v>2.0</v>
      </c>
      <c r="D1" s="149">
        <v>3.0</v>
      </c>
      <c r="E1" s="150">
        <v>4.0</v>
      </c>
      <c r="F1" s="150">
        <v>5.0</v>
      </c>
      <c r="G1" s="149">
        <v>6.0</v>
      </c>
      <c r="H1" s="151">
        <v>1.0</v>
      </c>
      <c r="I1" s="149">
        <v>2.0</v>
      </c>
      <c r="J1" s="149">
        <v>3.0</v>
      </c>
      <c r="K1" s="151">
        <v>4.0</v>
      </c>
      <c r="L1" s="149">
        <v>5.0</v>
      </c>
      <c r="M1" s="151">
        <v>6.0</v>
      </c>
      <c r="N1" s="149">
        <v>7.0</v>
      </c>
      <c r="O1" s="149">
        <v>8.0</v>
      </c>
      <c r="P1" s="149">
        <v>9.0</v>
      </c>
      <c r="Q1" s="152">
        <v>10.0</v>
      </c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ht="39.75" customHeight="1">
      <c r="A2" s="154" t="s">
        <v>109</v>
      </c>
      <c r="B2" s="155" t="s">
        <v>110</v>
      </c>
      <c r="C2" s="155" t="s">
        <v>111</v>
      </c>
      <c r="D2" s="156" t="s">
        <v>39</v>
      </c>
      <c r="E2" s="157" t="s">
        <v>43</v>
      </c>
      <c r="F2" s="157" t="s">
        <v>44</v>
      </c>
      <c r="G2" s="156" t="s">
        <v>41</v>
      </c>
      <c r="H2" s="155" t="s">
        <v>110</v>
      </c>
      <c r="I2" s="155" t="s">
        <v>42</v>
      </c>
      <c r="J2" s="155" t="s">
        <v>112</v>
      </c>
      <c r="K2" s="158" t="s">
        <v>113</v>
      </c>
      <c r="L2" s="155" t="s">
        <v>114</v>
      </c>
      <c r="M2" s="159" t="s">
        <v>115</v>
      </c>
      <c r="N2" s="160" t="s">
        <v>116</v>
      </c>
      <c r="O2" s="156" t="s">
        <v>117</v>
      </c>
      <c r="P2" s="161" t="s">
        <v>38</v>
      </c>
      <c r="Q2" s="156" t="s">
        <v>118</v>
      </c>
      <c r="R2" s="152"/>
      <c r="S2" s="152"/>
      <c r="T2" s="152"/>
      <c r="U2" s="152"/>
      <c r="V2" s="152"/>
      <c r="W2" s="152"/>
      <c r="X2" s="152"/>
      <c r="Y2" s="152"/>
      <c r="Z2" s="152"/>
      <c r="AA2" s="152"/>
    </row>
    <row r="3" ht="39.75" customHeight="1">
      <c r="A3" s="162" t="s">
        <v>119</v>
      </c>
      <c r="B3" s="163" t="s">
        <v>120</v>
      </c>
      <c r="C3" s="164" t="s">
        <v>121</v>
      </c>
      <c r="D3" s="164" t="s">
        <v>122</v>
      </c>
      <c r="E3" s="165">
        <v>1.0</v>
      </c>
      <c r="F3" s="165" t="s">
        <v>123</v>
      </c>
      <c r="G3" s="164">
        <v>4.0</v>
      </c>
      <c r="H3" s="163" t="s">
        <v>120</v>
      </c>
      <c r="I3" s="163" t="s">
        <v>124</v>
      </c>
      <c r="J3" s="163"/>
      <c r="K3" s="163" t="s">
        <v>125</v>
      </c>
      <c r="L3" s="163" t="s">
        <v>126</v>
      </c>
      <c r="M3" s="163" t="s">
        <v>127</v>
      </c>
      <c r="N3" s="166" t="s">
        <v>128</v>
      </c>
      <c r="O3" s="164"/>
      <c r="P3" s="167"/>
      <c r="Q3" s="164" t="s">
        <v>129</v>
      </c>
      <c r="R3" s="152"/>
      <c r="S3" s="152"/>
      <c r="T3" s="152"/>
      <c r="U3" s="152"/>
      <c r="V3" s="152"/>
      <c r="W3" s="152"/>
      <c r="X3" s="152"/>
      <c r="Y3" s="152"/>
      <c r="Z3" s="152"/>
      <c r="AA3" s="152"/>
    </row>
    <row r="4" ht="39.75" customHeight="1">
      <c r="A4" s="162" t="s">
        <v>119</v>
      </c>
      <c r="B4" s="163" t="s">
        <v>130</v>
      </c>
      <c r="C4" s="164" t="s">
        <v>131</v>
      </c>
      <c r="D4" s="164" t="s">
        <v>122</v>
      </c>
      <c r="E4" s="165">
        <v>2.0</v>
      </c>
      <c r="F4" s="165" t="s">
        <v>123</v>
      </c>
      <c r="G4" s="168" t="s">
        <v>132</v>
      </c>
      <c r="H4" s="163" t="s">
        <v>130</v>
      </c>
      <c r="I4" s="163" t="s">
        <v>133</v>
      </c>
      <c r="J4" s="163" t="s">
        <v>134</v>
      </c>
      <c r="K4" s="163" t="s">
        <v>135</v>
      </c>
      <c r="L4" s="163" t="s">
        <v>126</v>
      </c>
      <c r="M4" s="163" t="s">
        <v>136</v>
      </c>
      <c r="N4" s="166" t="s">
        <v>137</v>
      </c>
      <c r="O4" s="164" t="s">
        <v>138</v>
      </c>
      <c r="P4" s="167" t="s">
        <v>138</v>
      </c>
      <c r="Q4" s="164" t="s">
        <v>139</v>
      </c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ht="39.75" customHeight="1">
      <c r="A5" s="162" t="s">
        <v>119</v>
      </c>
      <c r="B5" s="163" t="s">
        <v>142</v>
      </c>
      <c r="C5" s="164" t="s">
        <v>121</v>
      </c>
      <c r="D5" s="164" t="s">
        <v>122</v>
      </c>
      <c r="E5" s="165">
        <v>50.0</v>
      </c>
      <c r="F5" s="165">
        <v>100.0</v>
      </c>
      <c r="G5" s="164" t="s">
        <v>123</v>
      </c>
      <c r="H5" s="163" t="s">
        <v>142</v>
      </c>
      <c r="I5" s="163" t="s">
        <v>143</v>
      </c>
      <c r="J5" s="163" t="s">
        <v>134</v>
      </c>
      <c r="K5" s="163" t="s">
        <v>144</v>
      </c>
      <c r="L5" s="163" t="s">
        <v>126</v>
      </c>
      <c r="M5" s="163" t="s">
        <v>145</v>
      </c>
      <c r="N5" s="167" t="s">
        <v>146</v>
      </c>
      <c r="O5" s="164">
        <v>2.0</v>
      </c>
      <c r="P5" s="164">
        <v>2.0</v>
      </c>
      <c r="Q5" s="164" t="s">
        <v>147</v>
      </c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ht="39.75" customHeight="1">
      <c r="A6" s="162" t="s">
        <v>119</v>
      </c>
      <c r="B6" s="163" t="s">
        <v>148</v>
      </c>
      <c r="C6" s="164" t="s">
        <v>121</v>
      </c>
      <c r="D6" s="164" t="s">
        <v>122</v>
      </c>
      <c r="E6" s="165">
        <v>20.0</v>
      </c>
      <c r="F6" s="165" t="s">
        <v>123</v>
      </c>
      <c r="G6" s="164">
        <v>39.0</v>
      </c>
      <c r="H6" s="163" t="s">
        <v>148</v>
      </c>
      <c r="I6" s="163" t="s">
        <v>149</v>
      </c>
      <c r="J6" s="163" t="s">
        <v>134</v>
      </c>
      <c r="K6" s="163" t="s">
        <v>150</v>
      </c>
      <c r="L6" s="163" t="s">
        <v>126</v>
      </c>
      <c r="M6" s="163" t="s">
        <v>127</v>
      </c>
      <c r="N6" s="166" t="s">
        <v>151</v>
      </c>
      <c r="O6" s="164" t="s">
        <v>152</v>
      </c>
      <c r="P6" s="167" t="s">
        <v>152</v>
      </c>
      <c r="Q6" s="164" t="s">
        <v>153</v>
      </c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ht="40.5" customHeight="1">
      <c r="A7" s="162" t="s">
        <v>119</v>
      </c>
      <c r="B7" s="170" t="s">
        <v>154</v>
      </c>
      <c r="C7" s="171" t="s">
        <v>121</v>
      </c>
      <c r="D7" s="171" t="s">
        <v>122</v>
      </c>
      <c r="E7" s="172">
        <v>0.2</v>
      </c>
      <c r="F7" s="172">
        <v>1.0</v>
      </c>
      <c r="G7" s="171" t="s">
        <v>123</v>
      </c>
      <c r="H7" s="170" t="s">
        <v>154</v>
      </c>
      <c r="I7" s="170" t="s">
        <v>155</v>
      </c>
      <c r="J7" s="170" t="s">
        <v>134</v>
      </c>
      <c r="K7" s="170" t="s">
        <v>156</v>
      </c>
      <c r="L7" s="170" t="s">
        <v>126</v>
      </c>
      <c r="M7" s="170" t="s">
        <v>127</v>
      </c>
      <c r="N7" s="173" t="s">
        <v>157</v>
      </c>
      <c r="O7" s="171" t="s">
        <v>158</v>
      </c>
      <c r="P7" s="174" t="s">
        <v>159</v>
      </c>
      <c r="Q7" s="171" t="s">
        <v>160</v>
      </c>
      <c r="R7" s="175"/>
      <c r="S7" s="175"/>
      <c r="T7" s="175"/>
      <c r="U7" s="175"/>
      <c r="V7" s="175"/>
      <c r="W7" s="175"/>
      <c r="X7" s="175"/>
      <c r="Y7" s="175"/>
      <c r="Z7" s="175"/>
      <c r="AA7" s="175"/>
    </row>
    <row r="8" ht="40.5" customHeight="1">
      <c r="A8" s="162" t="s">
        <v>161</v>
      </c>
      <c r="B8" s="176" t="s">
        <v>162</v>
      </c>
      <c r="C8" s="177" t="s">
        <v>121</v>
      </c>
      <c r="D8" s="177" t="s">
        <v>122</v>
      </c>
      <c r="E8" s="178">
        <v>5.0</v>
      </c>
      <c r="F8" s="178" t="s">
        <v>123</v>
      </c>
      <c r="G8" s="177">
        <v>78.0</v>
      </c>
      <c r="H8" s="176" t="s">
        <v>162</v>
      </c>
      <c r="I8" s="176" t="s">
        <v>163</v>
      </c>
      <c r="J8" s="176" t="s">
        <v>134</v>
      </c>
      <c r="K8" s="176" t="s">
        <v>150</v>
      </c>
      <c r="L8" s="176" t="s">
        <v>126</v>
      </c>
      <c r="M8" s="176" t="s">
        <v>164</v>
      </c>
      <c r="N8" s="179" t="s">
        <v>165</v>
      </c>
      <c r="O8" s="177" t="s">
        <v>166</v>
      </c>
      <c r="P8" s="180" t="s">
        <v>167</v>
      </c>
      <c r="Q8" s="177" t="s">
        <v>168</v>
      </c>
      <c r="R8" s="152"/>
      <c r="S8" s="152"/>
      <c r="T8" s="152"/>
      <c r="U8" s="152"/>
      <c r="V8" s="152"/>
      <c r="W8" s="152"/>
      <c r="X8" s="152"/>
      <c r="Y8" s="152"/>
      <c r="Z8" s="152"/>
      <c r="AA8" s="152"/>
    </row>
    <row r="9" ht="40.5" customHeight="1">
      <c r="A9" s="162" t="s">
        <v>161</v>
      </c>
      <c r="B9" s="163" t="s">
        <v>169</v>
      </c>
      <c r="C9" s="164" t="s">
        <v>121</v>
      </c>
      <c r="D9" s="164" t="s">
        <v>122</v>
      </c>
      <c r="E9" s="165">
        <v>200.0</v>
      </c>
      <c r="F9" s="165">
        <v>400.0</v>
      </c>
      <c r="G9" s="164">
        <v>310.0</v>
      </c>
      <c r="H9" s="163" t="s">
        <v>169</v>
      </c>
      <c r="I9" s="163" t="s">
        <v>172</v>
      </c>
      <c r="J9" s="163" t="s">
        <v>134</v>
      </c>
      <c r="K9" s="163" t="s">
        <v>175</v>
      </c>
      <c r="L9" s="163" t="s">
        <v>126</v>
      </c>
      <c r="M9" s="163" t="s">
        <v>127</v>
      </c>
      <c r="N9" s="166" t="s">
        <v>178</v>
      </c>
      <c r="O9" s="164"/>
      <c r="P9" s="167"/>
      <c r="Q9" s="164" t="s">
        <v>182</v>
      </c>
      <c r="R9" s="152"/>
      <c r="S9" s="152"/>
      <c r="T9" s="152"/>
      <c r="U9" s="152"/>
      <c r="V9" s="152"/>
      <c r="W9" s="152"/>
      <c r="X9" s="152"/>
      <c r="Y9" s="152"/>
      <c r="Z9" s="152"/>
      <c r="AA9" s="152"/>
    </row>
    <row r="10" ht="39.75" customHeight="1">
      <c r="A10" s="162" t="s">
        <v>161</v>
      </c>
      <c r="B10" s="164" t="s">
        <v>191</v>
      </c>
      <c r="C10" s="164" t="s">
        <v>121</v>
      </c>
      <c r="D10" s="164" t="s">
        <v>122</v>
      </c>
      <c r="E10" s="165" t="s">
        <v>123</v>
      </c>
      <c r="F10" s="165">
        <v>25.0</v>
      </c>
      <c r="G10" s="164">
        <v>78.0</v>
      </c>
      <c r="H10" s="164" t="s">
        <v>191</v>
      </c>
      <c r="I10" s="163" t="s">
        <v>199</v>
      </c>
      <c r="J10" s="163" t="s">
        <v>202</v>
      </c>
      <c r="K10" s="163" t="s">
        <v>204</v>
      </c>
      <c r="L10" s="163" t="s">
        <v>126</v>
      </c>
      <c r="M10" s="163" t="s">
        <v>208</v>
      </c>
      <c r="N10" s="184">
        <v>15.0</v>
      </c>
      <c r="O10" s="164" t="s">
        <v>214</v>
      </c>
      <c r="P10" s="167" t="s">
        <v>214</v>
      </c>
      <c r="Q10" s="164" t="s">
        <v>182</v>
      </c>
      <c r="R10" s="152"/>
      <c r="S10" s="152"/>
      <c r="T10" s="152"/>
      <c r="U10" s="152"/>
      <c r="V10" s="152"/>
      <c r="W10" s="152"/>
      <c r="X10" s="152"/>
      <c r="Y10" s="152"/>
      <c r="Z10" s="152"/>
      <c r="AA10" s="152"/>
    </row>
    <row r="11" ht="39.75" customHeight="1">
      <c r="A11" s="162" t="s">
        <v>161</v>
      </c>
      <c r="B11" s="163" t="s">
        <v>227</v>
      </c>
      <c r="C11" s="164" t="s">
        <v>121</v>
      </c>
      <c r="D11" s="164" t="s">
        <v>122</v>
      </c>
      <c r="E11" s="165">
        <v>20.0</v>
      </c>
      <c r="F11" s="165" t="s">
        <v>123</v>
      </c>
      <c r="G11" s="164" t="s">
        <v>123</v>
      </c>
      <c r="H11" s="163" t="s">
        <v>227</v>
      </c>
      <c r="I11" s="163" t="s">
        <v>237</v>
      </c>
      <c r="J11" s="163" t="s">
        <v>134</v>
      </c>
      <c r="K11" s="163" t="s">
        <v>239</v>
      </c>
      <c r="L11" s="163" t="s">
        <v>126</v>
      </c>
      <c r="M11" s="163">
        <v>1.0</v>
      </c>
      <c r="N11" s="166" t="s">
        <v>240</v>
      </c>
      <c r="O11" s="164"/>
      <c r="P11" s="167"/>
      <c r="Q11" s="164" t="s">
        <v>241</v>
      </c>
      <c r="R11" s="152"/>
      <c r="S11" s="152"/>
      <c r="T11" s="152"/>
      <c r="U11" s="152"/>
      <c r="V11" s="152"/>
      <c r="W11" s="152"/>
      <c r="X11" s="152"/>
      <c r="Y11" s="152"/>
      <c r="Z11" s="152"/>
      <c r="AA11" s="152"/>
    </row>
    <row r="12" ht="39.75" customHeight="1">
      <c r="A12" s="185"/>
      <c r="B12" s="163" t="s">
        <v>242</v>
      </c>
      <c r="C12" s="164" t="s">
        <v>121</v>
      </c>
      <c r="D12" s="164" t="s">
        <v>122</v>
      </c>
      <c r="E12" s="165">
        <v>5.0</v>
      </c>
      <c r="F12" s="165" t="s">
        <v>123</v>
      </c>
      <c r="G12" s="164">
        <v>78.0</v>
      </c>
      <c r="H12" s="163" t="s">
        <v>242</v>
      </c>
      <c r="I12" s="163" t="s">
        <v>246</v>
      </c>
      <c r="J12" s="163" t="s">
        <v>134</v>
      </c>
      <c r="K12" s="163" t="s">
        <v>247</v>
      </c>
      <c r="L12" s="163" t="s">
        <v>126</v>
      </c>
      <c r="M12" s="163" t="s">
        <v>127</v>
      </c>
      <c r="N12" s="167" t="s">
        <v>249</v>
      </c>
      <c r="O12" s="164" t="s">
        <v>250</v>
      </c>
      <c r="P12" s="167" t="s">
        <v>251</v>
      </c>
      <c r="Q12" s="164" t="s">
        <v>252</v>
      </c>
      <c r="R12" s="152"/>
      <c r="S12" s="152"/>
      <c r="T12" s="152"/>
      <c r="U12" s="152"/>
      <c r="V12" s="152"/>
      <c r="W12" s="152"/>
      <c r="X12" s="152"/>
      <c r="Y12" s="152"/>
      <c r="Z12" s="152"/>
      <c r="AA12" s="152"/>
    </row>
    <row r="13" ht="39.75" customHeight="1">
      <c r="A13" s="185"/>
      <c r="B13" s="163" t="s">
        <v>253</v>
      </c>
      <c r="C13" s="164" t="s">
        <v>121</v>
      </c>
      <c r="D13" s="164" t="s">
        <v>122</v>
      </c>
      <c r="E13" s="165">
        <v>5.0</v>
      </c>
      <c r="F13" s="165" t="s">
        <v>123</v>
      </c>
      <c r="G13" s="164">
        <v>78.0</v>
      </c>
      <c r="H13" s="163" t="s">
        <v>253</v>
      </c>
      <c r="I13" s="163" t="s">
        <v>254</v>
      </c>
      <c r="J13" s="163" t="s">
        <v>134</v>
      </c>
      <c r="K13" s="163" t="s">
        <v>247</v>
      </c>
      <c r="L13" s="163" t="s">
        <v>126</v>
      </c>
      <c r="M13" s="163" t="s">
        <v>127</v>
      </c>
      <c r="N13" s="167" t="s">
        <v>249</v>
      </c>
      <c r="O13" s="164" t="s">
        <v>255</v>
      </c>
      <c r="P13" s="167" t="s">
        <v>255</v>
      </c>
      <c r="Q13" s="164" t="s">
        <v>256</v>
      </c>
      <c r="R13" s="152"/>
      <c r="S13" s="152"/>
      <c r="T13" s="152"/>
      <c r="U13" s="152"/>
      <c r="V13" s="152"/>
      <c r="W13" s="152"/>
      <c r="X13" s="152"/>
      <c r="Y13" s="152"/>
      <c r="Z13" s="152"/>
      <c r="AA13" s="152"/>
    </row>
    <row r="14" ht="39.75" customHeight="1">
      <c r="A14" s="187"/>
      <c r="B14" s="164" t="s">
        <v>257</v>
      </c>
      <c r="C14" s="164" t="s">
        <v>121</v>
      </c>
      <c r="D14" s="164" t="s">
        <v>122</v>
      </c>
      <c r="E14" s="165">
        <v>0.1</v>
      </c>
      <c r="F14" s="165" t="s">
        <v>123</v>
      </c>
      <c r="G14" s="164" t="s">
        <v>123</v>
      </c>
      <c r="H14" s="163" t="s">
        <v>257</v>
      </c>
      <c r="I14" s="163" t="s">
        <v>258</v>
      </c>
      <c r="J14" s="163" t="s">
        <v>134</v>
      </c>
      <c r="K14" s="163" t="s">
        <v>259</v>
      </c>
      <c r="L14" s="163" t="s">
        <v>126</v>
      </c>
      <c r="M14" s="163" t="s">
        <v>127</v>
      </c>
      <c r="N14" s="184" t="s">
        <v>260</v>
      </c>
      <c r="O14" s="164"/>
      <c r="P14" s="167"/>
      <c r="Q14" s="164" t="s">
        <v>261</v>
      </c>
      <c r="R14" s="152"/>
      <c r="S14" s="152"/>
      <c r="T14" s="152"/>
      <c r="U14" s="152"/>
      <c r="V14" s="152"/>
      <c r="W14" s="152"/>
      <c r="X14" s="152"/>
      <c r="Y14" s="152"/>
      <c r="Z14" s="152"/>
      <c r="AA14" s="152"/>
    </row>
    <row r="15" ht="39.75" customHeight="1">
      <c r="A15" s="185"/>
      <c r="B15" s="163" t="s">
        <v>263</v>
      </c>
      <c r="C15" s="164" t="s">
        <v>121</v>
      </c>
      <c r="D15" s="164" t="s">
        <v>122</v>
      </c>
      <c r="E15" s="165">
        <v>50.0</v>
      </c>
      <c r="F15" s="165">
        <v>150.0</v>
      </c>
      <c r="G15" s="164" t="s">
        <v>123</v>
      </c>
      <c r="H15" s="163" t="s">
        <v>263</v>
      </c>
      <c r="I15" s="163" t="s">
        <v>264</v>
      </c>
      <c r="J15" s="163" t="s">
        <v>134</v>
      </c>
      <c r="K15" s="163" t="s">
        <v>265</v>
      </c>
      <c r="L15" s="163" t="s">
        <v>126</v>
      </c>
      <c r="M15" s="163" t="s">
        <v>127</v>
      </c>
      <c r="N15" s="167" t="s">
        <v>249</v>
      </c>
      <c r="O15" s="164" t="s">
        <v>251</v>
      </c>
      <c r="P15" s="167" t="s">
        <v>251</v>
      </c>
      <c r="Q15" s="164" t="s">
        <v>266</v>
      </c>
      <c r="R15" s="152"/>
      <c r="S15" s="152"/>
      <c r="T15" s="152"/>
      <c r="U15" s="152"/>
      <c r="V15" s="152"/>
      <c r="W15" s="152"/>
      <c r="X15" s="152"/>
      <c r="Y15" s="152"/>
      <c r="Z15" s="152"/>
      <c r="AA15" s="152"/>
    </row>
    <row r="16" ht="39.75" customHeight="1">
      <c r="A16" s="185"/>
      <c r="B16" s="163" t="s">
        <v>267</v>
      </c>
      <c r="C16" s="164" t="s">
        <v>121</v>
      </c>
      <c r="D16" s="164" t="s">
        <v>122</v>
      </c>
      <c r="E16" s="165">
        <v>400.0</v>
      </c>
      <c r="F16" s="165" t="s">
        <v>123</v>
      </c>
      <c r="G16" s="164">
        <v>310.0</v>
      </c>
      <c r="H16" s="163" t="s">
        <v>267</v>
      </c>
      <c r="I16" s="163" t="s">
        <v>268</v>
      </c>
      <c r="J16" s="163" t="s">
        <v>134</v>
      </c>
      <c r="K16" s="163" t="s">
        <v>269</v>
      </c>
      <c r="L16" s="163" t="s">
        <v>126</v>
      </c>
      <c r="M16" s="163" t="s">
        <v>127</v>
      </c>
      <c r="N16" s="167" t="s">
        <v>249</v>
      </c>
      <c r="O16" s="164" t="s">
        <v>167</v>
      </c>
      <c r="P16" s="167" t="s">
        <v>167</v>
      </c>
      <c r="Q16" s="164" t="s">
        <v>252</v>
      </c>
      <c r="R16" s="152"/>
      <c r="S16" s="152"/>
      <c r="T16" s="152"/>
      <c r="U16" s="152"/>
      <c r="V16" s="152"/>
      <c r="W16" s="152"/>
      <c r="X16" s="152"/>
      <c r="Y16" s="152"/>
      <c r="Z16" s="152"/>
      <c r="AA16" s="152"/>
    </row>
    <row r="17" ht="39.75" customHeight="1">
      <c r="A17" s="187"/>
      <c r="B17" s="164" t="s">
        <v>270</v>
      </c>
      <c r="C17" s="164" t="s">
        <v>121</v>
      </c>
      <c r="D17" s="164" t="s">
        <v>122</v>
      </c>
      <c r="E17" s="165">
        <v>50.0</v>
      </c>
      <c r="F17" s="165">
        <v>150.0</v>
      </c>
      <c r="G17" s="164" t="s">
        <v>123</v>
      </c>
      <c r="H17" s="164" t="s">
        <v>270</v>
      </c>
      <c r="I17" s="163" t="s">
        <v>264</v>
      </c>
      <c r="J17" s="163" t="s">
        <v>134</v>
      </c>
      <c r="K17" s="163" t="s">
        <v>265</v>
      </c>
      <c r="L17" s="163" t="s">
        <v>126</v>
      </c>
      <c r="M17" s="163" t="s">
        <v>271</v>
      </c>
      <c r="N17" s="167" t="s">
        <v>249</v>
      </c>
      <c r="O17" s="164" t="s">
        <v>255</v>
      </c>
      <c r="P17" s="167" t="s">
        <v>255</v>
      </c>
      <c r="Q17" s="164" t="s">
        <v>272</v>
      </c>
      <c r="R17" s="188" t="s">
        <v>273</v>
      </c>
      <c r="S17" s="152"/>
      <c r="T17" s="152"/>
      <c r="U17" s="152"/>
      <c r="V17" s="152"/>
      <c r="W17" s="152"/>
      <c r="X17" s="152"/>
      <c r="Y17" s="152"/>
      <c r="Z17" s="152"/>
      <c r="AA17" s="152"/>
    </row>
    <row r="18" ht="48.75" customHeight="1">
      <c r="A18" s="187"/>
      <c r="B18" s="164" t="s">
        <v>274</v>
      </c>
      <c r="C18" s="164" t="s">
        <v>121</v>
      </c>
      <c r="D18" s="164" t="s">
        <v>122</v>
      </c>
      <c r="E18" s="165">
        <v>100.0</v>
      </c>
      <c r="F18" s="165">
        <v>150.0</v>
      </c>
      <c r="G18" s="164" t="s">
        <v>123</v>
      </c>
      <c r="H18" s="164" t="s">
        <v>274</v>
      </c>
      <c r="I18" s="163" t="s">
        <v>276</v>
      </c>
      <c r="J18" s="163" t="s">
        <v>134</v>
      </c>
      <c r="K18" s="163" t="s">
        <v>277</v>
      </c>
      <c r="L18" s="163" t="s">
        <v>126</v>
      </c>
      <c r="M18" s="163" t="s">
        <v>127</v>
      </c>
      <c r="N18" s="167" t="s">
        <v>278</v>
      </c>
      <c r="O18" s="164" t="s">
        <v>279</v>
      </c>
      <c r="P18" s="167" t="s">
        <v>279</v>
      </c>
      <c r="Q18" s="164" t="s">
        <v>256</v>
      </c>
      <c r="R18" s="152"/>
      <c r="S18" s="152"/>
      <c r="T18" s="152"/>
      <c r="U18" s="152"/>
      <c r="V18" s="152"/>
      <c r="W18" s="152"/>
      <c r="X18" s="152"/>
      <c r="Y18" s="152"/>
      <c r="Z18" s="152"/>
      <c r="AA18" s="152"/>
    </row>
    <row r="19" ht="48.75" customHeight="1">
      <c r="A19" s="187"/>
      <c r="B19" s="164" t="s">
        <v>285</v>
      </c>
      <c r="C19" s="164" t="s">
        <v>121</v>
      </c>
      <c r="D19" s="164" t="s">
        <v>122</v>
      </c>
      <c r="E19" s="165">
        <v>200.0</v>
      </c>
      <c r="F19" s="165">
        <v>250.0</v>
      </c>
      <c r="G19" s="164" t="s">
        <v>123</v>
      </c>
      <c r="H19" s="164" t="s">
        <v>285</v>
      </c>
      <c r="I19" s="163" t="s">
        <v>296</v>
      </c>
      <c r="J19" s="163" t="s">
        <v>134</v>
      </c>
      <c r="K19" s="163" t="s">
        <v>300</v>
      </c>
      <c r="L19" s="163" t="s">
        <v>126</v>
      </c>
      <c r="M19" s="163" t="s">
        <v>127</v>
      </c>
      <c r="N19" s="184" t="s">
        <v>305</v>
      </c>
      <c r="O19" s="164" t="s">
        <v>167</v>
      </c>
      <c r="P19" s="167" t="s">
        <v>167</v>
      </c>
      <c r="Q19" s="164" t="s">
        <v>310</v>
      </c>
      <c r="R19" s="152"/>
      <c r="S19" s="152"/>
      <c r="T19" s="152"/>
      <c r="U19" s="152"/>
      <c r="V19" s="152"/>
      <c r="W19" s="152"/>
      <c r="X19" s="152"/>
      <c r="Y19" s="152"/>
      <c r="Z19" s="152"/>
      <c r="AA19" s="152"/>
    </row>
    <row r="20" ht="39.75" customHeight="1">
      <c r="A20" s="185"/>
      <c r="B20" s="163" t="s">
        <v>320</v>
      </c>
      <c r="C20" s="164" t="s">
        <v>121</v>
      </c>
      <c r="D20" s="164" t="s">
        <v>122</v>
      </c>
      <c r="E20" s="165">
        <v>50.0</v>
      </c>
      <c r="F20" s="165">
        <v>150.0</v>
      </c>
      <c r="G20" s="164" t="s">
        <v>123</v>
      </c>
      <c r="H20" s="163" t="s">
        <v>320</v>
      </c>
      <c r="I20" s="163" t="s">
        <v>264</v>
      </c>
      <c r="J20" s="163" t="s">
        <v>134</v>
      </c>
      <c r="K20" s="163" t="s">
        <v>265</v>
      </c>
      <c r="L20" s="163" t="s">
        <v>126</v>
      </c>
      <c r="M20" s="163" t="s">
        <v>127</v>
      </c>
      <c r="N20" s="167" t="s">
        <v>249</v>
      </c>
      <c r="O20" s="164"/>
      <c r="P20" s="167"/>
      <c r="Q20" s="164" t="s">
        <v>342</v>
      </c>
      <c r="R20" s="152"/>
      <c r="S20" s="152"/>
      <c r="T20" s="152"/>
      <c r="U20" s="152"/>
      <c r="V20" s="152"/>
      <c r="W20" s="152"/>
      <c r="X20" s="152"/>
      <c r="Y20" s="152"/>
      <c r="Z20" s="152"/>
      <c r="AA20" s="152"/>
    </row>
    <row r="21" ht="39.75" customHeight="1">
      <c r="A21" s="185"/>
      <c r="B21" s="163" t="s">
        <v>352</v>
      </c>
      <c r="C21" s="164" t="s">
        <v>121</v>
      </c>
      <c r="D21" s="164" t="s">
        <v>122</v>
      </c>
      <c r="E21" s="165">
        <v>100.0</v>
      </c>
      <c r="F21" s="165">
        <v>150.0</v>
      </c>
      <c r="G21" s="164" t="s">
        <v>123</v>
      </c>
      <c r="H21" s="163" t="s">
        <v>352</v>
      </c>
      <c r="I21" s="163" t="s">
        <v>363</v>
      </c>
      <c r="J21" s="163" t="s">
        <v>134</v>
      </c>
      <c r="K21" s="163" t="s">
        <v>265</v>
      </c>
      <c r="L21" s="163" t="s">
        <v>126</v>
      </c>
      <c r="M21" s="163" t="s">
        <v>271</v>
      </c>
      <c r="N21" s="167" t="s">
        <v>249</v>
      </c>
      <c r="O21" s="164"/>
      <c r="P21" s="167"/>
      <c r="Q21" s="164" t="s">
        <v>380</v>
      </c>
      <c r="R21" s="152"/>
      <c r="S21" s="152"/>
      <c r="T21" s="152"/>
      <c r="U21" s="152"/>
      <c r="V21" s="152"/>
      <c r="W21" s="152"/>
      <c r="X21" s="152"/>
      <c r="Y21" s="152"/>
      <c r="Z21" s="152"/>
      <c r="AA21" s="152"/>
    </row>
    <row r="22" ht="39.75" customHeight="1">
      <c r="A22" s="185"/>
      <c r="B22" s="163" t="s">
        <v>572</v>
      </c>
      <c r="C22" s="164" t="s">
        <v>121</v>
      </c>
      <c r="D22" s="164" t="s">
        <v>122</v>
      </c>
      <c r="E22" s="165">
        <v>10.0</v>
      </c>
      <c r="F22" s="165">
        <v>15.0</v>
      </c>
      <c r="G22" s="164" t="s">
        <v>123</v>
      </c>
      <c r="H22" s="163" t="s">
        <v>572</v>
      </c>
      <c r="I22" s="163" t="s">
        <v>573</v>
      </c>
      <c r="J22" s="163" t="s">
        <v>134</v>
      </c>
      <c r="K22" s="163" t="s">
        <v>574</v>
      </c>
      <c r="L22" s="163" t="s">
        <v>126</v>
      </c>
      <c r="M22" s="163" t="s">
        <v>575</v>
      </c>
      <c r="N22" s="167" t="s">
        <v>758</v>
      </c>
      <c r="O22" s="164"/>
      <c r="P22" s="167"/>
      <c r="Q22" s="164" t="s">
        <v>759</v>
      </c>
      <c r="R22" s="152"/>
      <c r="S22" s="152"/>
      <c r="T22" s="152"/>
      <c r="U22" s="152"/>
      <c r="V22" s="152"/>
      <c r="W22" s="152"/>
      <c r="X22" s="152"/>
      <c r="Y22" s="152"/>
      <c r="Z22" s="152"/>
      <c r="AA22" s="152"/>
    </row>
    <row r="23" ht="39.75" customHeight="1">
      <c r="A23" s="185"/>
      <c r="B23" s="163" t="s">
        <v>760</v>
      </c>
      <c r="C23" s="164" t="s">
        <v>121</v>
      </c>
      <c r="D23" s="164" t="s">
        <v>122</v>
      </c>
      <c r="E23" s="165">
        <v>250.0</v>
      </c>
      <c r="F23" s="165">
        <v>500.0</v>
      </c>
      <c r="G23" s="164">
        <v>780.0</v>
      </c>
      <c r="H23" s="163" t="s">
        <v>760</v>
      </c>
      <c r="I23" s="163" t="s">
        <v>761</v>
      </c>
      <c r="J23" s="163" t="s">
        <v>134</v>
      </c>
      <c r="K23" s="163" t="s">
        <v>762</v>
      </c>
      <c r="L23" s="163" t="s">
        <v>126</v>
      </c>
      <c r="M23" s="163" t="s">
        <v>127</v>
      </c>
      <c r="N23" s="191" t="s">
        <v>763</v>
      </c>
      <c r="O23" s="164" t="s">
        <v>279</v>
      </c>
      <c r="P23" s="167" t="s">
        <v>279</v>
      </c>
      <c r="Q23" s="164" t="s">
        <v>764</v>
      </c>
      <c r="R23" s="152"/>
      <c r="S23" s="152"/>
      <c r="T23" s="152"/>
      <c r="U23" s="152"/>
      <c r="V23" s="152"/>
      <c r="W23" s="152"/>
      <c r="X23" s="152"/>
      <c r="Y23" s="152"/>
      <c r="Z23" s="152"/>
      <c r="AA23" s="152"/>
    </row>
    <row r="24" ht="39.75" customHeight="1">
      <c r="A24" s="185"/>
      <c r="B24" s="163" t="s">
        <v>766</v>
      </c>
      <c r="C24" s="164" t="s">
        <v>121</v>
      </c>
      <c r="D24" s="164" t="s">
        <v>122</v>
      </c>
      <c r="E24" s="165">
        <v>20.0</v>
      </c>
      <c r="F24" s="165" t="s">
        <v>123</v>
      </c>
      <c r="G24" s="164">
        <v>30.0</v>
      </c>
      <c r="H24" s="163" t="s">
        <v>766</v>
      </c>
      <c r="I24" s="163" t="s">
        <v>767</v>
      </c>
      <c r="J24" s="163" t="s">
        <v>134</v>
      </c>
      <c r="K24" s="163" t="s">
        <v>768</v>
      </c>
      <c r="L24" s="163" t="s">
        <v>126</v>
      </c>
      <c r="M24" s="163" t="s">
        <v>127</v>
      </c>
      <c r="N24" s="167" t="s">
        <v>146</v>
      </c>
      <c r="O24" s="164"/>
      <c r="P24" s="167"/>
      <c r="Q24" s="164" t="s">
        <v>770</v>
      </c>
      <c r="R24" s="152"/>
      <c r="S24" s="152"/>
      <c r="T24" s="152"/>
      <c r="U24" s="152"/>
      <c r="V24" s="152"/>
      <c r="W24" s="152"/>
      <c r="X24" s="152"/>
      <c r="Y24" s="152"/>
      <c r="Z24" s="152"/>
      <c r="AA24" s="152"/>
    </row>
    <row r="25" ht="39.75" customHeight="1">
      <c r="A25" s="187"/>
      <c r="B25" s="164" t="s">
        <v>771</v>
      </c>
      <c r="C25" s="164" t="s">
        <v>121</v>
      </c>
      <c r="D25" s="164" t="s">
        <v>122</v>
      </c>
      <c r="E25" s="165">
        <v>10.0</v>
      </c>
      <c r="F25" s="165">
        <v>15.0</v>
      </c>
      <c r="G25" s="164">
        <v>8.0</v>
      </c>
      <c r="H25" s="164" t="s">
        <v>771</v>
      </c>
      <c r="I25" s="163" t="s">
        <v>772</v>
      </c>
      <c r="J25" s="163" t="s">
        <v>134</v>
      </c>
      <c r="K25" s="163" t="s">
        <v>773</v>
      </c>
      <c r="L25" s="163" t="s">
        <v>126</v>
      </c>
      <c r="M25" s="184" t="s">
        <v>774</v>
      </c>
      <c r="N25" s="166" t="s">
        <v>775</v>
      </c>
      <c r="O25" s="164" t="s">
        <v>255</v>
      </c>
      <c r="P25" s="167" t="s">
        <v>255</v>
      </c>
      <c r="Q25" s="164" t="s">
        <v>778</v>
      </c>
      <c r="R25" s="152"/>
      <c r="S25" s="152"/>
      <c r="T25" s="152"/>
      <c r="U25" s="152"/>
      <c r="V25" s="152"/>
      <c r="W25" s="152"/>
      <c r="X25" s="152"/>
      <c r="Y25" s="152"/>
      <c r="Z25" s="152"/>
      <c r="AA25" s="152"/>
    </row>
    <row r="26" ht="39.75" customHeight="1">
      <c r="A26" s="185"/>
      <c r="B26" s="163" t="s">
        <v>951</v>
      </c>
      <c r="C26" s="164" t="s">
        <v>121</v>
      </c>
      <c r="D26" s="164" t="s">
        <v>960</v>
      </c>
      <c r="E26" s="165">
        <v>2.0</v>
      </c>
      <c r="F26" s="165">
        <v>6.0</v>
      </c>
      <c r="G26" s="164" t="s">
        <v>123</v>
      </c>
      <c r="H26" s="163" t="s">
        <v>951</v>
      </c>
      <c r="I26" s="163" t="s">
        <v>967</v>
      </c>
      <c r="J26" s="163" t="s">
        <v>968</v>
      </c>
      <c r="K26" s="163" t="s">
        <v>969</v>
      </c>
      <c r="L26" s="163" t="s">
        <v>970</v>
      </c>
      <c r="M26" s="168" t="s">
        <v>971</v>
      </c>
      <c r="N26" s="166" t="s">
        <v>974</v>
      </c>
      <c r="O26" s="164"/>
      <c r="P26" s="167"/>
      <c r="Q26" s="164" t="s">
        <v>979</v>
      </c>
      <c r="R26" s="152"/>
      <c r="S26" s="152"/>
      <c r="T26" s="152"/>
      <c r="U26" s="152"/>
      <c r="V26" s="152"/>
      <c r="W26" s="152"/>
      <c r="X26" s="152"/>
      <c r="Y26" s="152"/>
      <c r="Z26" s="152"/>
      <c r="AA26" s="152"/>
    </row>
    <row r="27" ht="39.75" customHeight="1">
      <c r="A27" s="185"/>
      <c r="B27" s="163" t="s">
        <v>988</v>
      </c>
      <c r="C27" s="164" t="s">
        <v>121</v>
      </c>
      <c r="D27" s="164" t="s">
        <v>122</v>
      </c>
      <c r="E27" s="165">
        <v>5.0</v>
      </c>
      <c r="F27" s="165" t="s">
        <v>123</v>
      </c>
      <c r="G27" s="164">
        <v>4.0</v>
      </c>
      <c r="H27" s="163" t="s">
        <v>988</v>
      </c>
      <c r="I27" s="163" t="s">
        <v>1004</v>
      </c>
      <c r="J27" s="163" t="s">
        <v>134</v>
      </c>
      <c r="K27" s="163" t="s">
        <v>1008</v>
      </c>
      <c r="L27" s="163" t="s">
        <v>126</v>
      </c>
      <c r="M27" s="163" t="s">
        <v>575</v>
      </c>
      <c r="N27" s="166" t="s">
        <v>1013</v>
      </c>
      <c r="O27" s="164"/>
      <c r="P27" s="167"/>
      <c r="Q27" s="164" t="s">
        <v>1019</v>
      </c>
      <c r="R27" s="152"/>
      <c r="S27" s="152"/>
      <c r="T27" s="152"/>
      <c r="U27" s="152"/>
      <c r="V27" s="152"/>
      <c r="W27" s="152"/>
      <c r="X27" s="152"/>
      <c r="Y27" s="152"/>
      <c r="Z27" s="152"/>
      <c r="AA27" s="152"/>
    </row>
    <row r="28" ht="39.75" customHeight="1">
      <c r="A28" s="185"/>
      <c r="B28" s="163" t="s">
        <v>1028</v>
      </c>
      <c r="C28" s="163" t="s">
        <v>1030</v>
      </c>
      <c r="D28" s="164" t="s">
        <v>122</v>
      </c>
      <c r="E28" s="165" t="s">
        <v>123</v>
      </c>
      <c r="F28" s="165">
        <v>2.0</v>
      </c>
      <c r="G28" s="164">
        <v>4.0</v>
      </c>
      <c r="H28" s="163" t="s">
        <v>1028</v>
      </c>
      <c r="I28" s="163" t="s">
        <v>1035</v>
      </c>
      <c r="J28" s="163" t="s">
        <v>202</v>
      </c>
      <c r="K28" s="163" t="s">
        <v>1039</v>
      </c>
      <c r="L28" s="163" t="s">
        <v>126</v>
      </c>
      <c r="M28" s="163">
        <v>2.0</v>
      </c>
      <c r="N28" s="166" t="s">
        <v>1044</v>
      </c>
      <c r="O28" s="164" t="s">
        <v>1046</v>
      </c>
      <c r="P28" s="167" t="s">
        <v>1046</v>
      </c>
      <c r="Q28" s="164" t="s">
        <v>1050</v>
      </c>
      <c r="R28" s="152"/>
      <c r="S28" s="152"/>
      <c r="T28" s="152"/>
      <c r="U28" s="152"/>
      <c r="V28" s="152"/>
      <c r="W28" s="152"/>
      <c r="X28" s="152"/>
      <c r="Y28" s="152"/>
      <c r="Z28" s="152"/>
      <c r="AA28" s="152"/>
    </row>
    <row r="29" ht="39.75" customHeight="1">
      <c r="A29" s="187"/>
      <c r="B29" s="164" t="s">
        <v>1059</v>
      </c>
      <c r="C29" s="164" t="s">
        <v>121</v>
      </c>
      <c r="D29" s="164" t="s">
        <v>122</v>
      </c>
      <c r="E29" s="165">
        <v>0.5</v>
      </c>
      <c r="F29" s="165">
        <v>2.0</v>
      </c>
      <c r="G29" s="164" t="s">
        <v>1067</v>
      </c>
      <c r="H29" s="164" t="s">
        <v>1059</v>
      </c>
      <c r="I29" s="163" t="s">
        <v>1070</v>
      </c>
      <c r="J29" s="163" t="s">
        <v>968</v>
      </c>
      <c r="K29" s="163" t="s">
        <v>1074</v>
      </c>
      <c r="L29" s="163" t="s">
        <v>126</v>
      </c>
      <c r="M29" s="193" t="s">
        <v>1077</v>
      </c>
      <c r="N29" s="191" t="s">
        <v>1086</v>
      </c>
      <c r="O29" s="164" t="s">
        <v>255</v>
      </c>
      <c r="P29" s="167" t="s">
        <v>255</v>
      </c>
      <c r="Q29" s="164" t="s">
        <v>1091</v>
      </c>
      <c r="R29" s="152"/>
      <c r="S29" s="152"/>
      <c r="T29" s="152"/>
      <c r="U29" s="152"/>
      <c r="V29" s="152"/>
      <c r="W29" s="152"/>
      <c r="X29" s="152"/>
      <c r="Y29" s="152"/>
      <c r="Z29" s="152"/>
      <c r="AA29" s="152"/>
    </row>
    <row r="30" ht="39.75" customHeight="1">
      <c r="A30" s="187"/>
      <c r="B30" s="164" t="s">
        <v>1101</v>
      </c>
      <c r="C30" s="164" t="s">
        <v>121</v>
      </c>
      <c r="D30" s="164" t="s">
        <v>122</v>
      </c>
      <c r="E30" s="165">
        <v>5.0</v>
      </c>
      <c r="F30" s="165" t="s">
        <v>123</v>
      </c>
      <c r="G30" s="164">
        <v>4.0</v>
      </c>
      <c r="H30" s="164" t="s">
        <v>1101</v>
      </c>
      <c r="I30" s="163" t="s">
        <v>1035</v>
      </c>
      <c r="J30" s="163" t="s">
        <v>202</v>
      </c>
      <c r="K30" s="163" t="s">
        <v>1008</v>
      </c>
      <c r="L30" s="163" t="s">
        <v>126</v>
      </c>
      <c r="M30" s="163" t="s">
        <v>575</v>
      </c>
      <c r="N30" s="166" t="s">
        <v>1013</v>
      </c>
      <c r="O30" s="164" t="s">
        <v>255</v>
      </c>
      <c r="P30" s="167" t="s">
        <v>255</v>
      </c>
      <c r="Q30" s="164" t="s">
        <v>1119</v>
      </c>
      <c r="R30" s="152"/>
      <c r="S30" s="152"/>
      <c r="T30" s="152"/>
      <c r="U30" s="152"/>
      <c r="V30" s="152"/>
      <c r="W30" s="152"/>
      <c r="X30" s="152"/>
      <c r="Y30" s="152"/>
      <c r="Z30" s="152"/>
      <c r="AA30" s="152"/>
    </row>
    <row r="31" ht="39.75" customHeight="1">
      <c r="A31" s="185"/>
      <c r="B31" s="163" t="s">
        <v>1129</v>
      </c>
      <c r="C31" s="164" t="s">
        <v>1131</v>
      </c>
      <c r="D31" s="164" t="s">
        <v>1134</v>
      </c>
      <c r="E31" s="165">
        <v>1.0</v>
      </c>
      <c r="F31" s="165">
        <v>3.0</v>
      </c>
      <c r="G31" s="164" t="s">
        <v>123</v>
      </c>
      <c r="H31" s="163" t="s">
        <v>1129</v>
      </c>
      <c r="I31" s="163" t="s">
        <v>1142</v>
      </c>
      <c r="J31" s="163" t="s">
        <v>202</v>
      </c>
      <c r="K31" s="163" t="s">
        <v>1039</v>
      </c>
      <c r="L31" s="163" t="s">
        <v>126</v>
      </c>
      <c r="M31" s="193" t="s">
        <v>1148</v>
      </c>
      <c r="N31" s="191" t="s">
        <v>1151</v>
      </c>
      <c r="O31" s="164" t="s">
        <v>1046</v>
      </c>
      <c r="P31" s="167" t="s">
        <v>1046</v>
      </c>
      <c r="Q31" s="164" t="s">
        <v>1156</v>
      </c>
      <c r="R31" s="152"/>
      <c r="S31" s="152"/>
      <c r="T31" s="152"/>
      <c r="U31" s="152"/>
      <c r="V31" s="152"/>
      <c r="W31" s="152"/>
      <c r="X31" s="152"/>
      <c r="Y31" s="152"/>
      <c r="Z31" s="152"/>
      <c r="AA31" s="152"/>
    </row>
    <row r="32" ht="39.75" customHeight="1">
      <c r="A32" s="185"/>
      <c r="B32" s="163" t="s">
        <v>1166</v>
      </c>
      <c r="C32" s="164" t="s">
        <v>121</v>
      </c>
      <c r="D32" s="164" t="s">
        <v>122</v>
      </c>
      <c r="E32" s="165">
        <v>2.0</v>
      </c>
      <c r="F32" s="165">
        <v>4.0</v>
      </c>
      <c r="G32" s="164" t="s">
        <v>123</v>
      </c>
      <c r="H32" s="163" t="s">
        <v>1166</v>
      </c>
      <c r="I32" s="163" t="s">
        <v>1170</v>
      </c>
      <c r="J32" s="163" t="s">
        <v>202</v>
      </c>
      <c r="K32" s="163" t="s">
        <v>1171</v>
      </c>
      <c r="L32" s="163" t="s">
        <v>126</v>
      </c>
      <c r="M32" s="163">
        <v>2.0</v>
      </c>
      <c r="N32" s="191" t="s">
        <v>1044</v>
      </c>
      <c r="O32" s="164" t="s">
        <v>1046</v>
      </c>
      <c r="P32" s="167" t="s">
        <v>1046</v>
      </c>
      <c r="Q32" s="164" t="s">
        <v>1175</v>
      </c>
      <c r="R32" s="152"/>
      <c r="S32" s="152"/>
      <c r="T32" s="152"/>
      <c r="U32" s="152"/>
      <c r="V32" s="152"/>
      <c r="W32" s="152"/>
      <c r="X32" s="152"/>
      <c r="Y32" s="152"/>
      <c r="Z32" s="152"/>
      <c r="AA32" s="152"/>
    </row>
    <row r="33" ht="39.75" customHeight="1">
      <c r="A33" s="187"/>
      <c r="B33" s="164" t="s">
        <v>1188</v>
      </c>
      <c r="C33" s="164" t="s">
        <v>121</v>
      </c>
      <c r="D33" s="164" t="s">
        <v>122</v>
      </c>
      <c r="E33" s="165" t="s">
        <v>123</v>
      </c>
      <c r="F33" s="165">
        <v>0.4</v>
      </c>
      <c r="G33" s="164" t="s">
        <v>123</v>
      </c>
      <c r="H33" s="163" t="s">
        <v>1188</v>
      </c>
      <c r="I33" s="163" t="s">
        <v>1199</v>
      </c>
      <c r="J33" s="163" t="s">
        <v>202</v>
      </c>
      <c r="K33" s="163" t="s">
        <v>1203</v>
      </c>
      <c r="L33" s="163" t="s">
        <v>126</v>
      </c>
      <c r="M33" s="163">
        <v>1.0</v>
      </c>
      <c r="N33" s="191" t="s">
        <v>1207</v>
      </c>
      <c r="O33" s="164" t="s">
        <v>1046</v>
      </c>
      <c r="P33" s="167" t="s">
        <v>1046</v>
      </c>
      <c r="Q33" s="164" t="s">
        <v>1212</v>
      </c>
      <c r="R33" s="194"/>
      <c r="S33" s="194"/>
      <c r="T33" s="194"/>
      <c r="U33" s="194"/>
      <c r="V33" s="194"/>
      <c r="W33" s="194"/>
      <c r="X33" s="194"/>
      <c r="Y33" s="194"/>
      <c r="Z33" s="194"/>
      <c r="AA33" s="194"/>
    </row>
    <row r="34" ht="39.75" customHeight="1">
      <c r="A34" s="185"/>
      <c r="B34" s="163" t="s">
        <v>1229</v>
      </c>
      <c r="C34" s="164" t="s">
        <v>121</v>
      </c>
      <c r="D34" s="164" t="s">
        <v>1233</v>
      </c>
      <c r="E34" s="165">
        <v>0.2</v>
      </c>
      <c r="F34" s="165" t="s">
        <v>123</v>
      </c>
      <c r="G34" s="164" t="s">
        <v>123</v>
      </c>
      <c r="H34" s="163" t="s">
        <v>1229</v>
      </c>
      <c r="I34" s="163" t="s">
        <v>1241</v>
      </c>
      <c r="J34" s="163" t="s">
        <v>968</v>
      </c>
      <c r="K34" s="163" t="s">
        <v>1246</v>
      </c>
      <c r="L34" s="163" t="s">
        <v>126</v>
      </c>
      <c r="M34" s="163">
        <v>1.6</v>
      </c>
      <c r="N34" s="191" t="s">
        <v>1250</v>
      </c>
      <c r="O34" s="164" t="s">
        <v>214</v>
      </c>
      <c r="P34" s="167" t="s">
        <v>214</v>
      </c>
      <c r="Q34" s="164" t="s">
        <v>1256</v>
      </c>
      <c r="R34" s="152"/>
      <c r="S34" s="152"/>
      <c r="T34" s="152"/>
      <c r="U34" s="152"/>
      <c r="V34" s="152"/>
      <c r="W34" s="152"/>
      <c r="X34" s="152"/>
      <c r="Y34" s="152"/>
      <c r="Z34" s="152"/>
      <c r="AA34" s="152"/>
    </row>
    <row r="35" ht="39.75" customHeight="1">
      <c r="A35" s="185"/>
      <c r="B35" s="163" t="s">
        <v>1266</v>
      </c>
      <c r="C35" s="164" t="s">
        <v>121</v>
      </c>
      <c r="D35" s="164" t="s">
        <v>122</v>
      </c>
      <c r="E35" s="165">
        <v>5.0</v>
      </c>
      <c r="F35" s="165">
        <v>15.0</v>
      </c>
      <c r="G35" s="164" t="s">
        <v>123</v>
      </c>
      <c r="H35" s="163" t="s">
        <v>1266</v>
      </c>
      <c r="I35" s="163" t="s">
        <v>1276</v>
      </c>
      <c r="J35" s="163" t="s">
        <v>134</v>
      </c>
      <c r="K35" s="163" t="s">
        <v>265</v>
      </c>
      <c r="L35" s="163" t="s">
        <v>126</v>
      </c>
      <c r="M35" s="163" t="s">
        <v>127</v>
      </c>
      <c r="N35" s="166" t="s">
        <v>1284</v>
      </c>
      <c r="O35" s="164"/>
      <c r="P35" s="167"/>
      <c r="Q35" s="164" t="s">
        <v>1289</v>
      </c>
      <c r="R35" s="152"/>
      <c r="S35" s="152"/>
      <c r="T35" s="152"/>
      <c r="U35" s="152"/>
      <c r="V35" s="152"/>
      <c r="W35" s="152"/>
      <c r="X35" s="152"/>
      <c r="Y35" s="152"/>
      <c r="Z35" s="152"/>
      <c r="AA35" s="152"/>
    </row>
    <row r="36" ht="39.75" customHeight="1">
      <c r="A36" s="187"/>
      <c r="B36" s="164" t="s">
        <v>1298</v>
      </c>
      <c r="C36" s="164"/>
      <c r="D36" s="164" t="s">
        <v>122</v>
      </c>
      <c r="E36" s="165">
        <v>2.0</v>
      </c>
      <c r="F36" s="165"/>
      <c r="G36" s="164">
        <v>8.0</v>
      </c>
      <c r="H36" s="164" t="s">
        <v>1298</v>
      </c>
      <c r="I36" s="163" t="s">
        <v>1309</v>
      </c>
      <c r="J36" s="163" t="s">
        <v>134</v>
      </c>
      <c r="K36" s="163" t="s">
        <v>1313</v>
      </c>
      <c r="L36" s="163" t="s">
        <v>970</v>
      </c>
      <c r="M36" s="163" t="s">
        <v>127</v>
      </c>
      <c r="N36" s="191" t="s">
        <v>1148</v>
      </c>
      <c r="O36" s="164" t="s">
        <v>1319</v>
      </c>
      <c r="P36" s="167" t="s">
        <v>138</v>
      </c>
      <c r="Q36" s="164" t="s">
        <v>1323</v>
      </c>
      <c r="R36" s="152"/>
      <c r="S36" s="152"/>
      <c r="T36" s="152"/>
      <c r="U36" s="152"/>
      <c r="V36" s="152"/>
      <c r="W36" s="152"/>
      <c r="X36" s="152"/>
      <c r="Y36" s="152"/>
      <c r="Z36" s="152"/>
      <c r="AA36" s="152"/>
    </row>
    <row r="37" ht="39.75" customHeight="1">
      <c r="A37" s="187"/>
      <c r="B37" s="164" t="s">
        <v>1334</v>
      </c>
      <c r="C37" s="164" t="s">
        <v>1336</v>
      </c>
      <c r="D37" s="164" t="s">
        <v>122</v>
      </c>
      <c r="E37" s="165">
        <v>2.0</v>
      </c>
      <c r="F37" s="165" t="s">
        <v>123</v>
      </c>
      <c r="G37" s="164">
        <v>16.0</v>
      </c>
      <c r="H37" s="164" t="s">
        <v>1334</v>
      </c>
      <c r="I37" s="163" t="s">
        <v>1346</v>
      </c>
      <c r="J37" s="163" t="s">
        <v>134</v>
      </c>
      <c r="K37" s="163" t="s">
        <v>1349</v>
      </c>
      <c r="L37" s="163" t="s">
        <v>970</v>
      </c>
      <c r="M37" s="163" t="s">
        <v>127</v>
      </c>
      <c r="N37" s="191" t="s">
        <v>1355</v>
      </c>
      <c r="O37" s="164" t="s">
        <v>1357</v>
      </c>
      <c r="P37" s="167" t="s">
        <v>255</v>
      </c>
      <c r="Q37" s="164" t="s">
        <v>1361</v>
      </c>
      <c r="R37" s="152"/>
      <c r="S37" s="152"/>
      <c r="T37" s="152"/>
      <c r="U37" s="152"/>
      <c r="V37" s="152"/>
      <c r="W37" s="152"/>
      <c r="X37" s="152"/>
      <c r="Y37" s="152"/>
      <c r="Z37" s="152"/>
      <c r="AA37" s="152"/>
    </row>
    <row r="38" ht="39.75" customHeight="1">
      <c r="A38" s="187"/>
      <c r="B38" s="164" t="s">
        <v>1371</v>
      </c>
      <c r="C38" s="164" t="s">
        <v>121</v>
      </c>
      <c r="D38" s="164" t="s">
        <v>122</v>
      </c>
      <c r="E38" s="165" t="s">
        <v>123</v>
      </c>
      <c r="F38" s="165">
        <v>1000.0</v>
      </c>
      <c r="G38" s="164">
        <v>780.0</v>
      </c>
      <c r="H38" s="164" t="s">
        <v>1371</v>
      </c>
      <c r="I38" s="163" t="s">
        <v>967</v>
      </c>
      <c r="J38" s="163" t="s">
        <v>134</v>
      </c>
      <c r="K38" s="163" t="s">
        <v>175</v>
      </c>
      <c r="L38" s="163" t="s">
        <v>126</v>
      </c>
      <c r="M38" s="163" t="s">
        <v>164</v>
      </c>
      <c r="N38" s="191" t="s">
        <v>1391</v>
      </c>
      <c r="O38" s="164" t="s">
        <v>167</v>
      </c>
      <c r="P38" s="167" t="s">
        <v>167</v>
      </c>
      <c r="Q38" s="164" t="s">
        <v>1395</v>
      </c>
      <c r="R38" s="152"/>
      <c r="S38" s="152"/>
      <c r="T38" s="152"/>
      <c r="U38" s="152"/>
      <c r="V38" s="152"/>
      <c r="W38" s="152"/>
      <c r="X38" s="152"/>
      <c r="Y38" s="152"/>
      <c r="Z38" s="152"/>
      <c r="AA38" s="152"/>
    </row>
    <row r="39" ht="39.75" customHeight="1">
      <c r="A39" s="185"/>
      <c r="B39" s="163" t="s">
        <v>1405</v>
      </c>
      <c r="C39" s="164" t="s">
        <v>121</v>
      </c>
      <c r="D39" s="164" t="s">
        <v>122</v>
      </c>
      <c r="E39" s="165">
        <v>200.0</v>
      </c>
      <c r="F39" s="165">
        <v>400.0</v>
      </c>
      <c r="G39" s="164">
        <v>310.0</v>
      </c>
      <c r="H39" s="163" t="s">
        <v>1405</v>
      </c>
      <c r="I39" s="163" t="s">
        <v>1415</v>
      </c>
      <c r="J39" s="163" t="s">
        <v>134</v>
      </c>
      <c r="K39" s="163" t="s">
        <v>175</v>
      </c>
      <c r="L39" s="163" t="s">
        <v>126</v>
      </c>
      <c r="M39" s="163" t="s">
        <v>127</v>
      </c>
      <c r="N39" s="166" t="s">
        <v>178</v>
      </c>
      <c r="O39" s="164" t="s">
        <v>167</v>
      </c>
      <c r="P39" s="167" t="s">
        <v>167</v>
      </c>
      <c r="Q39" s="164" t="s">
        <v>1426</v>
      </c>
      <c r="R39" s="152"/>
      <c r="S39" s="152"/>
      <c r="T39" s="152"/>
      <c r="U39" s="152"/>
      <c r="V39" s="152"/>
      <c r="W39" s="152"/>
      <c r="X39" s="152"/>
      <c r="Y39" s="152"/>
      <c r="Z39" s="152"/>
      <c r="AA39" s="152"/>
    </row>
    <row r="40" ht="39.75" customHeight="1">
      <c r="A40" s="185"/>
      <c r="B40" s="163" t="s">
        <v>1436</v>
      </c>
      <c r="C40" s="164" t="s">
        <v>121</v>
      </c>
      <c r="D40" s="164" t="s">
        <v>122</v>
      </c>
      <c r="E40" s="165">
        <v>200.0</v>
      </c>
      <c r="F40" s="165">
        <v>250.0</v>
      </c>
      <c r="G40" s="164">
        <v>156.0</v>
      </c>
      <c r="H40" s="163" t="s">
        <v>1436</v>
      </c>
      <c r="I40" s="163" t="s">
        <v>1446</v>
      </c>
      <c r="J40" s="163" t="s">
        <v>134</v>
      </c>
      <c r="K40" s="163" t="s">
        <v>175</v>
      </c>
      <c r="L40" s="163" t="s">
        <v>126</v>
      </c>
      <c r="M40" s="163" t="s">
        <v>127</v>
      </c>
      <c r="N40" s="166" t="s">
        <v>1453</v>
      </c>
      <c r="O40" s="164"/>
      <c r="P40" s="167"/>
      <c r="Q40" s="164" t="s">
        <v>1459</v>
      </c>
      <c r="R40" s="152"/>
      <c r="S40" s="152"/>
      <c r="T40" s="152"/>
      <c r="U40" s="152"/>
      <c r="V40" s="152"/>
      <c r="W40" s="152"/>
      <c r="X40" s="152"/>
      <c r="Y40" s="152"/>
      <c r="Z40" s="152"/>
      <c r="AA40" s="152"/>
    </row>
    <row r="41" ht="39.75" customHeight="1">
      <c r="A41" s="187"/>
      <c r="B41" s="164" t="s">
        <v>1468</v>
      </c>
      <c r="C41" s="164" t="s">
        <v>121</v>
      </c>
      <c r="D41" s="164" t="s">
        <v>122</v>
      </c>
      <c r="E41" s="165">
        <v>20.0</v>
      </c>
      <c r="F41" s="165" t="s">
        <v>123</v>
      </c>
      <c r="G41" s="164">
        <v>40.0</v>
      </c>
      <c r="H41" s="164" t="s">
        <v>1468</v>
      </c>
      <c r="I41" s="163" t="s">
        <v>149</v>
      </c>
      <c r="J41" s="163" t="s">
        <v>134</v>
      </c>
      <c r="K41" s="163" t="s">
        <v>1479</v>
      </c>
      <c r="L41" s="163" t="s">
        <v>126</v>
      </c>
      <c r="M41" s="163" t="s">
        <v>127</v>
      </c>
      <c r="N41" s="191" t="s">
        <v>1484</v>
      </c>
      <c r="O41" s="164"/>
      <c r="P41" s="167"/>
      <c r="Q41" s="164" t="s">
        <v>1488</v>
      </c>
      <c r="R41" s="152"/>
      <c r="S41" s="152"/>
      <c r="T41" s="152"/>
      <c r="U41" s="152"/>
      <c r="V41" s="152"/>
      <c r="W41" s="152"/>
      <c r="X41" s="152"/>
      <c r="Y41" s="152"/>
      <c r="Z41" s="152"/>
      <c r="AA41" s="152"/>
    </row>
    <row r="42" ht="39.75" customHeight="1">
      <c r="A42" s="187"/>
      <c r="B42" s="164" t="s">
        <v>79</v>
      </c>
      <c r="C42" s="164" t="s">
        <v>121</v>
      </c>
      <c r="D42" s="164" t="s">
        <v>1502</v>
      </c>
      <c r="E42" s="165">
        <v>1.0</v>
      </c>
      <c r="F42" s="165" t="s">
        <v>123</v>
      </c>
      <c r="G42" s="164" t="s">
        <v>123</v>
      </c>
      <c r="H42" s="164" t="s">
        <v>79</v>
      </c>
      <c r="I42" s="163" t="s">
        <v>1509</v>
      </c>
      <c r="J42" s="163" t="s">
        <v>968</v>
      </c>
      <c r="K42" s="163" t="s">
        <v>969</v>
      </c>
      <c r="L42" s="163" t="s">
        <v>970</v>
      </c>
      <c r="M42" s="163">
        <v>1.7</v>
      </c>
      <c r="N42" s="191" t="s">
        <v>1516</v>
      </c>
      <c r="O42" s="164" t="s">
        <v>1046</v>
      </c>
      <c r="P42" s="167" t="s">
        <v>1046</v>
      </c>
      <c r="Q42" s="164" t="s">
        <v>1520</v>
      </c>
      <c r="R42" s="152"/>
      <c r="S42" s="152"/>
      <c r="T42" s="152"/>
      <c r="U42" s="152"/>
      <c r="V42" s="152"/>
      <c r="W42" s="152"/>
      <c r="X42" s="152"/>
      <c r="Y42" s="152"/>
      <c r="Z42" s="152"/>
      <c r="AA42" s="152"/>
    </row>
    <row r="43" ht="39.75" customHeight="1">
      <c r="A43" s="187"/>
      <c r="B43" s="164" t="s">
        <v>1529</v>
      </c>
      <c r="C43" s="164" t="s">
        <v>1532</v>
      </c>
      <c r="D43" s="164" t="s">
        <v>1534</v>
      </c>
      <c r="E43" s="165">
        <v>0.1</v>
      </c>
      <c r="F43" s="165" t="s">
        <v>123</v>
      </c>
      <c r="G43" s="164" t="s">
        <v>123</v>
      </c>
      <c r="H43" s="164" t="s">
        <v>1529</v>
      </c>
      <c r="I43" s="163" t="s">
        <v>1555</v>
      </c>
      <c r="J43" s="163" t="s">
        <v>1557</v>
      </c>
      <c r="K43" s="163" t="s">
        <v>1560</v>
      </c>
      <c r="L43" s="163" t="s">
        <v>1562</v>
      </c>
      <c r="M43" s="163">
        <v>2.0</v>
      </c>
      <c r="N43" s="191" t="s">
        <v>1566</v>
      </c>
      <c r="O43" s="164"/>
      <c r="P43" s="167" t="s">
        <v>1570</v>
      </c>
      <c r="Q43" s="164"/>
      <c r="R43" s="152"/>
      <c r="S43" s="152"/>
      <c r="T43" s="152"/>
      <c r="U43" s="152"/>
      <c r="V43" s="152"/>
      <c r="W43" s="152"/>
      <c r="X43" s="152"/>
      <c r="Y43" s="152"/>
      <c r="Z43" s="152"/>
      <c r="AA43" s="152"/>
    </row>
    <row r="44" ht="39.75" customHeight="1">
      <c r="A44" s="185"/>
      <c r="B44" s="163" t="s">
        <v>1581</v>
      </c>
      <c r="C44" s="164" t="s">
        <v>121</v>
      </c>
      <c r="D44" s="164" t="s">
        <v>122</v>
      </c>
      <c r="E44" s="165">
        <v>25.0</v>
      </c>
      <c r="F44" s="165">
        <v>35.0</v>
      </c>
      <c r="G44" s="164">
        <v>20.0</v>
      </c>
      <c r="H44" s="163" t="s">
        <v>1581</v>
      </c>
      <c r="I44" s="163" t="s">
        <v>1590</v>
      </c>
      <c r="J44" s="163" t="s">
        <v>968</v>
      </c>
      <c r="K44" s="163" t="s">
        <v>1594</v>
      </c>
      <c r="L44" s="163" t="s">
        <v>126</v>
      </c>
      <c r="M44" s="163" t="s">
        <v>1597</v>
      </c>
      <c r="N44" s="191" t="s">
        <v>1600</v>
      </c>
      <c r="O44" s="164" t="s">
        <v>251</v>
      </c>
      <c r="P44" s="167" t="s">
        <v>251</v>
      </c>
      <c r="Q44" s="164" t="s">
        <v>1605</v>
      </c>
      <c r="R44" s="152"/>
      <c r="S44" s="152"/>
      <c r="T44" s="152"/>
      <c r="U44" s="152"/>
      <c r="V44" s="152"/>
      <c r="W44" s="152"/>
      <c r="X44" s="152"/>
      <c r="Y44" s="152"/>
      <c r="Z44" s="152"/>
      <c r="AA44" s="152"/>
    </row>
    <row r="45" ht="39.75" customHeight="1">
      <c r="A45" s="185"/>
      <c r="B45" s="163" t="s">
        <v>81</v>
      </c>
      <c r="C45" s="164" t="s">
        <v>121</v>
      </c>
      <c r="D45" s="164" t="s">
        <v>1610</v>
      </c>
      <c r="E45" s="165">
        <v>0.5</v>
      </c>
      <c r="F45" s="165" t="s">
        <v>123</v>
      </c>
      <c r="G45" s="164" t="s">
        <v>123</v>
      </c>
      <c r="H45" s="163" t="s">
        <v>81</v>
      </c>
      <c r="I45" s="163" t="s">
        <v>1611</v>
      </c>
      <c r="J45" s="163" t="s">
        <v>968</v>
      </c>
      <c r="K45" s="163" t="s">
        <v>969</v>
      </c>
      <c r="L45" s="163" t="s">
        <v>970</v>
      </c>
      <c r="M45" s="168" t="s">
        <v>971</v>
      </c>
      <c r="N45" s="191" t="s">
        <v>1516</v>
      </c>
      <c r="O45" s="164" t="s">
        <v>1046</v>
      </c>
      <c r="P45" s="167" t="s">
        <v>1046</v>
      </c>
      <c r="Q45" s="164" t="s">
        <v>1612</v>
      </c>
      <c r="R45" s="152"/>
      <c r="S45" s="152"/>
      <c r="T45" s="152"/>
      <c r="U45" s="152"/>
      <c r="V45" s="152"/>
      <c r="W45" s="152"/>
      <c r="X45" s="152"/>
      <c r="Y45" s="152"/>
      <c r="Z45" s="152"/>
      <c r="AA45" s="152"/>
    </row>
    <row r="46" ht="39.75" customHeight="1">
      <c r="A46" s="187"/>
      <c r="B46" s="164" t="s">
        <v>95</v>
      </c>
      <c r="C46" s="164" t="s">
        <v>1613</v>
      </c>
      <c r="D46" s="164" t="s">
        <v>1614</v>
      </c>
      <c r="E46" s="165">
        <v>0.01</v>
      </c>
      <c r="F46" s="165" t="s">
        <v>123</v>
      </c>
      <c r="G46" s="164" t="s">
        <v>123</v>
      </c>
      <c r="H46" s="164" t="s">
        <v>95</v>
      </c>
      <c r="I46" s="163" t="s">
        <v>1615</v>
      </c>
      <c r="J46" s="163" t="s">
        <v>968</v>
      </c>
      <c r="K46" s="163" t="s">
        <v>969</v>
      </c>
      <c r="L46" s="163" t="s">
        <v>970</v>
      </c>
      <c r="M46" s="168" t="s">
        <v>971</v>
      </c>
      <c r="N46" s="166" t="s">
        <v>1516</v>
      </c>
      <c r="O46" s="164" t="s">
        <v>1046</v>
      </c>
      <c r="P46" s="167" t="s">
        <v>1046</v>
      </c>
      <c r="Q46" s="164" t="s">
        <v>1212</v>
      </c>
      <c r="R46" s="152"/>
      <c r="S46" s="152"/>
      <c r="T46" s="152"/>
      <c r="U46" s="152"/>
      <c r="V46" s="152"/>
      <c r="W46" s="152"/>
      <c r="X46" s="152"/>
      <c r="Y46" s="152"/>
      <c r="Z46" s="152"/>
      <c r="AA46" s="152"/>
    </row>
    <row r="47" ht="39.75" customHeight="1">
      <c r="A47" s="187"/>
      <c r="B47" s="164" t="s">
        <v>105</v>
      </c>
      <c r="C47" s="164" t="s">
        <v>121</v>
      </c>
      <c r="D47" s="164" t="s">
        <v>1616</v>
      </c>
      <c r="E47" s="165">
        <v>0.5</v>
      </c>
      <c r="F47" s="165" t="s">
        <v>123</v>
      </c>
      <c r="G47" s="164" t="s">
        <v>123</v>
      </c>
      <c r="H47" s="164" t="s">
        <v>105</v>
      </c>
      <c r="I47" s="163" t="s">
        <v>1617</v>
      </c>
      <c r="J47" s="163" t="s">
        <v>968</v>
      </c>
      <c r="K47" s="163" t="s">
        <v>969</v>
      </c>
      <c r="L47" s="163" t="s">
        <v>970</v>
      </c>
      <c r="M47" s="168" t="s">
        <v>971</v>
      </c>
      <c r="N47" s="191" t="s">
        <v>1516</v>
      </c>
      <c r="O47" s="164" t="s">
        <v>214</v>
      </c>
      <c r="P47" s="167" t="s">
        <v>214</v>
      </c>
      <c r="Q47" s="164" t="s">
        <v>1619</v>
      </c>
      <c r="R47" s="152"/>
      <c r="S47" s="152"/>
      <c r="T47" s="152"/>
      <c r="U47" s="152"/>
      <c r="V47" s="152"/>
      <c r="W47" s="152"/>
      <c r="X47" s="152"/>
      <c r="Y47" s="152"/>
      <c r="Z47" s="152"/>
      <c r="AA47" s="152"/>
    </row>
    <row r="48" ht="39.75" customHeight="1">
      <c r="A48" s="185"/>
      <c r="B48" s="163" t="s">
        <v>45</v>
      </c>
      <c r="C48" s="164" t="s">
        <v>1627</v>
      </c>
      <c r="D48" s="164" t="s">
        <v>122</v>
      </c>
      <c r="E48" s="165">
        <v>0.02</v>
      </c>
      <c r="F48" s="165" t="s">
        <v>123</v>
      </c>
      <c r="G48" s="164" t="s">
        <v>123</v>
      </c>
      <c r="H48" s="163" t="s">
        <v>45</v>
      </c>
      <c r="I48" s="163" t="s">
        <v>1638</v>
      </c>
      <c r="J48" s="163" t="s">
        <v>134</v>
      </c>
      <c r="K48" s="163" t="s">
        <v>1642</v>
      </c>
      <c r="L48" s="163" t="s">
        <v>126</v>
      </c>
      <c r="M48" s="163" t="s">
        <v>127</v>
      </c>
      <c r="N48" s="191" t="s">
        <v>128</v>
      </c>
      <c r="O48" s="164" t="s">
        <v>1648</v>
      </c>
      <c r="P48" s="167" t="s">
        <v>1648</v>
      </c>
      <c r="Q48" s="164" t="s">
        <v>1652</v>
      </c>
      <c r="R48" s="152"/>
      <c r="S48" s="152"/>
      <c r="T48" s="152"/>
      <c r="U48" s="152"/>
      <c r="V48" s="152"/>
      <c r="W48" s="152"/>
      <c r="X48" s="152"/>
      <c r="Y48" s="152"/>
      <c r="Z48" s="152"/>
      <c r="AA48" s="152"/>
    </row>
    <row r="49" ht="39.75" customHeight="1">
      <c r="A49" s="185"/>
      <c r="B49" s="163" t="s">
        <v>1660</v>
      </c>
      <c r="C49" s="164" t="s">
        <v>1662</v>
      </c>
      <c r="D49" s="164" t="s">
        <v>1666</v>
      </c>
      <c r="E49" s="165">
        <v>5.0E-5</v>
      </c>
      <c r="F49" s="165" t="s">
        <v>123</v>
      </c>
      <c r="G49" s="164"/>
      <c r="H49" s="163" t="s">
        <v>1660</v>
      </c>
      <c r="I49" s="163" t="s">
        <v>1674</v>
      </c>
      <c r="J49" s="163" t="s">
        <v>968</v>
      </c>
      <c r="K49" s="163" t="s">
        <v>969</v>
      </c>
      <c r="L49" s="163" t="s">
        <v>970</v>
      </c>
      <c r="M49" s="163" t="s">
        <v>1678</v>
      </c>
      <c r="N49" s="191" t="s">
        <v>1679</v>
      </c>
      <c r="O49" s="164">
        <v>1.0</v>
      </c>
      <c r="P49" s="167">
        <v>1.0</v>
      </c>
      <c r="Q49" s="163" t="s">
        <v>1680</v>
      </c>
      <c r="R49" s="152"/>
      <c r="S49" s="152"/>
      <c r="T49" s="152"/>
      <c r="U49" s="152"/>
      <c r="V49" s="152"/>
      <c r="W49" s="152"/>
      <c r="X49" s="152"/>
      <c r="Y49" s="152"/>
      <c r="Z49" s="152"/>
      <c r="AA49" s="152"/>
    </row>
    <row r="50" ht="60.75" customHeight="1">
      <c r="A50" s="185"/>
      <c r="B50" s="163" t="s">
        <v>1691</v>
      </c>
      <c r="C50" s="164" t="s">
        <v>121</v>
      </c>
      <c r="D50" s="164" t="s">
        <v>1695</v>
      </c>
      <c r="E50" s="165">
        <v>2.0</v>
      </c>
      <c r="F50" s="165">
        <v>6.0</v>
      </c>
      <c r="G50" s="164" t="s">
        <v>123</v>
      </c>
      <c r="H50" s="163" t="s">
        <v>1691</v>
      </c>
      <c r="I50" s="163" t="s">
        <v>967</v>
      </c>
      <c r="J50" s="163" t="s">
        <v>968</v>
      </c>
      <c r="K50" s="163" t="s">
        <v>969</v>
      </c>
      <c r="L50" s="163" t="s">
        <v>970</v>
      </c>
      <c r="M50" s="163">
        <v>2.0</v>
      </c>
      <c r="N50" s="191" t="s">
        <v>1679</v>
      </c>
      <c r="O50" s="164">
        <v>5.0</v>
      </c>
      <c r="P50" s="167">
        <v>5.0</v>
      </c>
      <c r="Q50" s="164" t="s">
        <v>1714</v>
      </c>
      <c r="R50" s="152"/>
      <c r="S50" s="152"/>
      <c r="T50" s="152"/>
      <c r="U50" s="152"/>
      <c r="V50" s="152"/>
      <c r="W50" s="152"/>
      <c r="X50" s="152"/>
      <c r="Y50" s="152"/>
      <c r="Z50" s="152"/>
      <c r="AA50" s="152"/>
    </row>
    <row r="51" ht="39.75" customHeight="1">
      <c r="A51" s="185"/>
      <c r="B51" s="163" t="s">
        <v>1724</v>
      </c>
      <c r="C51" s="164" t="s">
        <v>121</v>
      </c>
      <c r="D51" s="164" t="s">
        <v>1728</v>
      </c>
      <c r="E51" s="165">
        <v>1.76</v>
      </c>
      <c r="F51" s="165">
        <v>5.28</v>
      </c>
      <c r="G51" s="164" t="s">
        <v>123</v>
      </c>
      <c r="H51" s="163" t="s">
        <v>1724</v>
      </c>
      <c r="I51" s="163" t="s">
        <v>967</v>
      </c>
      <c r="J51" s="163" t="s">
        <v>968</v>
      </c>
      <c r="K51" s="163" t="s">
        <v>969</v>
      </c>
      <c r="L51" s="163" t="s">
        <v>970</v>
      </c>
      <c r="M51" s="168" t="s">
        <v>971</v>
      </c>
      <c r="N51" s="191" t="s">
        <v>974</v>
      </c>
      <c r="O51" s="164">
        <v>5.0</v>
      </c>
      <c r="P51" s="167">
        <v>5.0</v>
      </c>
      <c r="Q51" s="164" t="s">
        <v>1748</v>
      </c>
      <c r="R51" s="152"/>
      <c r="S51" s="152"/>
      <c r="T51" s="152"/>
      <c r="U51" s="152"/>
      <c r="V51" s="152"/>
      <c r="W51" s="152"/>
      <c r="X51" s="152"/>
      <c r="Y51" s="152"/>
      <c r="Z51" s="152"/>
      <c r="AA51" s="152"/>
    </row>
    <row r="52" ht="39.75" customHeight="1">
      <c r="A52" s="187"/>
      <c r="B52" s="164" t="s">
        <v>1759</v>
      </c>
      <c r="C52" s="164" t="s">
        <v>1761</v>
      </c>
      <c r="D52" s="164" t="s">
        <v>122</v>
      </c>
      <c r="E52" s="165">
        <v>0.1</v>
      </c>
      <c r="F52" s="165">
        <v>0.2</v>
      </c>
      <c r="G52" s="164">
        <v>0.08</v>
      </c>
      <c r="H52" s="164" t="s">
        <v>1759</v>
      </c>
      <c r="I52" s="163" t="s">
        <v>1771</v>
      </c>
      <c r="J52" s="163" t="s">
        <v>1773</v>
      </c>
      <c r="K52" s="163" t="s">
        <v>1775</v>
      </c>
      <c r="L52" s="163" t="s">
        <v>126</v>
      </c>
      <c r="M52" s="203">
        <v>0.5</v>
      </c>
      <c r="N52" s="166" t="s">
        <v>1779</v>
      </c>
      <c r="O52" s="164" t="s">
        <v>255</v>
      </c>
      <c r="P52" s="167" t="s">
        <v>255</v>
      </c>
      <c r="Q52" s="164" t="s">
        <v>1783</v>
      </c>
      <c r="R52" s="152"/>
      <c r="S52" s="152"/>
      <c r="T52" s="152"/>
      <c r="U52" s="152"/>
      <c r="V52" s="152"/>
      <c r="W52" s="152"/>
      <c r="X52" s="152"/>
      <c r="Y52" s="152"/>
      <c r="Z52" s="152"/>
      <c r="AA52" s="152"/>
    </row>
    <row r="53" ht="39.75" customHeight="1">
      <c r="A53" s="185"/>
      <c r="B53" s="163" t="s">
        <v>1790</v>
      </c>
      <c r="C53" s="164" t="s">
        <v>1793</v>
      </c>
      <c r="D53" s="164" t="s">
        <v>122</v>
      </c>
      <c r="E53" s="165" t="s">
        <v>123</v>
      </c>
      <c r="F53" s="165">
        <v>1000.0</v>
      </c>
      <c r="G53" s="164">
        <v>470.0</v>
      </c>
      <c r="H53" s="163" t="s">
        <v>1790</v>
      </c>
      <c r="I53" s="163" t="s">
        <v>1803</v>
      </c>
      <c r="J53" s="163" t="s">
        <v>1805</v>
      </c>
      <c r="K53" s="163" t="s">
        <v>1806</v>
      </c>
      <c r="L53" s="163" t="s">
        <v>126</v>
      </c>
      <c r="M53" s="163" t="s">
        <v>127</v>
      </c>
      <c r="N53" s="191" t="s">
        <v>1811</v>
      </c>
      <c r="O53" s="164" t="s">
        <v>214</v>
      </c>
      <c r="P53" s="167" t="s">
        <v>214</v>
      </c>
      <c r="Q53" s="164" t="s">
        <v>1816</v>
      </c>
      <c r="R53" s="152"/>
      <c r="S53" s="152"/>
      <c r="T53" s="152"/>
      <c r="U53" s="152"/>
      <c r="V53" s="152"/>
      <c r="W53" s="152"/>
      <c r="X53" s="152"/>
      <c r="Y53" s="152"/>
      <c r="Z53" s="152"/>
      <c r="AA53" s="152"/>
    </row>
    <row r="54" ht="39.75" customHeight="1">
      <c r="A54" s="185"/>
      <c r="B54" s="163" t="s">
        <v>1826</v>
      </c>
      <c r="C54" s="164" t="s">
        <v>121</v>
      </c>
      <c r="D54" s="164" t="s">
        <v>122</v>
      </c>
      <c r="E54" s="165" t="s">
        <v>123</v>
      </c>
      <c r="F54" s="165" t="s">
        <v>123</v>
      </c>
      <c r="G54" s="164">
        <v>40.0</v>
      </c>
      <c r="H54" s="163" t="s">
        <v>1826</v>
      </c>
      <c r="I54" s="163" t="s">
        <v>149</v>
      </c>
      <c r="J54" s="163" t="s">
        <v>1838</v>
      </c>
      <c r="K54" s="163" t="s">
        <v>1479</v>
      </c>
      <c r="L54" s="163" t="s">
        <v>126</v>
      </c>
      <c r="M54" s="163" t="s">
        <v>271</v>
      </c>
      <c r="N54" s="191" t="s">
        <v>1845</v>
      </c>
      <c r="O54" s="164"/>
      <c r="P54" s="167"/>
      <c r="Q54" s="164" t="s">
        <v>1853</v>
      </c>
      <c r="R54" s="152"/>
      <c r="S54" s="152"/>
      <c r="T54" s="152"/>
      <c r="U54" s="152"/>
      <c r="V54" s="152"/>
      <c r="W54" s="152"/>
      <c r="X54" s="152"/>
      <c r="Y54" s="152"/>
      <c r="Z54" s="152"/>
      <c r="AA54" s="152"/>
    </row>
    <row r="55" ht="39.75" customHeight="1">
      <c r="A55" s="185"/>
      <c r="B55" s="163" t="s">
        <v>1879</v>
      </c>
      <c r="C55" s="164" t="s">
        <v>121</v>
      </c>
      <c r="D55" s="164" t="s">
        <v>122</v>
      </c>
      <c r="E55" s="165">
        <v>20.0</v>
      </c>
      <c r="F55" s="165" t="s">
        <v>123</v>
      </c>
      <c r="G55" s="164">
        <v>39.0</v>
      </c>
      <c r="H55" s="163" t="s">
        <v>1879</v>
      </c>
      <c r="I55" s="163" t="s">
        <v>143</v>
      </c>
      <c r="J55" s="163" t="s">
        <v>134</v>
      </c>
      <c r="K55" s="163" t="s">
        <v>150</v>
      </c>
      <c r="L55" s="163" t="s">
        <v>126</v>
      </c>
      <c r="M55" s="163" t="s">
        <v>127</v>
      </c>
      <c r="N55" s="166" t="s">
        <v>1284</v>
      </c>
      <c r="O55" s="164"/>
      <c r="P55" s="167"/>
      <c r="Q55" s="164" t="s">
        <v>139</v>
      </c>
      <c r="R55" s="152"/>
      <c r="S55" s="152"/>
      <c r="T55" s="152"/>
      <c r="U55" s="152"/>
      <c r="V55" s="152"/>
      <c r="W55" s="152"/>
      <c r="X55" s="152"/>
      <c r="Y55" s="152"/>
      <c r="Z55" s="152"/>
      <c r="AA55" s="152"/>
    </row>
    <row r="56" ht="39.75" customHeight="1">
      <c r="A56" s="187"/>
      <c r="B56" s="164" t="s">
        <v>107</v>
      </c>
      <c r="C56" s="164" t="s">
        <v>1908</v>
      </c>
      <c r="D56" s="164" t="s">
        <v>1912</v>
      </c>
      <c r="E56" s="165">
        <v>0.002</v>
      </c>
      <c r="F56" s="165" t="s">
        <v>123</v>
      </c>
      <c r="G56" s="164" t="s">
        <v>123</v>
      </c>
      <c r="H56" s="164" t="s">
        <v>107</v>
      </c>
      <c r="I56" s="163" t="s">
        <v>1920</v>
      </c>
      <c r="J56" s="163" t="s">
        <v>968</v>
      </c>
      <c r="K56" s="163" t="s">
        <v>969</v>
      </c>
      <c r="L56" s="163" t="s">
        <v>970</v>
      </c>
      <c r="M56" s="163">
        <v>1.7</v>
      </c>
      <c r="N56" s="191" t="s">
        <v>1516</v>
      </c>
      <c r="O56" s="164" t="s">
        <v>214</v>
      </c>
      <c r="P56" s="167" t="s">
        <v>214</v>
      </c>
      <c r="Q56" s="164" t="s">
        <v>1930</v>
      </c>
      <c r="R56" s="152"/>
      <c r="S56" s="152"/>
      <c r="T56" s="152"/>
      <c r="U56" s="152"/>
      <c r="V56" s="152"/>
      <c r="W56" s="152"/>
      <c r="X56" s="152"/>
      <c r="Y56" s="152"/>
      <c r="Z56" s="152"/>
      <c r="AA56" s="152"/>
    </row>
    <row r="57" ht="39.75" customHeight="1">
      <c r="A57" s="185"/>
      <c r="B57" s="163" t="s">
        <v>108</v>
      </c>
      <c r="C57" s="164" t="s">
        <v>1940</v>
      </c>
      <c r="D57" s="164" t="s">
        <v>1943</v>
      </c>
      <c r="E57" s="165">
        <v>0.05</v>
      </c>
      <c r="F57" s="165" t="s">
        <v>123</v>
      </c>
      <c r="G57" s="164">
        <v>0.1</v>
      </c>
      <c r="H57" s="163" t="s">
        <v>108</v>
      </c>
      <c r="I57" s="163" t="s">
        <v>1950</v>
      </c>
      <c r="J57" s="163" t="s">
        <v>968</v>
      </c>
      <c r="K57" s="163" t="s">
        <v>969</v>
      </c>
      <c r="L57" s="163" t="s">
        <v>970</v>
      </c>
      <c r="M57" s="166" t="s">
        <v>971</v>
      </c>
      <c r="N57" s="191" t="s">
        <v>1516</v>
      </c>
      <c r="O57" s="164" t="s">
        <v>214</v>
      </c>
      <c r="P57" s="167" t="s">
        <v>214</v>
      </c>
      <c r="Q57" s="164" t="s">
        <v>1961</v>
      </c>
      <c r="R57" s="152"/>
      <c r="S57" s="152"/>
      <c r="T57" s="152"/>
      <c r="U57" s="152"/>
      <c r="V57" s="152"/>
      <c r="W57" s="152"/>
      <c r="X57" s="152"/>
      <c r="Y57" s="152"/>
      <c r="Z57" s="152"/>
      <c r="AA57" s="152"/>
    </row>
    <row r="58" ht="39.75" customHeight="1">
      <c r="A58" s="185"/>
      <c r="B58" s="163" t="s">
        <v>1970</v>
      </c>
      <c r="C58" s="164" t="s">
        <v>121</v>
      </c>
      <c r="D58" s="164" t="s">
        <v>122</v>
      </c>
      <c r="E58" s="165" t="s">
        <v>123</v>
      </c>
      <c r="F58" s="165">
        <v>4.7</v>
      </c>
      <c r="G58" s="164">
        <v>8.0</v>
      </c>
      <c r="H58" s="163" t="s">
        <v>1970</v>
      </c>
      <c r="I58" s="163" t="s">
        <v>1977</v>
      </c>
      <c r="J58" s="163" t="s">
        <v>968</v>
      </c>
      <c r="K58" s="163" t="s">
        <v>1980</v>
      </c>
      <c r="L58" s="163" t="s">
        <v>1982</v>
      </c>
      <c r="M58" s="163" t="s">
        <v>1983</v>
      </c>
      <c r="N58" s="191" t="s">
        <v>1985</v>
      </c>
      <c r="O58" s="164">
        <v>5.0E-4</v>
      </c>
      <c r="P58" s="167"/>
      <c r="Q58" s="164" t="s">
        <v>1989</v>
      </c>
      <c r="R58" s="152"/>
      <c r="S58" s="152"/>
      <c r="T58" s="152"/>
      <c r="U58" s="152"/>
      <c r="V58" s="152"/>
      <c r="W58" s="152"/>
      <c r="X58" s="152"/>
      <c r="Y58" s="152"/>
      <c r="Z58" s="152"/>
      <c r="AA58" s="152"/>
    </row>
    <row r="59" ht="39.75" customHeight="1">
      <c r="A59" s="185"/>
      <c r="B59" s="163" t="s">
        <v>1998</v>
      </c>
      <c r="C59" s="164" t="s">
        <v>121</v>
      </c>
      <c r="D59" s="164" t="s">
        <v>122</v>
      </c>
      <c r="E59" s="165" t="s">
        <v>123</v>
      </c>
      <c r="F59" s="165">
        <v>4.7</v>
      </c>
      <c r="G59" s="164">
        <v>8.0</v>
      </c>
      <c r="H59" s="163" t="s">
        <v>1998</v>
      </c>
      <c r="I59" s="163" t="s">
        <v>2009</v>
      </c>
      <c r="J59" s="163" t="s">
        <v>968</v>
      </c>
      <c r="K59" s="163" t="s">
        <v>1980</v>
      </c>
      <c r="L59" s="163" t="s">
        <v>1982</v>
      </c>
      <c r="M59" s="168" t="s">
        <v>971</v>
      </c>
      <c r="N59" s="191" t="s">
        <v>2018</v>
      </c>
      <c r="O59" s="164">
        <v>5.0E-4</v>
      </c>
      <c r="P59" s="167"/>
      <c r="Q59" s="164" t="s">
        <v>2022</v>
      </c>
      <c r="R59" s="152"/>
      <c r="S59" s="152"/>
      <c r="T59" s="152"/>
      <c r="U59" s="152"/>
      <c r="V59" s="152"/>
      <c r="W59" s="152"/>
      <c r="X59" s="152"/>
      <c r="Y59" s="152"/>
      <c r="Z59" s="152"/>
      <c r="AA59" s="152"/>
    </row>
    <row r="60" ht="39.75" customHeight="1">
      <c r="A60" s="187"/>
      <c r="B60" s="164" t="s">
        <v>2032</v>
      </c>
      <c r="C60" s="164" t="s">
        <v>121</v>
      </c>
      <c r="D60" s="164" t="s">
        <v>122</v>
      </c>
      <c r="E60" s="165">
        <v>100.0</v>
      </c>
      <c r="F60" s="165" t="s">
        <v>123</v>
      </c>
      <c r="G60" s="164">
        <v>235.0</v>
      </c>
      <c r="H60" s="164" t="s">
        <v>2032</v>
      </c>
      <c r="I60" s="163" t="s">
        <v>2102</v>
      </c>
      <c r="J60" s="163" t="s">
        <v>134</v>
      </c>
      <c r="K60" s="163" t="s">
        <v>2155</v>
      </c>
      <c r="L60" s="163" t="s">
        <v>126</v>
      </c>
      <c r="M60" s="163" t="s">
        <v>127</v>
      </c>
      <c r="N60" s="166" t="s">
        <v>2375</v>
      </c>
      <c r="O60" s="164" t="s">
        <v>167</v>
      </c>
      <c r="P60" s="167" t="s">
        <v>167</v>
      </c>
      <c r="Q60" s="164" t="s">
        <v>2376</v>
      </c>
      <c r="R60" s="152"/>
      <c r="S60" s="152"/>
      <c r="T60" s="152"/>
      <c r="U60" s="152"/>
      <c r="V60" s="152"/>
      <c r="W60" s="152"/>
      <c r="X60" s="152"/>
      <c r="Y60" s="152"/>
      <c r="Z60" s="152"/>
      <c r="AA60" s="152"/>
    </row>
    <row r="61" ht="39.75" customHeight="1">
      <c r="A61" s="187"/>
      <c r="B61" s="164" t="s">
        <v>2377</v>
      </c>
      <c r="C61" s="164" t="s">
        <v>121</v>
      </c>
      <c r="D61" s="164" t="s">
        <v>122</v>
      </c>
      <c r="E61" s="165">
        <v>50.0</v>
      </c>
      <c r="F61" s="165" t="s">
        <v>123</v>
      </c>
      <c r="G61" s="164">
        <v>40.0</v>
      </c>
      <c r="H61" s="164" t="s">
        <v>2377</v>
      </c>
      <c r="I61" s="163" t="s">
        <v>2378</v>
      </c>
      <c r="J61" s="163" t="s">
        <v>134</v>
      </c>
      <c r="K61" s="163" t="s">
        <v>2379</v>
      </c>
      <c r="L61" s="163" t="s">
        <v>126</v>
      </c>
      <c r="M61" s="163" t="s">
        <v>127</v>
      </c>
      <c r="N61" s="166" t="s">
        <v>151</v>
      </c>
      <c r="O61" s="164" t="s">
        <v>2380</v>
      </c>
      <c r="P61" s="167" t="s">
        <v>2380</v>
      </c>
      <c r="Q61" s="164" t="s">
        <v>2381</v>
      </c>
      <c r="R61" s="152"/>
      <c r="S61" s="152"/>
      <c r="T61" s="152"/>
      <c r="U61" s="152"/>
      <c r="V61" s="152"/>
      <c r="W61" s="152"/>
      <c r="X61" s="152"/>
      <c r="Y61" s="152"/>
      <c r="Z61" s="152"/>
      <c r="AA61" s="152"/>
    </row>
    <row r="62" ht="39.75" customHeight="1">
      <c r="A62" s="185"/>
      <c r="B62" s="163" t="s">
        <v>2382</v>
      </c>
      <c r="C62" s="164" t="s">
        <v>121</v>
      </c>
      <c r="D62" s="164" t="s">
        <v>122</v>
      </c>
      <c r="E62" s="165">
        <v>20.0</v>
      </c>
      <c r="F62" s="165">
        <v>50.0</v>
      </c>
      <c r="G62" s="164" t="s">
        <v>123</v>
      </c>
      <c r="H62" s="163" t="s">
        <v>2382</v>
      </c>
      <c r="I62" s="163" t="s">
        <v>149</v>
      </c>
      <c r="J62" s="163" t="s">
        <v>134</v>
      </c>
      <c r="K62" s="163" t="s">
        <v>2383</v>
      </c>
      <c r="L62" s="163" t="s">
        <v>126</v>
      </c>
      <c r="M62" s="163" t="s">
        <v>127</v>
      </c>
      <c r="N62" s="166" t="s">
        <v>151</v>
      </c>
      <c r="O62" s="164" t="s">
        <v>255</v>
      </c>
      <c r="P62" s="167" t="s">
        <v>255</v>
      </c>
      <c r="Q62" s="164" t="s">
        <v>2385</v>
      </c>
      <c r="R62" s="152"/>
      <c r="S62" s="152"/>
      <c r="T62" s="152"/>
      <c r="U62" s="152"/>
      <c r="V62" s="152"/>
      <c r="W62" s="152"/>
      <c r="X62" s="152"/>
      <c r="Y62" s="152"/>
      <c r="Z62" s="152"/>
      <c r="AA62" s="152"/>
    </row>
    <row r="63" ht="39.75" customHeight="1">
      <c r="A63" s="187"/>
      <c r="B63" s="164" t="s">
        <v>2390</v>
      </c>
      <c r="C63" s="164" t="s">
        <v>121</v>
      </c>
      <c r="D63" s="164" t="s">
        <v>122</v>
      </c>
      <c r="E63" s="165">
        <v>20.0</v>
      </c>
      <c r="F63" s="165" t="s">
        <v>123</v>
      </c>
      <c r="G63" s="164" t="s">
        <v>123</v>
      </c>
      <c r="H63" s="164" t="s">
        <v>2390</v>
      </c>
      <c r="I63" s="163" t="s">
        <v>2397</v>
      </c>
      <c r="J63" s="163" t="s">
        <v>134</v>
      </c>
      <c r="K63" s="163" t="s">
        <v>2155</v>
      </c>
      <c r="L63" s="163" t="s">
        <v>126</v>
      </c>
      <c r="M63" s="163" t="s">
        <v>127</v>
      </c>
      <c r="N63" s="166" t="s">
        <v>2400</v>
      </c>
      <c r="O63" s="164" t="s">
        <v>167</v>
      </c>
      <c r="P63" s="167" t="s">
        <v>167</v>
      </c>
      <c r="Q63" s="164" t="s">
        <v>2401</v>
      </c>
      <c r="R63" s="152"/>
      <c r="S63" s="152"/>
      <c r="T63" s="152"/>
      <c r="U63" s="152"/>
      <c r="V63" s="152"/>
      <c r="W63" s="152"/>
      <c r="X63" s="152"/>
      <c r="Y63" s="152"/>
      <c r="Z63" s="152"/>
      <c r="AA63" s="152"/>
    </row>
    <row r="64" ht="39.75" customHeight="1">
      <c r="A64" s="187"/>
      <c r="B64" s="164" t="s">
        <v>2402</v>
      </c>
      <c r="C64" s="164" t="s">
        <v>121</v>
      </c>
      <c r="D64" s="164" t="s">
        <v>122</v>
      </c>
      <c r="E64" s="165">
        <v>10.0</v>
      </c>
      <c r="F64" s="165" t="s">
        <v>123</v>
      </c>
      <c r="G64" s="164">
        <v>8.0</v>
      </c>
      <c r="H64" s="164" t="s">
        <v>2402</v>
      </c>
      <c r="I64" s="163" t="s">
        <v>149</v>
      </c>
      <c r="J64" s="163" t="s">
        <v>134</v>
      </c>
      <c r="K64" s="163" t="s">
        <v>2404</v>
      </c>
      <c r="L64" s="163" t="s">
        <v>126</v>
      </c>
      <c r="M64" s="163" t="s">
        <v>145</v>
      </c>
      <c r="N64" s="166" t="s">
        <v>2405</v>
      </c>
      <c r="O64" s="164"/>
      <c r="P64" s="167"/>
      <c r="Q64" s="164" t="s">
        <v>2406</v>
      </c>
      <c r="R64" s="152"/>
      <c r="S64" s="152"/>
      <c r="T64" s="152"/>
      <c r="U64" s="152"/>
      <c r="V64" s="152"/>
      <c r="W64" s="152"/>
      <c r="X64" s="152"/>
      <c r="Y64" s="152"/>
      <c r="Z64" s="152"/>
      <c r="AA64" s="152"/>
    </row>
    <row r="65" ht="39.75" customHeight="1">
      <c r="A65" s="187"/>
      <c r="B65" s="164" t="s">
        <v>2407</v>
      </c>
      <c r="C65" s="164" t="s">
        <v>121</v>
      </c>
      <c r="D65" s="164" t="s">
        <v>122</v>
      </c>
      <c r="E65" s="165">
        <v>1000.0</v>
      </c>
      <c r="F65" s="165" t="s">
        <v>123</v>
      </c>
      <c r="G65" s="164" t="s">
        <v>123</v>
      </c>
      <c r="H65" s="164" t="s">
        <v>2407</v>
      </c>
      <c r="I65" s="163" t="s">
        <v>1803</v>
      </c>
      <c r="J65" s="163" t="s">
        <v>134</v>
      </c>
      <c r="K65" s="163" t="s">
        <v>2155</v>
      </c>
      <c r="L65" s="163" t="s">
        <v>126</v>
      </c>
      <c r="M65" s="163" t="s">
        <v>127</v>
      </c>
      <c r="N65" s="166" t="s">
        <v>2375</v>
      </c>
      <c r="O65" s="164" t="s">
        <v>255</v>
      </c>
      <c r="P65" s="167" t="s">
        <v>255</v>
      </c>
      <c r="Q65" s="164" t="s">
        <v>2408</v>
      </c>
      <c r="R65" s="152"/>
      <c r="S65" s="152"/>
      <c r="T65" s="152"/>
      <c r="U65" s="152"/>
      <c r="V65" s="152"/>
      <c r="W65" s="152"/>
      <c r="X65" s="152"/>
      <c r="Y65" s="152"/>
      <c r="Z65" s="152"/>
      <c r="AA65" s="152"/>
    </row>
    <row r="66" ht="39.75" customHeight="1">
      <c r="A66" s="187"/>
      <c r="B66" s="164" t="s">
        <v>2409</v>
      </c>
      <c r="C66" s="164" t="s">
        <v>1030</v>
      </c>
      <c r="D66" s="164" t="s">
        <v>122</v>
      </c>
      <c r="E66" s="165">
        <v>0.1</v>
      </c>
      <c r="F66" s="165">
        <v>0.4</v>
      </c>
      <c r="G66" s="164">
        <v>0.8</v>
      </c>
      <c r="H66" s="164" t="s">
        <v>2409</v>
      </c>
      <c r="I66" s="163" t="s">
        <v>2414</v>
      </c>
      <c r="J66" s="163" t="s">
        <v>2416</v>
      </c>
      <c r="K66" s="163" t="s">
        <v>2418</v>
      </c>
      <c r="L66" s="163" t="s">
        <v>126</v>
      </c>
      <c r="M66" s="193" t="s">
        <v>1077</v>
      </c>
      <c r="N66" s="191" t="s">
        <v>1086</v>
      </c>
      <c r="O66" s="164" t="s">
        <v>255</v>
      </c>
      <c r="P66" s="167" t="s">
        <v>255</v>
      </c>
      <c r="Q66" s="164" t="s">
        <v>2419</v>
      </c>
      <c r="R66" s="152"/>
      <c r="S66" s="152"/>
      <c r="T66" s="152"/>
      <c r="U66" s="152"/>
      <c r="V66" s="152"/>
      <c r="W66" s="152"/>
      <c r="X66" s="152"/>
      <c r="Y66" s="152"/>
      <c r="Z66" s="152"/>
      <c r="AA66" s="152"/>
    </row>
    <row r="67" ht="39.75" customHeight="1">
      <c r="A67" s="187"/>
      <c r="B67" s="164" t="s">
        <v>2587</v>
      </c>
      <c r="C67" s="164" t="s">
        <v>1030</v>
      </c>
      <c r="D67" s="164" t="s">
        <v>122</v>
      </c>
      <c r="E67" s="165">
        <v>1000.0</v>
      </c>
      <c r="F67" s="165" t="s">
        <v>123</v>
      </c>
      <c r="G67" s="164">
        <v>780.0</v>
      </c>
      <c r="H67" s="164" t="s">
        <v>2587</v>
      </c>
      <c r="I67" s="163" t="s">
        <v>2588</v>
      </c>
      <c r="J67" s="163" t="s">
        <v>134</v>
      </c>
      <c r="K67" s="163" t="s">
        <v>2589</v>
      </c>
      <c r="L67" s="163" t="s">
        <v>126</v>
      </c>
      <c r="M67" s="163" t="s">
        <v>164</v>
      </c>
      <c r="N67" s="191" t="s">
        <v>971</v>
      </c>
      <c r="O67" s="164" t="s">
        <v>167</v>
      </c>
      <c r="P67" s="167" t="s">
        <v>167</v>
      </c>
      <c r="Q67" s="164" t="s">
        <v>2590</v>
      </c>
      <c r="R67" s="152"/>
      <c r="S67" s="152"/>
      <c r="T67" s="152"/>
      <c r="U67" s="152"/>
      <c r="V67" s="152"/>
      <c r="W67" s="152"/>
      <c r="X67" s="152"/>
      <c r="Y67" s="152"/>
      <c r="Z67" s="152"/>
      <c r="AA67" s="152"/>
    </row>
    <row r="68" ht="39.75" customHeight="1">
      <c r="A68" s="187"/>
      <c r="B68" s="164" t="s">
        <v>2591</v>
      </c>
      <c r="C68" s="164" t="s">
        <v>1030</v>
      </c>
      <c r="D68" s="164" t="s">
        <v>122</v>
      </c>
      <c r="E68" s="165">
        <v>10.0</v>
      </c>
      <c r="F68" s="165" t="s">
        <v>123</v>
      </c>
      <c r="G68" s="164">
        <v>20.0</v>
      </c>
      <c r="H68" s="164" t="s">
        <v>2591</v>
      </c>
      <c r="I68" s="163" t="s">
        <v>2592</v>
      </c>
      <c r="J68" s="163" t="s">
        <v>134</v>
      </c>
      <c r="K68" s="163" t="s">
        <v>2593</v>
      </c>
      <c r="L68" s="163" t="s">
        <v>126</v>
      </c>
      <c r="M68" s="163" t="s">
        <v>127</v>
      </c>
      <c r="N68" s="191" t="s">
        <v>2594</v>
      </c>
      <c r="O68" s="164" t="s">
        <v>1046</v>
      </c>
      <c r="P68" s="167" t="s">
        <v>1046</v>
      </c>
      <c r="Q68" s="164" t="s">
        <v>2595</v>
      </c>
      <c r="R68" s="152"/>
      <c r="S68" s="152"/>
      <c r="T68" s="152"/>
      <c r="U68" s="152"/>
      <c r="V68" s="152"/>
      <c r="W68" s="152"/>
      <c r="X68" s="152"/>
      <c r="Y68" s="152"/>
      <c r="Z68" s="152"/>
      <c r="AA68" s="152"/>
    </row>
    <row r="69" ht="39.75" customHeight="1">
      <c r="A69" s="187"/>
      <c r="B69" s="164" t="s">
        <v>262</v>
      </c>
      <c r="C69" s="164" t="s">
        <v>121</v>
      </c>
      <c r="D69" s="164" t="s">
        <v>2596</v>
      </c>
      <c r="E69" s="165">
        <v>0.02</v>
      </c>
      <c r="F69" s="165" t="s">
        <v>123</v>
      </c>
      <c r="G69" s="164" t="s">
        <v>123</v>
      </c>
      <c r="H69" s="164" t="s">
        <v>262</v>
      </c>
      <c r="I69" s="163" t="s">
        <v>2597</v>
      </c>
      <c r="J69" s="163" t="s">
        <v>968</v>
      </c>
      <c r="K69" s="163" t="s">
        <v>969</v>
      </c>
      <c r="L69" s="163" t="s">
        <v>970</v>
      </c>
      <c r="M69" s="163">
        <v>2.0</v>
      </c>
      <c r="N69" s="166" t="s">
        <v>1679</v>
      </c>
      <c r="O69" s="164" t="s">
        <v>1046</v>
      </c>
      <c r="P69" s="167" t="s">
        <v>1046</v>
      </c>
      <c r="Q69" s="164" t="s">
        <v>2598</v>
      </c>
      <c r="R69" s="152"/>
      <c r="S69" s="152"/>
      <c r="T69" s="152"/>
      <c r="U69" s="152"/>
      <c r="V69" s="152"/>
      <c r="W69" s="152"/>
      <c r="X69" s="152"/>
      <c r="Y69" s="152"/>
      <c r="Z69" s="152"/>
      <c r="AA69" s="152"/>
    </row>
    <row r="70" ht="39.75" customHeight="1">
      <c r="A70" s="185"/>
      <c r="B70" s="163" t="s">
        <v>275</v>
      </c>
      <c r="C70" s="164" t="s">
        <v>121</v>
      </c>
      <c r="D70" s="164" t="s">
        <v>2599</v>
      </c>
      <c r="E70" s="165">
        <v>1.0</v>
      </c>
      <c r="F70" s="165" t="s">
        <v>123</v>
      </c>
      <c r="G70" s="164" t="s">
        <v>123</v>
      </c>
      <c r="H70" s="163" t="s">
        <v>275</v>
      </c>
      <c r="I70" s="163" t="s">
        <v>2600</v>
      </c>
      <c r="J70" s="163" t="s">
        <v>968</v>
      </c>
      <c r="K70" s="163" t="s">
        <v>969</v>
      </c>
      <c r="L70" s="163" t="s">
        <v>970</v>
      </c>
      <c r="M70" s="168" t="s">
        <v>971</v>
      </c>
      <c r="N70" s="166" t="s">
        <v>1516</v>
      </c>
      <c r="O70" s="164" t="s">
        <v>1046</v>
      </c>
      <c r="P70" s="167" t="s">
        <v>1046</v>
      </c>
      <c r="Q70" s="164" t="s">
        <v>2601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2"/>
    </row>
    <row r="71" ht="39.75" customHeight="1">
      <c r="A71" s="187"/>
      <c r="B71" s="164" t="s">
        <v>2602</v>
      </c>
      <c r="C71" s="164" t="s">
        <v>121</v>
      </c>
      <c r="D71" s="164" t="s">
        <v>2603</v>
      </c>
      <c r="E71" s="165">
        <v>20.0</v>
      </c>
      <c r="F71" s="165" t="s">
        <v>123</v>
      </c>
      <c r="G71" s="164" t="s">
        <v>123</v>
      </c>
      <c r="H71" s="164" t="s">
        <v>2602</v>
      </c>
      <c r="I71" s="163" t="s">
        <v>1035</v>
      </c>
      <c r="J71" s="163" t="s">
        <v>2604</v>
      </c>
      <c r="K71" s="163" t="s">
        <v>2605</v>
      </c>
      <c r="L71" s="163" t="s">
        <v>126</v>
      </c>
      <c r="M71" s="163" t="s">
        <v>2606</v>
      </c>
      <c r="N71" s="191" t="s">
        <v>1013</v>
      </c>
      <c r="O71" s="163"/>
      <c r="P71" s="167"/>
      <c r="Q71" s="205">
        <v>2025884.0</v>
      </c>
      <c r="R71" s="152"/>
      <c r="S71" s="152"/>
      <c r="T71" s="152"/>
      <c r="U71" s="152"/>
      <c r="V71" s="152"/>
      <c r="W71" s="152"/>
      <c r="X71" s="152"/>
      <c r="Y71" s="152"/>
      <c r="Z71" s="152"/>
      <c r="AA71" s="152"/>
    </row>
    <row r="72" ht="46.5" customHeight="1">
      <c r="A72" s="187"/>
      <c r="B72" s="164" t="s">
        <v>462</v>
      </c>
      <c r="C72" s="164" t="s">
        <v>2617</v>
      </c>
      <c r="D72" s="164" t="s">
        <v>2619</v>
      </c>
      <c r="E72" s="165">
        <v>0.5</v>
      </c>
      <c r="F72" s="165" t="s">
        <v>123</v>
      </c>
      <c r="G72" s="164" t="s">
        <v>123</v>
      </c>
      <c r="H72" s="164" t="s">
        <v>462</v>
      </c>
      <c r="I72" s="163" t="s">
        <v>1035</v>
      </c>
      <c r="J72" s="163" t="s">
        <v>968</v>
      </c>
      <c r="K72" s="163" t="s">
        <v>969</v>
      </c>
      <c r="L72" s="163" t="s">
        <v>970</v>
      </c>
      <c r="M72" s="163" t="s">
        <v>1678</v>
      </c>
      <c r="N72" s="166" t="s">
        <v>1679</v>
      </c>
      <c r="O72" s="164">
        <v>1.0</v>
      </c>
      <c r="P72" s="167" t="s">
        <v>2633</v>
      </c>
      <c r="Q72" s="164" t="s">
        <v>2635</v>
      </c>
      <c r="R72" s="152"/>
      <c r="S72" s="152"/>
      <c r="T72" s="152"/>
      <c r="U72" s="152"/>
      <c r="V72" s="152"/>
      <c r="W72" s="152"/>
      <c r="X72" s="152"/>
      <c r="Y72" s="152"/>
      <c r="Z72" s="152"/>
      <c r="AA72" s="152"/>
    </row>
    <row r="73" ht="41.25" customHeight="1">
      <c r="A73" s="185"/>
      <c r="B73" s="163" t="s">
        <v>2643</v>
      </c>
      <c r="C73" s="164" t="s">
        <v>2617</v>
      </c>
      <c r="D73" s="164" t="s">
        <v>2646</v>
      </c>
      <c r="E73" s="165">
        <v>2.0E-4</v>
      </c>
      <c r="F73" s="165">
        <v>5.0E-4</v>
      </c>
      <c r="G73" s="164" t="s">
        <v>123</v>
      </c>
      <c r="H73" s="163" t="s">
        <v>2643</v>
      </c>
      <c r="I73" s="163" t="s">
        <v>2653</v>
      </c>
      <c r="J73" s="163" t="s">
        <v>2655</v>
      </c>
      <c r="K73" s="163" t="s">
        <v>2658</v>
      </c>
      <c r="L73" s="163" t="s">
        <v>970</v>
      </c>
      <c r="M73" s="163">
        <v>2.0</v>
      </c>
      <c r="N73" s="167" t="s">
        <v>2662</v>
      </c>
      <c r="O73" s="164"/>
      <c r="P73" s="167"/>
      <c r="Q73" s="164" t="s">
        <v>2667</v>
      </c>
      <c r="R73" s="152"/>
      <c r="S73" s="152"/>
      <c r="T73" s="152"/>
      <c r="U73" s="152"/>
      <c r="V73" s="152"/>
      <c r="W73" s="152"/>
      <c r="X73" s="152"/>
      <c r="Y73" s="152"/>
      <c r="Z73" s="152"/>
      <c r="AA73" s="152"/>
    </row>
    <row r="74" ht="39.75" customHeight="1">
      <c r="A74" s="185"/>
      <c r="B74" s="163" t="s">
        <v>62</v>
      </c>
      <c r="C74" s="164" t="s">
        <v>1627</v>
      </c>
      <c r="D74" s="164" t="s">
        <v>122</v>
      </c>
      <c r="E74" s="165">
        <v>5.0</v>
      </c>
      <c r="F74" s="165" t="s">
        <v>123</v>
      </c>
      <c r="G74" s="164">
        <v>39.0</v>
      </c>
      <c r="H74" s="163" t="s">
        <v>62</v>
      </c>
      <c r="I74" s="163" t="s">
        <v>2685</v>
      </c>
      <c r="J74" s="163" t="s">
        <v>134</v>
      </c>
      <c r="K74" s="163" t="s">
        <v>2689</v>
      </c>
      <c r="L74" s="163" t="s">
        <v>126</v>
      </c>
      <c r="M74" s="163" t="s">
        <v>127</v>
      </c>
      <c r="N74" s="166" t="s">
        <v>2694</v>
      </c>
      <c r="O74" s="164" t="s">
        <v>167</v>
      </c>
      <c r="P74" s="167" t="s">
        <v>167</v>
      </c>
      <c r="Q74" s="164" t="s">
        <v>2700</v>
      </c>
      <c r="R74" s="152"/>
      <c r="S74" s="152"/>
      <c r="T74" s="152"/>
      <c r="U74" s="152"/>
      <c r="V74" s="152"/>
      <c r="W74" s="152"/>
      <c r="X74" s="152"/>
      <c r="Y74" s="152"/>
      <c r="Z74" s="152"/>
      <c r="AA74" s="152"/>
    </row>
    <row r="75" ht="39.75" customHeight="1">
      <c r="A75" s="185"/>
      <c r="B75" s="163" t="s">
        <v>2706</v>
      </c>
      <c r="C75" s="164" t="s">
        <v>121</v>
      </c>
      <c r="D75" s="164" t="s">
        <v>122</v>
      </c>
      <c r="E75" s="165">
        <v>50.0</v>
      </c>
      <c r="F75" s="165" t="s">
        <v>123</v>
      </c>
      <c r="G75" s="164" t="s">
        <v>123</v>
      </c>
      <c r="H75" s="163" t="s">
        <v>2706</v>
      </c>
      <c r="I75" s="163" t="s">
        <v>2716</v>
      </c>
      <c r="J75" s="163"/>
      <c r="K75" s="163" t="s">
        <v>2737</v>
      </c>
      <c r="L75" s="163" t="s">
        <v>126</v>
      </c>
      <c r="M75" s="163" t="s">
        <v>127</v>
      </c>
      <c r="N75" s="191" t="s">
        <v>151</v>
      </c>
      <c r="O75" s="164"/>
      <c r="P75" s="167" t="s">
        <v>138</v>
      </c>
      <c r="Q75" s="164" t="s">
        <v>2745</v>
      </c>
      <c r="R75" s="152"/>
      <c r="S75" s="152"/>
      <c r="T75" s="152"/>
      <c r="U75" s="152"/>
      <c r="V75" s="152"/>
      <c r="W75" s="152"/>
      <c r="X75" s="152"/>
      <c r="Y75" s="152"/>
      <c r="Z75" s="152"/>
      <c r="AA75" s="152"/>
    </row>
    <row r="76" ht="39.75" customHeight="1">
      <c r="A76" s="185"/>
      <c r="B76" s="163" t="s">
        <v>2754</v>
      </c>
      <c r="C76" s="164" t="s">
        <v>1030</v>
      </c>
      <c r="D76" s="164" t="s">
        <v>122</v>
      </c>
      <c r="E76" s="165">
        <v>50.0</v>
      </c>
      <c r="F76" s="165" t="s">
        <v>123</v>
      </c>
      <c r="G76" s="164">
        <v>156.0</v>
      </c>
      <c r="H76" s="163" t="s">
        <v>2754</v>
      </c>
      <c r="I76" s="163" t="s">
        <v>2762</v>
      </c>
      <c r="J76" s="163" t="s">
        <v>134</v>
      </c>
      <c r="K76" s="163" t="s">
        <v>2767</v>
      </c>
      <c r="L76" s="163" t="s">
        <v>126</v>
      </c>
      <c r="M76" s="163" t="s">
        <v>127</v>
      </c>
      <c r="N76" s="191" t="s">
        <v>2772</v>
      </c>
      <c r="O76" s="164"/>
      <c r="P76" s="167"/>
      <c r="Q76" s="164" t="s">
        <v>1091</v>
      </c>
      <c r="R76" s="152"/>
      <c r="S76" s="152"/>
      <c r="T76" s="152"/>
      <c r="U76" s="152"/>
      <c r="V76" s="152"/>
      <c r="W76" s="152"/>
      <c r="X76" s="152"/>
      <c r="Y76" s="152"/>
      <c r="Z76" s="152"/>
      <c r="AA76" s="152"/>
    </row>
    <row r="77" ht="39.75" customHeight="1">
      <c r="A77" s="185"/>
      <c r="B77" s="163" t="s">
        <v>2785</v>
      </c>
      <c r="C77" s="164" t="s">
        <v>1030</v>
      </c>
      <c r="D77" s="164" t="s">
        <v>122</v>
      </c>
      <c r="E77" s="165">
        <v>1000.0</v>
      </c>
      <c r="F77" s="165" t="s">
        <v>123</v>
      </c>
      <c r="G77" s="164">
        <v>780.0</v>
      </c>
      <c r="H77" s="163" t="s">
        <v>2785</v>
      </c>
      <c r="I77" s="163" t="s">
        <v>2796</v>
      </c>
      <c r="J77" s="163" t="s">
        <v>134</v>
      </c>
      <c r="K77" s="163" t="s">
        <v>2800</v>
      </c>
      <c r="L77" s="163" t="s">
        <v>126</v>
      </c>
      <c r="M77" s="163" t="s">
        <v>164</v>
      </c>
      <c r="N77" s="191" t="s">
        <v>971</v>
      </c>
      <c r="O77" s="164" t="s">
        <v>167</v>
      </c>
      <c r="P77" s="167" t="s">
        <v>167</v>
      </c>
      <c r="Q77" s="164" t="s">
        <v>2808</v>
      </c>
      <c r="R77" s="152"/>
      <c r="S77" s="152"/>
      <c r="T77" s="152"/>
      <c r="U77" s="152"/>
      <c r="V77" s="152"/>
      <c r="W77" s="152"/>
      <c r="X77" s="152"/>
      <c r="Y77" s="152"/>
      <c r="Z77" s="152"/>
      <c r="AA77" s="152"/>
    </row>
    <row r="78" ht="39.75" customHeight="1">
      <c r="A78" s="185"/>
      <c r="B78" s="163" t="s">
        <v>2818</v>
      </c>
      <c r="C78" s="164" t="s">
        <v>1793</v>
      </c>
      <c r="D78" s="164" t="s">
        <v>2822</v>
      </c>
      <c r="E78" s="165">
        <v>100.0</v>
      </c>
      <c r="F78" s="165" t="s">
        <v>123</v>
      </c>
      <c r="G78" s="164" t="s">
        <v>123</v>
      </c>
      <c r="H78" s="163" t="s">
        <v>2818</v>
      </c>
      <c r="I78" s="163" t="s">
        <v>2830</v>
      </c>
      <c r="J78" s="163" t="s">
        <v>2832</v>
      </c>
      <c r="K78" s="163" t="s">
        <v>2833</v>
      </c>
      <c r="L78" s="163" t="s">
        <v>126</v>
      </c>
      <c r="M78" s="163">
        <v>2.0</v>
      </c>
      <c r="N78" s="184">
        <v>480.0</v>
      </c>
      <c r="O78" s="164" t="s">
        <v>123</v>
      </c>
      <c r="P78" s="167" t="s">
        <v>123</v>
      </c>
      <c r="Q78" s="164" t="s">
        <v>2842</v>
      </c>
      <c r="R78" s="152"/>
      <c r="S78" s="152"/>
      <c r="T78" s="152"/>
      <c r="U78" s="152"/>
      <c r="V78" s="152"/>
      <c r="W78" s="152"/>
      <c r="X78" s="152"/>
      <c r="Y78" s="152"/>
      <c r="Z78" s="152"/>
      <c r="AA78" s="152"/>
    </row>
    <row r="79" ht="39.75" customHeight="1">
      <c r="A79" s="185"/>
      <c r="B79" s="163" t="s">
        <v>2851</v>
      </c>
      <c r="C79" s="164" t="s">
        <v>121</v>
      </c>
      <c r="D79" s="164" t="s">
        <v>122</v>
      </c>
      <c r="E79" s="206">
        <v>5.0</v>
      </c>
      <c r="F79" s="206" t="s">
        <v>123</v>
      </c>
      <c r="G79" s="164">
        <v>8.0</v>
      </c>
      <c r="H79" s="163" t="s">
        <v>2851</v>
      </c>
      <c r="I79" s="163" t="s">
        <v>2864</v>
      </c>
      <c r="J79" s="163" t="s">
        <v>202</v>
      </c>
      <c r="K79" s="163" t="s">
        <v>2867</v>
      </c>
      <c r="L79" s="163" t="s">
        <v>126</v>
      </c>
      <c r="M79" s="163" t="s">
        <v>774</v>
      </c>
      <c r="N79" s="191" t="s">
        <v>2871</v>
      </c>
      <c r="O79" s="164" t="s">
        <v>152</v>
      </c>
      <c r="P79" s="167" t="s">
        <v>152</v>
      </c>
      <c r="Q79" s="164"/>
      <c r="R79" s="152"/>
      <c r="S79" s="152"/>
      <c r="T79" s="152"/>
      <c r="U79" s="152"/>
      <c r="V79" s="152"/>
      <c r="W79" s="152"/>
      <c r="X79" s="152"/>
      <c r="Y79" s="152"/>
      <c r="Z79" s="152"/>
      <c r="AA79" s="152"/>
    </row>
    <row r="80" ht="49.5" customHeight="1">
      <c r="A80" s="185"/>
      <c r="B80" s="163" t="s">
        <v>2884</v>
      </c>
      <c r="C80" s="164" t="s">
        <v>121</v>
      </c>
      <c r="D80" s="164" t="s">
        <v>122</v>
      </c>
      <c r="E80" s="206">
        <v>5000.0</v>
      </c>
      <c r="F80" s="206">
        <v>30000.0</v>
      </c>
      <c r="G80" s="164">
        <v>3900.0</v>
      </c>
      <c r="H80" s="163" t="s">
        <v>2884</v>
      </c>
      <c r="I80" s="163" t="s">
        <v>2894</v>
      </c>
      <c r="J80" s="163" t="s">
        <v>2897</v>
      </c>
      <c r="K80" s="163" t="s">
        <v>2899</v>
      </c>
      <c r="L80" s="163" t="s">
        <v>126</v>
      </c>
      <c r="M80" s="163" t="s">
        <v>2900</v>
      </c>
      <c r="N80" s="191" t="s">
        <v>2902</v>
      </c>
      <c r="O80" s="164" t="s">
        <v>2904</v>
      </c>
      <c r="P80" s="167" t="s">
        <v>2904</v>
      </c>
      <c r="Q80" s="164" t="s">
        <v>2908</v>
      </c>
      <c r="R80" s="152"/>
      <c r="S80" s="152"/>
      <c r="T80" s="152"/>
      <c r="U80" s="152"/>
      <c r="V80" s="152"/>
      <c r="W80" s="152"/>
      <c r="X80" s="152"/>
      <c r="Y80" s="152"/>
      <c r="Z80" s="152"/>
      <c r="AA80" s="152"/>
    </row>
    <row r="81" ht="39.75" customHeight="1">
      <c r="A81" s="185"/>
      <c r="B81" s="163" t="s">
        <v>2917</v>
      </c>
      <c r="C81" s="164" t="s">
        <v>121</v>
      </c>
      <c r="D81" s="164" t="s">
        <v>122</v>
      </c>
      <c r="E81" s="165" t="s">
        <v>123</v>
      </c>
      <c r="F81" s="165">
        <v>0.25</v>
      </c>
      <c r="G81" s="164">
        <v>4.0</v>
      </c>
      <c r="H81" s="163" t="s">
        <v>2917</v>
      </c>
      <c r="I81" s="163" t="s">
        <v>2926</v>
      </c>
      <c r="J81" s="163" t="s">
        <v>968</v>
      </c>
      <c r="K81" s="163" t="s">
        <v>2930</v>
      </c>
      <c r="L81" s="163" t="s">
        <v>126</v>
      </c>
      <c r="M81" s="163" t="s">
        <v>2933</v>
      </c>
      <c r="N81" s="191" t="s">
        <v>2934</v>
      </c>
      <c r="O81" s="164" t="s">
        <v>255</v>
      </c>
      <c r="P81" s="167" t="s">
        <v>255</v>
      </c>
      <c r="Q81" s="164" t="s">
        <v>2939</v>
      </c>
      <c r="R81" s="152"/>
      <c r="S81" s="152"/>
      <c r="T81" s="152"/>
      <c r="U81" s="152"/>
      <c r="V81" s="152"/>
      <c r="W81" s="152"/>
      <c r="X81" s="152"/>
      <c r="Y81" s="152"/>
      <c r="Z81" s="152"/>
      <c r="AA81" s="152"/>
    </row>
    <row r="82" ht="42.75" customHeight="1">
      <c r="A82" s="185"/>
      <c r="B82" s="163" t="s">
        <v>2948</v>
      </c>
      <c r="C82" s="164" t="s">
        <v>121</v>
      </c>
      <c r="D82" s="164" t="s">
        <v>122</v>
      </c>
      <c r="E82" s="165">
        <v>0.2</v>
      </c>
      <c r="F82" s="165" t="s">
        <v>123</v>
      </c>
      <c r="G82" s="164">
        <v>4.0</v>
      </c>
      <c r="H82" s="163" t="s">
        <v>2948</v>
      </c>
      <c r="I82" s="163" t="s">
        <v>2955</v>
      </c>
      <c r="J82" s="163" t="s">
        <v>134</v>
      </c>
      <c r="K82" s="163" t="s">
        <v>2961</v>
      </c>
      <c r="L82" s="163" t="s">
        <v>970</v>
      </c>
      <c r="M82" s="163">
        <v>0.025</v>
      </c>
      <c r="N82" s="191" t="s">
        <v>2966</v>
      </c>
      <c r="O82" s="164" t="s">
        <v>214</v>
      </c>
      <c r="P82" s="167" t="s">
        <v>214</v>
      </c>
      <c r="Q82" s="164" t="s">
        <v>2971</v>
      </c>
      <c r="R82" s="152"/>
      <c r="S82" s="152"/>
      <c r="T82" s="152"/>
      <c r="U82" s="152"/>
      <c r="V82" s="152"/>
      <c r="W82" s="152"/>
      <c r="X82" s="152"/>
      <c r="Y82" s="152"/>
      <c r="Z82" s="152"/>
      <c r="AA82" s="152"/>
    </row>
    <row r="83" ht="42.75" customHeight="1">
      <c r="A83" s="185"/>
      <c r="B83" s="163" t="s">
        <v>478</v>
      </c>
      <c r="C83" s="164" t="s">
        <v>121</v>
      </c>
      <c r="D83" s="164" t="s">
        <v>2980</v>
      </c>
      <c r="E83" s="165">
        <v>2.5</v>
      </c>
      <c r="F83" s="165" t="s">
        <v>123</v>
      </c>
      <c r="G83" s="164" t="s">
        <v>123</v>
      </c>
      <c r="H83" s="163" t="s">
        <v>478</v>
      </c>
      <c r="I83" s="163" t="s">
        <v>2987</v>
      </c>
      <c r="J83" s="163" t="s">
        <v>968</v>
      </c>
      <c r="K83" s="163" t="s">
        <v>969</v>
      </c>
      <c r="L83" s="163" t="s">
        <v>970</v>
      </c>
      <c r="M83" s="193" t="s">
        <v>971</v>
      </c>
      <c r="N83" s="166" t="s">
        <v>1516</v>
      </c>
      <c r="O83" s="164" t="s">
        <v>2992</v>
      </c>
      <c r="P83" s="167" t="s">
        <v>2992</v>
      </c>
      <c r="Q83" s="164" t="s">
        <v>2996</v>
      </c>
      <c r="R83" s="152"/>
      <c r="S83" s="152"/>
      <c r="T83" s="152"/>
      <c r="U83" s="152"/>
      <c r="V83" s="152"/>
      <c r="W83" s="152"/>
      <c r="X83" s="152"/>
      <c r="Y83" s="152"/>
      <c r="Z83" s="152"/>
      <c r="AA83" s="152"/>
    </row>
    <row r="84" ht="39.75" customHeight="1">
      <c r="A84" s="185"/>
      <c r="B84" s="163" t="s">
        <v>558</v>
      </c>
      <c r="C84" s="164" t="s">
        <v>121</v>
      </c>
      <c r="D84" s="164" t="s">
        <v>3003</v>
      </c>
      <c r="E84" s="165">
        <v>2.0</v>
      </c>
      <c r="F84" s="165" t="s">
        <v>123</v>
      </c>
      <c r="G84" s="164" t="s">
        <v>123</v>
      </c>
      <c r="H84" s="163" t="s">
        <v>558</v>
      </c>
      <c r="I84" s="163" t="s">
        <v>3009</v>
      </c>
      <c r="J84" s="163" t="s">
        <v>968</v>
      </c>
      <c r="K84" s="163" t="s">
        <v>969</v>
      </c>
      <c r="L84" s="163" t="s">
        <v>970</v>
      </c>
      <c r="M84" s="163">
        <v>2.0</v>
      </c>
      <c r="N84" s="191" t="s">
        <v>1679</v>
      </c>
      <c r="O84" s="164" t="s">
        <v>214</v>
      </c>
      <c r="P84" s="167" t="s">
        <v>214</v>
      </c>
      <c r="Q84" s="164" t="s">
        <v>3018</v>
      </c>
      <c r="R84" s="152"/>
      <c r="S84" s="152"/>
      <c r="T84" s="152"/>
      <c r="U84" s="152"/>
      <c r="V84" s="152"/>
      <c r="W84" s="152"/>
      <c r="X84" s="152"/>
      <c r="Y84" s="152"/>
      <c r="Z84" s="152"/>
      <c r="AA84" s="152"/>
    </row>
    <row r="85" ht="39.75" customHeight="1">
      <c r="A85" s="185"/>
      <c r="B85" s="163" t="s">
        <v>3027</v>
      </c>
      <c r="C85" s="164" t="s">
        <v>121</v>
      </c>
      <c r="D85" s="164" t="s">
        <v>3030</v>
      </c>
      <c r="E85" s="165">
        <v>0.1</v>
      </c>
      <c r="F85" s="165">
        <v>0.2</v>
      </c>
      <c r="G85" s="164" t="s">
        <v>123</v>
      </c>
      <c r="H85" s="163" t="s">
        <v>3027</v>
      </c>
      <c r="I85" s="163" t="s">
        <v>3044</v>
      </c>
      <c r="J85" s="163" t="s">
        <v>968</v>
      </c>
      <c r="K85" s="207" t="s">
        <v>969</v>
      </c>
      <c r="L85" s="163" t="s">
        <v>970</v>
      </c>
      <c r="M85" s="163">
        <v>2.0</v>
      </c>
      <c r="N85" s="167">
        <v>480.0</v>
      </c>
      <c r="O85" s="164"/>
      <c r="P85" s="167"/>
      <c r="Q85" s="164" t="s">
        <v>3057</v>
      </c>
      <c r="R85" s="152"/>
      <c r="S85" s="152"/>
      <c r="T85" s="152"/>
      <c r="U85" s="152"/>
      <c r="V85" s="152"/>
      <c r="W85" s="152"/>
      <c r="X85" s="152"/>
      <c r="Y85" s="152"/>
      <c r="Z85" s="152"/>
      <c r="AA85" s="152"/>
    </row>
    <row r="86" ht="39.75" customHeight="1">
      <c r="A86" s="185"/>
      <c r="B86" s="163" t="s">
        <v>69</v>
      </c>
      <c r="C86" s="164" t="s">
        <v>3064</v>
      </c>
      <c r="D86" s="164" t="s">
        <v>122</v>
      </c>
      <c r="E86" s="165">
        <v>10.0</v>
      </c>
      <c r="F86" s="165">
        <v>20.0</v>
      </c>
      <c r="G86" s="164">
        <v>78.0</v>
      </c>
      <c r="H86" s="163" t="s">
        <v>69</v>
      </c>
      <c r="I86" s="163" t="s">
        <v>3071</v>
      </c>
      <c r="J86" s="163" t="s">
        <v>134</v>
      </c>
      <c r="K86" s="163" t="s">
        <v>2689</v>
      </c>
      <c r="L86" s="163" t="s">
        <v>126</v>
      </c>
      <c r="M86" s="163" t="s">
        <v>774</v>
      </c>
      <c r="N86" s="191" t="s">
        <v>3104</v>
      </c>
      <c r="O86" s="164" t="s">
        <v>138</v>
      </c>
      <c r="P86" s="167" t="s">
        <v>138</v>
      </c>
      <c r="Q86" s="164" t="s">
        <v>3105</v>
      </c>
      <c r="R86" s="152"/>
      <c r="S86" s="152"/>
      <c r="T86" s="152"/>
      <c r="U86" s="152"/>
      <c r="V86" s="152"/>
      <c r="W86" s="152"/>
      <c r="X86" s="152"/>
      <c r="Y86" s="152"/>
      <c r="Z86" s="152"/>
      <c r="AA86" s="152"/>
    </row>
    <row r="87" ht="39.75" customHeight="1">
      <c r="A87" s="185"/>
      <c r="B87" s="163" t="s">
        <v>3106</v>
      </c>
      <c r="C87" s="164" t="s">
        <v>121</v>
      </c>
      <c r="D87" s="164" t="s">
        <v>122</v>
      </c>
      <c r="E87" s="165" t="s">
        <v>123</v>
      </c>
      <c r="F87" s="165">
        <v>1000.0</v>
      </c>
      <c r="G87" s="164">
        <v>780.0</v>
      </c>
      <c r="H87" s="163" t="s">
        <v>3106</v>
      </c>
      <c r="I87" s="163" t="s">
        <v>967</v>
      </c>
      <c r="J87" s="163" t="s">
        <v>134</v>
      </c>
      <c r="K87" s="163" t="s">
        <v>175</v>
      </c>
      <c r="L87" s="163" t="s">
        <v>126</v>
      </c>
      <c r="M87" s="163" t="s">
        <v>164</v>
      </c>
      <c r="N87" s="191" t="s">
        <v>1391</v>
      </c>
      <c r="O87" s="164" t="s">
        <v>167</v>
      </c>
      <c r="P87" s="167" t="s">
        <v>167</v>
      </c>
      <c r="Q87" s="164" t="s">
        <v>3114</v>
      </c>
      <c r="R87" s="152"/>
      <c r="S87" s="152"/>
      <c r="T87" s="152"/>
      <c r="U87" s="152"/>
      <c r="V87" s="152"/>
      <c r="W87" s="152"/>
      <c r="X87" s="152"/>
      <c r="Y87" s="152"/>
      <c r="Z87" s="152"/>
      <c r="AA87" s="152"/>
    </row>
    <row r="88" ht="42.0" customHeight="1">
      <c r="A88" s="185"/>
      <c r="B88" s="163" t="s">
        <v>3122</v>
      </c>
      <c r="C88" s="164" t="s">
        <v>121</v>
      </c>
      <c r="D88" s="164" t="s">
        <v>122</v>
      </c>
      <c r="E88" s="165">
        <v>3.0</v>
      </c>
      <c r="F88" s="165">
        <v>6.0</v>
      </c>
      <c r="G88" s="164" t="s">
        <v>123</v>
      </c>
      <c r="H88" s="163" t="s">
        <v>3122</v>
      </c>
      <c r="I88" s="163" t="s">
        <v>276</v>
      </c>
      <c r="J88" s="163" t="s">
        <v>3142</v>
      </c>
      <c r="K88" s="163" t="s">
        <v>3144</v>
      </c>
      <c r="L88" s="163" t="s">
        <v>126</v>
      </c>
      <c r="M88" s="163" t="s">
        <v>2606</v>
      </c>
      <c r="N88" s="191" t="s">
        <v>3181</v>
      </c>
      <c r="O88" s="164"/>
      <c r="P88" s="167"/>
      <c r="Q88" s="164" t="s">
        <v>3186</v>
      </c>
      <c r="R88" s="152"/>
      <c r="S88" s="152"/>
      <c r="T88" s="152"/>
      <c r="U88" s="152"/>
      <c r="V88" s="152"/>
      <c r="W88" s="152"/>
      <c r="X88" s="152"/>
      <c r="Y88" s="152"/>
      <c r="Z88" s="152"/>
      <c r="AA88" s="152"/>
    </row>
    <row r="89" ht="39.75" customHeight="1">
      <c r="A89" s="208"/>
      <c r="B89" s="209" t="s">
        <v>3207</v>
      </c>
      <c r="C89" s="164" t="s">
        <v>121</v>
      </c>
      <c r="D89" s="164" t="s">
        <v>122</v>
      </c>
      <c r="E89" s="165">
        <v>50.0</v>
      </c>
      <c r="F89" s="165" t="s">
        <v>123</v>
      </c>
      <c r="G89" s="164" t="s">
        <v>123</v>
      </c>
      <c r="H89" s="163" t="s">
        <v>3207</v>
      </c>
      <c r="I89" s="163" t="s">
        <v>3210</v>
      </c>
      <c r="J89" s="163" t="s">
        <v>3213</v>
      </c>
      <c r="K89" s="163" t="s">
        <v>3215</v>
      </c>
      <c r="L89" s="163" t="s">
        <v>126</v>
      </c>
      <c r="M89" s="163" t="s">
        <v>3217</v>
      </c>
      <c r="N89" s="191" t="s">
        <v>1391</v>
      </c>
      <c r="O89" s="164" t="s">
        <v>167</v>
      </c>
      <c r="P89" s="167" t="s">
        <v>167</v>
      </c>
      <c r="Q89" s="164" t="s">
        <v>3223</v>
      </c>
      <c r="R89" s="152"/>
      <c r="S89" s="152"/>
      <c r="T89" s="152"/>
      <c r="U89" s="152"/>
      <c r="V89" s="152"/>
      <c r="W89" s="152"/>
      <c r="X89" s="152"/>
      <c r="Y89" s="152"/>
      <c r="Z89" s="152"/>
      <c r="AA89" s="152"/>
    </row>
    <row r="90" ht="39.75" customHeight="1">
      <c r="A90" s="185"/>
      <c r="B90" s="163" t="s">
        <v>3232</v>
      </c>
      <c r="C90" s="164" t="s">
        <v>121</v>
      </c>
      <c r="D90" s="164" t="s">
        <v>122</v>
      </c>
      <c r="E90" s="165">
        <v>44.0</v>
      </c>
      <c r="F90" s="165">
        <v>88.0</v>
      </c>
      <c r="G90" s="164" t="s">
        <v>123</v>
      </c>
      <c r="H90" s="163" t="s">
        <v>3232</v>
      </c>
      <c r="I90" s="163" t="s">
        <v>3241</v>
      </c>
      <c r="J90" s="163" t="s">
        <v>134</v>
      </c>
      <c r="K90" s="163" t="s">
        <v>3244</v>
      </c>
      <c r="L90" s="163" t="s">
        <v>126</v>
      </c>
      <c r="M90" s="163" t="s">
        <v>3217</v>
      </c>
      <c r="N90" s="191" t="s">
        <v>1391</v>
      </c>
      <c r="O90" s="164" t="s">
        <v>167</v>
      </c>
      <c r="P90" s="167" t="s">
        <v>167</v>
      </c>
      <c r="Q90" s="164" t="s">
        <v>3253</v>
      </c>
      <c r="R90" s="152"/>
      <c r="S90" s="152"/>
      <c r="T90" s="152"/>
      <c r="U90" s="152"/>
      <c r="V90" s="152"/>
      <c r="W90" s="152"/>
      <c r="X90" s="152"/>
      <c r="Y90" s="152"/>
      <c r="Z90" s="152"/>
      <c r="AA90" s="152"/>
    </row>
    <row r="91" ht="39.75" customHeight="1">
      <c r="A91" s="185"/>
      <c r="B91" s="163" t="s">
        <v>3264</v>
      </c>
      <c r="C91" s="164" t="s">
        <v>121</v>
      </c>
      <c r="D91" s="164" t="s">
        <v>122</v>
      </c>
      <c r="E91" s="165">
        <v>10.0</v>
      </c>
      <c r="F91" s="165" t="s">
        <v>123</v>
      </c>
      <c r="G91" s="164" t="s">
        <v>123</v>
      </c>
      <c r="H91" s="163" t="s">
        <v>3264</v>
      </c>
      <c r="I91" s="163" t="s">
        <v>3274</v>
      </c>
      <c r="J91" s="163" t="s">
        <v>134</v>
      </c>
      <c r="K91" s="163" t="s">
        <v>3276</v>
      </c>
      <c r="L91" s="163" t="s">
        <v>126</v>
      </c>
      <c r="M91" s="163">
        <v>2.0</v>
      </c>
      <c r="N91" s="191" t="s">
        <v>1679</v>
      </c>
      <c r="O91" s="164"/>
      <c r="P91" s="167"/>
      <c r="Q91" s="164" t="s">
        <v>3283</v>
      </c>
      <c r="R91" s="152"/>
      <c r="S91" s="152"/>
      <c r="T91" s="152"/>
      <c r="U91" s="152"/>
      <c r="V91" s="152"/>
      <c r="W91" s="152"/>
      <c r="X91" s="152"/>
      <c r="Y91" s="152"/>
      <c r="Z91" s="152"/>
      <c r="AA91" s="152"/>
    </row>
    <row r="92" ht="39.75" customHeight="1">
      <c r="A92" s="185"/>
      <c r="B92" s="163" t="s">
        <v>73</v>
      </c>
      <c r="C92" s="164" t="s">
        <v>3292</v>
      </c>
      <c r="D92" s="164" t="s">
        <v>122</v>
      </c>
      <c r="E92" s="165">
        <v>20.0</v>
      </c>
      <c r="F92" s="165" t="s">
        <v>123</v>
      </c>
      <c r="G92" s="164">
        <v>78.0</v>
      </c>
      <c r="H92" s="163" t="s">
        <v>73</v>
      </c>
      <c r="I92" s="163" t="s">
        <v>3298</v>
      </c>
      <c r="J92" s="163" t="s">
        <v>134</v>
      </c>
      <c r="K92" s="163" t="s">
        <v>2689</v>
      </c>
      <c r="L92" s="163" t="s">
        <v>126</v>
      </c>
      <c r="M92" s="163" t="s">
        <v>127</v>
      </c>
      <c r="N92" s="166" t="s">
        <v>1013</v>
      </c>
      <c r="O92" s="164" t="s">
        <v>214</v>
      </c>
      <c r="P92" s="167" t="s">
        <v>214</v>
      </c>
      <c r="Q92" s="164" t="s">
        <v>3309</v>
      </c>
      <c r="R92" s="152"/>
      <c r="S92" s="152"/>
      <c r="T92" s="152"/>
      <c r="U92" s="152"/>
      <c r="V92" s="152"/>
      <c r="W92" s="152"/>
      <c r="X92" s="152"/>
      <c r="Y92" s="152"/>
      <c r="Z92" s="152"/>
      <c r="AA92" s="152"/>
    </row>
    <row r="93" ht="39.75" customHeight="1">
      <c r="A93" s="214"/>
      <c r="B93" s="165" t="s">
        <v>3461</v>
      </c>
      <c r="C93" s="165" t="s">
        <v>121</v>
      </c>
      <c r="D93" s="165" t="s">
        <v>122</v>
      </c>
      <c r="E93" s="165">
        <v>200.0</v>
      </c>
      <c r="F93" s="165" t="s">
        <v>123</v>
      </c>
      <c r="G93" s="165" t="s">
        <v>123</v>
      </c>
      <c r="H93" s="165" t="s">
        <v>3461</v>
      </c>
      <c r="I93" s="217" t="s">
        <v>2894</v>
      </c>
      <c r="J93" s="217" t="s">
        <v>3466</v>
      </c>
      <c r="K93" s="217" t="s">
        <v>3467</v>
      </c>
      <c r="L93" s="217" t="s">
        <v>126</v>
      </c>
      <c r="M93" s="217" t="s">
        <v>3468</v>
      </c>
      <c r="N93" s="218" t="s">
        <v>1013</v>
      </c>
      <c r="O93" s="165" t="s">
        <v>123</v>
      </c>
      <c r="P93" s="219" t="s">
        <v>123</v>
      </c>
      <c r="Q93" s="165" t="s">
        <v>3469</v>
      </c>
      <c r="R93" s="194"/>
      <c r="S93" s="194"/>
      <c r="T93" s="194"/>
      <c r="U93" s="194"/>
      <c r="V93" s="194"/>
      <c r="W93" s="194"/>
      <c r="X93" s="194"/>
      <c r="Y93" s="194"/>
      <c r="Z93" s="194"/>
      <c r="AA93" s="194"/>
    </row>
    <row r="94" ht="39.75" customHeight="1">
      <c r="A94" s="185"/>
      <c r="B94" s="163" t="s">
        <v>3471</v>
      </c>
      <c r="C94" s="164" t="s">
        <v>121</v>
      </c>
      <c r="D94" s="164" t="s">
        <v>122</v>
      </c>
      <c r="E94" s="165">
        <v>25.0</v>
      </c>
      <c r="F94" s="165">
        <v>50.0</v>
      </c>
      <c r="G94" s="164" t="s">
        <v>123</v>
      </c>
      <c r="H94" s="163" t="s">
        <v>3471</v>
      </c>
      <c r="I94" s="163" t="s">
        <v>1004</v>
      </c>
      <c r="J94" s="163" t="s">
        <v>134</v>
      </c>
      <c r="K94" s="163" t="s">
        <v>3473</v>
      </c>
      <c r="L94" s="163" t="s">
        <v>126</v>
      </c>
      <c r="M94" s="163" t="s">
        <v>3474</v>
      </c>
      <c r="N94" s="166" t="s">
        <v>3475</v>
      </c>
      <c r="O94" s="164"/>
      <c r="P94" s="167"/>
      <c r="Q94" s="164" t="s">
        <v>3476</v>
      </c>
      <c r="R94" s="152"/>
      <c r="S94" s="152"/>
      <c r="T94" s="152"/>
      <c r="U94" s="152"/>
      <c r="V94" s="152"/>
      <c r="W94" s="152"/>
      <c r="X94" s="152"/>
      <c r="Y94" s="152"/>
      <c r="Z94" s="152"/>
      <c r="AA94" s="152"/>
    </row>
    <row r="95" ht="39.75" customHeight="1">
      <c r="A95" s="185"/>
      <c r="B95" s="163" t="s">
        <v>3477</v>
      </c>
      <c r="C95" s="163" t="s">
        <v>1627</v>
      </c>
      <c r="D95" s="164" t="s">
        <v>122</v>
      </c>
      <c r="E95" s="165">
        <v>5.0</v>
      </c>
      <c r="F95" s="165" t="s">
        <v>123</v>
      </c>
      <c r="G95" s="164">
        <v>4.0</v>
      </c>
      <c r="H95" s="163" t="s">
        <v>3477</v>
      </c>
      <c r="I95" s="163" t="s">
        <v>3478</v>
      </c>
      <c r="J95" s="163" t="s">
        <v>3479</v>
      </c>
      <c r="K95" s="163" t="s">
        <v>2605</v>
      </c>
      <c r="L95" s="163" t="s">
        <v>126</v>
      </c>
      <c r="M95" s="163" t="s">
        <v>2900</v>
      </c>
      <c r="N95" s="191" t="s">
        <v>3480</v>
      </c>
      <c r="O95" s="164" t="s">
        <v>251</v>
      </c>
      <c r="P95" s="167" t="s">
        <v>251</v>
      </c>
      <c r="Q95" s="164" t="s">
        <v>3481</v>
      </c>
      <c r="R95" s="152"/>
      <c r="S95" s="152"/>
      <c r="T95" s="152"/>
      <c r="U95" s="152"/>
      <c r="V95" s="152"/>
      <c r="W95" s="152"/>
      <c r="X95" s="152"/>
      <c r="Y95" s="152"/>
      <c r="Z95" s="152"/>
      <c r="AA95" s="152"/>
    </row>
    <row r="96" ht="39.75" customHeight="1">
      <c r="A96" s="208"/>
      <c r="B96" s="209" t="s">
        <v>600</v>
      </c>
      <c r="C96" s="164" t="s">
        <v>121</v>
      </c>
      <c r="D96" s="164" t="s">
        <v>3482</v>
      </c>
      <c r="E96" s="165">
        <v>5.0</v>
      </c>
      <c r="F96" s="165" t="s">
        <v>123</v>
      </c>
      <c r="G96" s="164" t="s">
        <v>123</v>
      </c>
      <c r="H96" s="163" t="s">
        <v>600</v>
      </c>
      <c r="I96" s="163" t="s">
        <v>3009</v>
      </c>
      <c r="J96" s="163" t="s">
        <v>968</v>
      </c>
      <c r="K96" s="163" t="s">
        <v>969</v>
      </c>
      <c r="L96" s="163" t="s">
        <v>970</v>
      </c>
      <c r="M96" s="193" t="s">
        <v>971</v>
      </c>
      <c r="N96" s="221" t="s">
        <v>974</v>
      </c>
      <c r="O96" s="164" t="s">
        <v>1046</v>
      </c>
      <c r="P96" s="167" t="s">
        <v>1046</v>
      </c>
      <c r="Q96" s="164" t="s">
        <v>3487</v>
      </c>
      <c r="R96" s="152"/>
      <c r="S96" s="152"/>
      <c r="T96" s="152"/>
      <c r="U96" s="152"/>
      <c r="V96" s="152"/>
      <c r="W96" s="152"/>
      <c r="X96" s="152"/>
      <c r="Y96" s="152"/>
      <c r="Z96" s="152"/>
      <c r="AA96" s="152"/>
    </row>
    <row r="97" ht="39.75" customHeight="1">
      <c r="A97" s="187"/>
      <c r="B97" s="164" t="s">
        <v>3488</v>
      </c>
      <c r="C97" s="164" t="s">
        <v>121</v>
      </c>
      <c r="D97" s="164" t="s">
        <v>3489</v>
      </c>
      <c r="E97" s="165">
        <v>2.5</v>
      </c>
      <c r="F97" s="165" t="s">
        <v>123</v>
      </c>
      <c r="G97" s="164" t="s">
        <v>123</v>
      </c>
      <c r="H97" s="164" t="s">
        <v>3488</v>
      </c>
      <c r="I97" s="163" t="s">
        <v>3490</v>
      </c>
      <c r="J97" s="163" t="s">
        <v>968</v>
      </c>
      <c r="K97" s="163" t="s">
        <v>1074</v>
      </c>
      <c r="L97" s="163" t="s">
        <v>126</v>
      </c>
      <c r="M97" s="193" t="s">
        <v>1077</v>
      </c>
      <c r="N97" s="164" t="s">
        <v>3491</v>
      </c>
      <c r="O97" s="164" t="s">
        <v>255</v>
      </c>
      <c r="P97" s="164" t="s">
        <v>255</v>
      </c>
      <c r="Q97" s="164" t="s">
        <v>3493</v>
      </c>
      <c r="R97" s="152"/>
      <c r="S97" s="152"/>
      <c r="T97" s="152"/>
      <c r="U97" s="152"/>
      <c r="V97" s="152"/>
      <c r="W97" s="152"/>
      <c r="X97" s="152"/>
      <c r="Y97" s="152"/>
      <c r="Z97" s="152"/>
      <c r="AA97" s="152"/>
    </row>
    <row r="98" ht="39.75" customHeight="1">
      <c r="A98" s="188"/>
      <c r="B98" s="222" t="s">
        <v>3494</v>
      </c>
      <c r="C98" s="164" t="s">
        <v>121</v>
      </c>
      <c r="D98" s="164" t="s">
        <v>122</v>
      </c>
      <c r="E98" s="165">
        <v>0.1</v>
      </c>
      <c r="F98" s="165">
        <v>0.3</v>
      </c>
      <c r="G98" s="164">
        <v>1.6</v>
      </c>
      <c r="H98" s="163" t="s">
        <v>3494</v>
      </c>
      <c r="I98" s="163" t="s">
        <v>3495</v>
      </c>
      <c r="J98" s="163" t="s">
        <v>202</v>
      </c>
      <c r="K98" s="163" t="s">
        <v>3496</v>
      </c>
      <c r="L98" s="163" t="s">
        <v>126</v>
      </c>
      <c r="M98" s="163" t="s">
        <v>3497</v>
      </c>
      <c r="N98" s="164" t="s">
        <v>3499</v>
      </c>
      <c r="O98" s="164" t="s">
        <v>214</v>
      </c>
      <c r="P98" s="167" t="s">
        <v>214</v>
      </c>
      <c r="Q98" s="164" t="s">
        <v>3500</v>
      </c>
      <c r="R98" s="152"/>
      <c r="S98" s="152"/>
      <c r="T98" s="152"/>
      <c r="U98" s="152"/>
      <c r="V98" s="152"/>
      <c r="W98" s="152"/>
      <c r="X98" s="152"/>
      <c r="Y98" s="152"/>
      <c r="Z98" s="152"/>
      <c r="AA98" s="152"/>
    </row>
    <row r="99" ht="39.75" customHeight="1">
      <c r="A99" s="152"/>
      <c r="B99" s="223" t="s">
        <v>3502</v>
      </c>
      <c r="C99" s="223" t="s">
        <v>1131</v>
      </c>
      <c r="D99" s="223" t="s">
        <v>122</v>
      </c>
      <c r="E99" s="165">
        <v>0.05</v>
      </c>
      <c r="F99" s="165">
        <v>0.15</v>
      </c>
      <c r="G99" s="223">
        <v>0.23</v>
      </c>
      <c r="H99" s="223" t="s">
        <v>3502</v>
      </c>
      <c r="I99" s="223" t="s">
        <v>3503</v>
      </c>
      <c r="J99" s="222" t="s">
        <v>3504</v>
      </c>
      <c r="K99" s="222" t="s">
        <v>969</v>
      </c>
      <c r="L99" s="222" t="s">
        <v>970</v>
      </c>
      <c r="M99" s="222">
        <v>1.0</v>
      </c>
      <c r="N99" s="225">
        <v>240.0</v>
      </c>
      <c r="O99" s="222"/>
      <c r="P99" s="225"/>
      <c r="Q99" s="164" t="s">
        <v>1119</v>
      </c>
      <c r="R99" s="152"/>
      <c r="S99" s="152"/>
      <c r="T99" s="152"/>
      <c r="U99" s="152"/>
      <c r="V99" s="152"/>
      <c r="W99" s="152"/>
      <c r="X99" s="152"/>
      <c r="Y99" s="152"/>
      <c r="Z99" s="152"/>
      <c r="AA99" s="152"/>
    </row>
    <row r="100" ht="39.75" customHeight="1">
      <c r="A100" s="187"/>
      <c r="B100" s="164" t="s">
        <v>3505</v>
      </c>
      <c r="C100" s="164" t="s">
        <v>1131</v>
      </c>
      <c r="D100" s="164" t="s">
        <v>3506</v>
      </c>
      <c r="E100" s="165">
        <v>0.1</v>
      </c>
      <c r="F100" s="165" t="s">
        <v>123</v>
      </c>
      <c r="G100" s="164" t="s">
        <v>123</v>
      </c>
      <c r="H100" s="164" t="s">
        <v>3505</v>
      </c>
      <c r="I100" s="163" t="s">
        <v>3507</v>
      </c>
      <c r="J100" s="163" t="s">
        <v>3508</v>
      </c>
      <c r="K100" s="163" t="s">
        <v>3509</v>
      </c>
      <c r="L100" s="163" t="s">
        <v>126</v>
      </c>
      <c r="M100" s="193" t="s">
        <v>971</v>
      </c>
      <c r="N100" s="184" t="s">
        <v>1516</v>
      </c>
      <c r="O100" s="164" t="s">
        <v>214</v>
      </c>
      <c r="P100" s="167" t="s">
        <v>214</v>
      </c>
      <c r="Q100" s="164" t="s">
        <v>3511</v>
      </c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</row>
    <row r="101" ht="39.75" customHeight="1">
      <c r="A101" s="187"/>
      <c r="B101" s="164" t="s">
        <v>3513</v>
      </c>
      <c r="C101" s="164" t="s">
        <v>121</v>
      </c>
      <c r="D101" s="164" t="s">
        <v>3514</v>
      </c>
      <c r="E101" s="165">
        <v>1.76</v>
      </c>
      <c r="F101" s="165" t="s">
        <v>123</v>
      </c>
      <c r="G101" s="164" t="s">
        <v>123</v>
      </c>
      <c r="H101" s="163" t="s">
        <v>3513</v>
      </c>
      <c r="I101" s="163" t="s">
        <v>3515</v>
      </c>
      <c r="J101" s="163" t="s">
        <v>3504</v>
      </c>
      <c r="K101" s="163" t="s">
        <v>3516</v>
      </c>
      <c r="L101" s="163" t="s">
        <v>126</v>
      </c>
      <c r="M101" s="163">
        <v>1.0</v>
      </c>
      <c r="N101" s="184">
        <v>100.0</v>
      </c>
      <c r="O101" s="164">
        <v>0.01</v>
      </c>
      <c r="P101" s="167"/>
      <c r="Q101" s="164" t="s">
        <v>3517</v>
      </c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</row>
    <row r="102" ht="39.75" customHeight="1">
      <c r="A102" s="187"/>
      <c r="B102" s="164" t="s">
        <v>3518</v>
      </c>
      <c r="C102" s="164" t="s">
        <v>1793</v>
      </c>
      <c r="D102" s="164" t="s">
        <v>122</v>
      </c>
      <c r="E102" s="165">
        <v>300.0</v>
      </c>
      <c r="F102" s="165">
        <v>500.0</v>
      </c>
      <c r="G102" s="164" t="s">
        <v>123</v>
      </c>
      <c r="H102" s="164" t="s">
        <v>3518</v>
      </c>
      <c r="I102" s="163" t="s">
        <v>3520</v>
      </c>
      <c r="J102" s="163" t="s">
        <v>134</v>
      </c>
      <c r="K102" s="207" t="s">
        <v>3521</v>
      </c>
      <c r="L102" s="163" t="s">
        <v>126</v>
      </c>
      <c r="M102" s="163" t="s">
        <v>127</v>
      </c>
      <c r="N102" s="163" t="s">
        <v>3522</v>
      </c>
      <c r="O102" s="228" t="s">
        <v>3523</v>
      </c>
      <c r="P102" s="164" t="s">
        <v>3523</v>
      </c>
      <c r="Q102" s="164" t="s">
        <v>3524</v>
      </c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</row>
    <row r="103" ht="39.75" customHeight="1">
      <c r="A103" s="185"/>
      <c r="B103" s="163" t="s">
        <v>3525</v>
      </c>
      <c r="C103" s="164" t="s">
        <v>121</v>
      </c>
      <c r="D103" s="164" t="s">
        <v>122</v>
      </c>
      <c r="E103" s="165">
        <v>400.0</v>
      </c>
      <c r="F103" s="165">
        <v>500.0</v>
      </c>
      <c r="G103" s="164" t="s">
        <v>123</v>
      </c>
      <c r="H103" s="163" t="s">
        <v>3525</v>
      </c>
      <c r="I103" s="163" t="s">
        <v>3526</v>
      </c>
      <c r="J103" s="163" t="s">
        <v>134</v>
      </c>
      <c r="K103" s="163" t="s">
        <v>2155</v>
      </c>
      <c r="L103" s="163" t="s">
        <v>126</v>
      </c>
      <c r="M103" s="163" t="s">
        <v>127</v>
      </c>
      <c r="N103" s="191" t="s">
        <v>2375</v>
      </c>
      <c r="O103" s="164" t="s">
        <v>3527</v>
      </c>
      <c r="P103" s="167" t="s">
        <v>3527</v>
      </c>
      <c r="Q103" s="164" t="s">
        <v>3528</v>
      </c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</row>
    <row r="104" ht="39.75" customHeight="1">
      <c r="A104" s="187"/>
      <c r="B104" s="164" t="s">
        <v>3529</v>
      </c>
      <c r="C104" s="164" t="s">
        <v>121</v>
      </c>
      <c r="D104" s="164" t="s">
        <v>122</v>
      </c>
      <c r="E104" s="165">
        <v>100.0</v>
      </c>
      <c r="F104" s="165" t="s">
        <v>123</v>
      </c>
      <c r="G104" s="164" t="s">
        <v>123</v>
      </c>
      <c r="H104" s="164" t="s">
        <v>3529</v>
      </c>
      <c r="I104" s="163" t="s">
        <v>3530</v>
      </c>
      <c r="J104" s="163" t="s">
        <v>134</v>
      </c>
      <c r="K104" s="163" t="s">
        <v>2155</v>
      </c>
      <c r="L104" s="163" t="s">
        <v>126</v>
      </c>
      <c r="M104" s="163" t="s">
        <v>127</v>
      </c>
      <c r="N104" s="184" t="s">
        <v>3533</v>
      </c>
      <c r="O104" s="165"/>
      <c r="P104" s="167" t="s">
        <v>255</v>
      </c>
      <c r="Q104" s="164" t="s">
        <v>3535</v>
      </c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</row>
    <row r="105" ht="39.75" customHeight="1">
      <c r="A105" s="187"/>
      <c r="B105" s="164" t="s">
        <v>3536</v>
      </c>
      <c r="C105" s="164" t="s">
        <v>121</v>
      </c>
      <c r="D105" s="164" t="s">
        <v>3537</v>
      </c>
      <c r="E105" s="165">
        <v>1.0</v>
      </c>
      <c r="F105" s="165" t="s">
        <v>123</v>
      </c>
      <c r="G105" s="164" t="s">
        <v>123</v>
      </c>
      <c r="H105" s="164" t="s">
        <v>3536</v>
      </c>
      <c r="I105" s="163" t="s">
        <v>3542</v>
      </c>
      <c r="J105" s="163" t="s">
        <v>968</v>
      </c>
      <c r="K105" s="163" t="s">
        <v>3543</v>
      </c>
      <c r="L105" s="163" t="s">
        <v>126</v>
      </c>
      <c r="M105" s="163">
        <v>0.2</v>
      </c>
      <c r="N105" s="167">
        <v>20.0</v>
      </c>
      <c r="O105" s="164" t="s">
        <v>255</v>
      </c>
      <c r="P105" s="167" t="s">
        <v>255</v>
      </c>
      <c r="Q105" s="164" t="s">
        <v>3544</v>
      </c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</row>
    <row r="106" ht="39.75" customHeight="1">
      <c r="A106" s="185"/>
      <c r="B106" s="163" t="s">
        <v>3546</v>
      </c>
      <c r="C106" s="164" t="s">
        <v>121</v>
      </c>
      <c r="D106" s="164" t="s">
        <v>3547</v>
      </c>
      <c r="E106" s="165">
        <v>5.0</v>
      </c>
      <c r="F106" s="165" t="s">
        <v>123</v>
      </c>
      <c r="G106" s="164" t="s">
        <v>123</v>
      </c>
      <c r="H106" s="163" t="s">
        <v>3546</v>
      </c>
      <c r="I106" s="163" t="s">
        <v>3548</v>
      </c>
      <c r="J106" s="163" t="s">
        <v>968</v>
      </c>
      <c r="K106" s="163" t="s">
        <v>3550</v>
      </c>
      <c r="L106" s="163" t="s">
        <v>970</v>
      </c>
      <c r="M106" s="193" t="s">
        <v>971</v>
      </c>
      <c r="N106" s="184" t="s">
        <v>3551</v>
      </c>
      <c r="O106" s="164"/>
      <c r="P106" s="167"/>
      <c r="Q106" s="164" t="s">
        <v>3552</v>
      </c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</row>
    <row r="107" ht="39.75" customHeight="1">
      <c r="A107" s="185"/>
      <c r="B107" s="163" t="s">
        <v>3553</v>
      </c>
      <c r="C107" s="164" t="s">
        <v>121</v>
      </c>
      <c r="D107" s="164" t="s">
        <v>3554</v>
      </c>
      <c r="E107" s="165" t="s">
        <v>123</v>
      </c>
      <c r="F107" s="165">
        <v>2.0</v>
      </c>
      <c r="G107" s="164" t="s">
        <v>123</v>
      </c>
      <c r="H107" s="163" t="s">
        <v>3553</v>
      </c>
      <c r="I107" s="163" t="s">
        <v>1199</v>
      </c>
      <c r="J107" s="163" t="s">
        <v>968</v>
      </c>
      <c r="K107" s="163" t="s">
        <v>969</v>
      </c>
      <c r="L107" s="163" t="s">
        <v>970</v>
      </c>
      <c r="M107" s="193" t="s">
        <v>971</v>
      </c>
      <c r="N107" s="184" t="s">
        <v>3551</v>
      </c>
      <c r="O107" s="164" t="s">
        <v>167</v>
      </c>
      <c r="P107" s="167" t="s">
        <v>167</v>
      </c>
      <c r="Q107" s="164" t="s">
        <v>3556</v>
      </c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</row>
    <row r="108" ht="39.75" customHeight="1">
      <c r="A108" s="185"/>
      <c r="B108" s="163" t="s">
        <v>3558</v>
      </c>
      <c r="C108" s="164" t="s">
        <v>121</v>
      </c>
      <c r="D108" s="164" t="s">
        <v>3559</v>
      </c>
      <c r="E108" s="165" t="s">
        <v>123</v>
      </c>
      <c r="F108" s="165">
        <v>2.0</v>
      </c>
      <c r="G108" s="164" t="s">
        <v>123</v>
      </c>
      <c r="H108" s="163" t="s">
        <v>3558</v>
      </c>
      <c r="I108" s="163" t="s">
        <v>1199</v>
      </c>
      <c r="J108" s="163" t="s">
        <v>968</v>
      </c>
      <c r="K108" s="163" t="s">
        <v>969</v>
      </c>
      <c r="L108" s="163" t="s">
        <v>970</v>
      </c>
      <c r="M108" s="193" t="s">
        <v>971</v>
      </c>
      <c r="N108" s="184" t="s">
        <v>3551</v>
      </c>
      <c r="O108" s="164" t="s">
        <v>279</v>
      </c>
      <c r="P108" s="167" t="s">
        <v>279</v>
      </c>
      <c r="Q108" s="164" t="s">
        <v>3568</v>
      </c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</row>
    <row r="109" ht="48.0" customHeight="1">
      <c r="A109" s="185"/>
      <c r="B109" s="163" t="s">
        <v>3569</v>
      </c>
      <c r="C109" s="164" t="s">
        <v>121</v>
      </c>
      <c r="D109" s="164" t="s">
        <v>3571</v>
      </c>
      <c r="E109" s="165">
        <v>2.0</v>
      </c>
      <c r="F109" s="165" t="s">
        <v>123</v>
      </c>
      <c r="G109" s="164" t="s">
        <v>123</v>
      </c>
      <c r="H109" s="163" t="s">
        <v>3569</v>
      </c>
      <c r="I109" s="163" t="s">
        <v>3573</v>
      </c>
      <c r="J109" s="163" t="s">
        <v>3574</v>
      </c>
      <c r="K109" s="163" t="s">
        <v>3575</v>
      </c>
      <c r="L109" s="163" t="s">
        <v>126</v>
      </c>
      <c r="M109" s="163">
        <v>2.0</v>
      </c>
      <c r="N109" s="184">
        <v>480.0</v>
      </c>
      <c r="O109" s="164"/>
      <c r="P109" s="167"/>
      <c r="Q109" s="164" t="s">
        <v>3577</v>
      </c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</row>
    <row r="110" ht="39.75" customHeight="1">
      <c r="A110" s="185"/>
      <c r="B110" s="163" t="s">
        <v>3580</v>
      </c>
      <c r="C110" s="164" t="s">
        <v>3581</v>
      </c>
      <c r="D110" s="164" t="s">
        <v>3583</v>
      </c>
      <c r="E110" s="165">
        <v>0.001</v>
      </c>
      <c r="F110" s="165" t="s">
        <v>123</v>
      </c>
      <c r="G110" s="164" t="s">
        <v>123</v>
      </c>
      <c r="H110" s="163" t="s">
        <v>3580</v>
      </c>
      <c r="I110" s="163" t="s">
        <v>3584</v>
      </c>
      <c r="J110" s="163" t="s">
        <v>134</v>
      </c>
      <c r="K110" s="163" t="s">
        <v>3585</v>
      </c>
      <c r="L110" s="163" t="s">
        <v>126</v>
      </c>
      <c r="M110" s="163">
        <v>2.0</v>
      </c>
      <c r="N110" s="184">
        <v>480.0</v>
      </c>
      <c r="O110" s="164" t="s">
        <v>3586</v>
      </c>
      <c r="P110" s="167" t="s">
        <v>1046</v>
      </c>
      <c r="Q110" s="164" t="s">
        <v>3587</v>
      </c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</row>
    <row r="111" ht="39.75" customHeight="1">
      <c r="A111" s="185"/>
      <c r="B111" s="163" t="s">
        <v>3588</v>
      </c>
      <c r="C111" s="164" t="s">
        <v>121</v>
      </c>
      <c r="D111" s="164" t="s">
        <v>122</v>
      </c>
      <c r="E111" s="165">
        <v>50.0</v>
      </c>
      <c r="F111" s="165" t="s">
        <v>123</v>
      </c>
      <c r="G111" s="164">
        <v>40.0</v>
      </c>
      <c r="H111" s="163" t="s">
        <v>3588</v>
      </c>
      <c r="I111" s="163" t="s">
        <v>3590</v>
      </c>
      <c r="J111" s="163" t="s">
        <v>134</v>
      </c>
      <c r="K111" s="163" t="s">
        <v>1479</v>
      </c>
      <c r="L111" s="163" t="s">
        <v>126</v>
      </c>
      <c r="M111" s="163" t="s">
        <v>127</v>
      </c>
      <c r="N111" s="191" t="s">
        <v>1845</v>
      </c>
      <c r="O111" s="164" t="s">
        <v>166</v>
      </c>
      <c r="P111" s="167" t="s">
        <v>167</v>
      </c>
      <c r="Q111" s="164" t="s">
        <v>3593</v>
      </c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</row>
    <row r="112" ht="39.75" customHeight="1">
      <c r="A112" s="185"/>
      <c r="B112" s="163" t="s">
        <v>3594</v>
      </c>
      <c r="C112" s="164" t="s">
        <v>121</v>
      </c>
      <c r="D112" s="164" t="s">
        <v>122</v>
      </c>
      <c r="E112" s="165" t="s">
        <v>123</v>
      </c>
      <c r="F112" s="165">
        <v>5.0</v>
      </c>
      <c r="G112" s="164" t="s">
        <v>123</v>
      </c>
      <c r="H112" s="163" t="s">
        <v>3594</v>
      </c>
      <c r="I112" s="163" t="s">
        <v>3596</v>
      </c>
      <c r="J112" s="163" t="s">
        <v>134</v>
      </c>
      <c r="K112" s="163" t="s">
        <v>3598</v>
      </c>
      <c r="L112" s="163" t="s">
        <v>126</v>
      </c>
      <c r="M112" s="163" t="s">
        <v>3599</v>
      </c>
      <c r="N112" s="166" t="s">
        <v>3601</v>
      </c>
      <c r="O112" s="164" t="s">
        <v>3603</v>
      </c>
      <c r="P112" s="167" t="s">
        <v>3604</v>
      </c>
      <c r="Q112" s="164" t="s">
        <v>1212</v>
      </c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</row>
    <row r="113" ht="39.75" customHeight="1">
      <c r="A113" s="185"/>
      <c r="B113" s="163" t="s">
        <v>3606</v>
      </c>
      <c r="C113" s="164" t="s">
        <v>121</v>
      </c>
      <c r="D113" s="164" t="s">
        <v>122</v>
      </c>
      <c r="E113" s="165">
        <v>200.0</v>
      </c>
      <c r="F113" s="165">
        <v>400.0</v>
      </c>
      <c r="G113" s="164">
        <v>310.0</v>
      </c>
      <c r="H113" s="163" t="s">
        <v>3606</v>
      </c>
      <c r="I113" s="163" t="s">
        <v>3520</v>
      </c>
      <c r="J113" s="163" t="s">
        <v>134</v>
      </c>
      <c r="K113" s="163" t="s">
        <v>175</v>
      </c>
      <c r="L113" s="163" t="s">
        <v>126</v>
      </c>
      <c r="M113" s="163" t="s">
        <v>127</v>
      </c>
      <c r="N113" s="166" t="s">
        <v>178</v>
      </c>
      <c r="O113" s="164" t="s">
        <v>167</v>
      </c>
      <c r="P113" s="167" t="s">
        <v>167</v>
      </c>
      <c r="Q113" s="164" t="s">
        <v>3613</v>
      </c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</row>
    <row r="114" ht="39.75" customHeight="1">
      <c r="A114" s="152"/>
      <c r="B114" s="223" t="s">
        <v>3615</v>
      </c>
      <c r="C114" s="223"/>
      <c r="D114" s="164" t="s">
        <v>3617</v>
      </c>
      <c r="E114" s="165">
        <v>1.0</v>
      </c>
      <c r="F114" s="165" t="s">
        <v>123</v>
      </c>
      <c r="G114" s="223" t="s">
        <v>123</v>
      </c>
      <c r="H114" s="223" t="s">
        <v>3615</v>
      </c>
      <c r="I114" s="223" t="s">
        <v>3619</v>
      </c>
      <c r="J114" s="223"/>
      <c r="K114" s="222"/>
      <c r="L114" s="223"/>
      <c r="M114" s="222"/>
      <c r="N114" s="232"/>
      <c r="O114" s="223"/>
      <c r="P114" s="232"/>
      <c r="Q114" s="164" t="s">
        <v>3624</v>
      </c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</row>
    <row r="115" ht="39.75" customHeight="1">
      <c r="A115" s="208"/>
      <c r="B115" s="209" t="s">
        <v>765</v>
      </c>
      <c r="C115" s="164" t="s">
        <v>3628</v>
      </c>
      <c r="D115" s="164" t="s">
        <v>3629</v>
      </c>
      <c r="E115" s="165">
        <v>0.1</v>
      </c>
      <c r="F115" s="165" t="s">
        <v>123</v>
      </c>
      <c r="G115" s="233">
        <v>1.0</v>
      </c>
      <c r="H115" s="163" t="s">
        <v>765</v>
      </c>
      <c r="I115" s="163" t="s">
        <v>3632</v>
      </c>
      <c r="J115" s="163" t="s">
        <v>968</v>
      </c>
      <c r="K115" s="163" t="s">
        <v>969</v>
      </c>
      <c r="L115" s="163" t="s">
        <v>970</v>
      </c>
      <c r="M115" s="163" t="s">
        <v>1678</v>
      </c>
      <c r="N115" s="191" t="s">
        <v>1516</v>
      </c>
      <c r="O115" s="164" t="s">
        <v>3586</v>
      </c>
      <c r="P115" s="167" t="s">
        <v>1046</v>
      </c>
      <c r="Q115" s="164" t="s">
        <v>3634</v>
      </c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</row>
    <row r="116" ht="39.75" customHeight="1">
      <c r="A116" s="187"/>
      <c r="B116" s="164" t="s">
        <v>3637</v>
      </c>
      <c r="C116" s="164" t="s">
        <v>3638</v>
      </c>
      <c r="D116" s="164" t="s">
        <v>3640</v>
      </c>
      <c r="E116" s="165">
        <v>0.025</v>
      </c>
      <c r="F116" s="165" t="s">
        <v>123</v>
      </c>
      <c r="G116" s="164">
        <v>0.04</v>
      </c>
      <c r="H116" s="164" t="s">
        <v>3637</v>
      </c>
      <c r="I116" s="163" t="s">
        <v>3642</v>
      </c>
      <c r="J116" s="163" t="s">
        <v>3643</v>
      </c>
      <c r="K116" s="163" t="s">
        <v>3644</v>
      </c>
      <c r="L116" s="163" t="s">
        <v>970</v>
      </c>
      <c r="M116" s="163" t="s">
        <v>3645</v>
      </c>
      <c r="N116" s="184" t="s">
        <v>3646</v>
      </c>
      <c r="O116" s="164" t="s">
        <v>255</v>
      </c>
      <c r="P116" s="167" t="s">
        <v>255</v>
      </c>
      <c r="Q116" s="164" t="s">
        <v>3647</v>
      </c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</row>
    <row r="117" ht="39.75" customHeight="1">
      <c r="A117" s="187"/>
      <c r="B117" s="164" t="s">
        <v>3649</v>
      </c>
      <c r="C117" s="164" t="s">
        <v>121</v>
      </c>
      <c r="D117" s="164" t="s">
        <v>122</v>
      </c>
      <c r="E117" s="165">
        <v>50.0</v>
      </c>
      <c r="F117" s="165">
        <v>100.0</v>
      </c>
      <c r="G117" s="164">
        <v>78.0</v>
      </c>
      <c r="H117" s="163" t="s">
        <v>3649</v>
      </c>
      <c r="I117" s="163" t="s">
        <v>3650</v>
      </c>
      <c r="J117" s="163" t="s">
        <v>3651</v>
      </c>
      <c r="K117" s="163" t="s">
        <v>3653</v>
      </c>
      <c r="L117" s="163" t="s">
        <v>126</v>
      </c>
      <c r="M117" s="163">
        <v>0.05</v>
      </c>
      <c r="N117" s="191" t="s">
        <v>3654</v>
      </c>
      <c r="O117" s="164">
        <v>0.008</v>
      </c>
      <c r="P117" s="167"/>
      <c r="Q117" s="164" t="s">
        <v>3655</v>
      </c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</row>
    <row r="118" ht="39.75" customHeight="1">
      <c r="A118" s="187"/>
      <c r="B118" s="164" t="s">
        <v>3656</v>
      </c>
      <c r="C118" s="164" t="s">
        <v>121</v>
      </c>
      <c r="D118" s="164" t="s">
        <v>122</v>
      </c>
      <c r="E118" s="165" t="s">
        <v>123</v>
      </c>
      <c r="F118" s="165" t="s">
        <v>123</v>
      </c>
      <c r="G118" s="164" t="s">
        <v>123</v>
      </c>
      <c r="H118" s="164" t="s">
        <v>3656</v>
      </c>
      <c r="I118" s="163" t="s">
        <v>2894</v>
      </c>
      <c r="J118" s="163" t="s">
        <v>1805</v>
      </c>
      <c r="K118" s="163" t="s">
        <v>1806</v>
      </c>
      <c r="L118" s="163" t="s">
        <v>126</v>
      </c>
      <c r="M118" s="163">
        <v>0.02</v>
      </c>
      <c r="N118" s="191" t="s">
        <v>2902</v>
      </c>
      <c r="O118" s="164" t="s">
        <v>138</v>
      </c>
      <c r="P118" s="167" t="s">
        <v>138</v>
      </c>
      <c r="Q118" s="164" t="s">
        <v>3661</v>
      </c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</row>
    <row r="119" ht="39.75" customHeight="1">
      <c r="A119" s="187"/>
      <c r="B119" s="164" t="s">
        <v>3663</v>
      </c>
      <c r="C119" s="164" t="s">
        <v>121</v>
      </c>
      <c r="D119" s="164" t="s">
        <v>122</v>
      </c>
      <c r="E119" s="165">
        <v>200.0</v>
      </c>
      <c r="F119" s="165">
        <v>250.0</v>
      </c>
      <c r="G119" s="164">
        <v>156.0</v>
      </c>
      <c r="H119" s="164" t="s">
        <v>3663</v>
      </c>
      <c r="I119" s="163" t="s">
        <v>3664</v>
      </c>
      <c r="J119" s="163" t="s">
        <v>134</v>
      </c>
      <c r="K119" s="163" t="s">
        <v>3665</v>
      </c>
      <c r="L119" s="163" t="s">
        <v>126</v>
      </c>
      <c r="M119" s="163">
        <v>0.02</v>
      </c>
      <c r="N119" s="191" t="s">
        <v>2902</v>
      </c>
      <c r="O119" s="164" t="s">
        <v>138</v>
      </c>
      <c r="P119" s="167" t="s">
        <v>138</v>
      </c>
      <c r="Q119" s="164" t="s">
        <v>3667</v>
      </c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</row>
    <row r="120" ht="39.75" customHeight="1">
      <c r="A120" s="185"/>
      <c r="B120" s="163" t="s">
        <v>3669</v>
      </c>
      <c r="C120" s="164" t="s">
        <v>121</v>
      </c>
      <c r="D120" s="164" t="s">
        <v>122</v>
      </c>
      <c r="E120" s="165">
        <v>75.0</v>
      </c>
      <c r="F120" s="165">
        <v>150.0</v>
      </c>
      <c r="G120" s="164">
        <v>155.0</v>
      </c>
      <c r="H120" s="163" t="s">
        <v>3669</v>
      </c>
      <c r="I120" s="163" t="s">
        <v>3671</v>
      </c>
      <c r="J120" s="163" t="s">
        <v>3466</v>
      </c>
      <c r="K120" s="163" t="s">
        <v>3672</v>
      </c>
      <c r="L120" s="163" t="s">
        <v>126</v>
      </c>
      <c r="M120" s="163" t="s">
        <v>127</v>
      </c>
      <c r="N120" s="191" t="s">
        <v>3674</v>
      </c>
      <c r="O120" s="164" t="s">
        <v>138</v>
      </c>
      <c r="P120" s="167" t="s">
        <v>138</v>
      </c>
      <c r="Q120" s="164" t="s">
        <v>3675</v>
      </c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</row>
    <row r="121" ht="39.75" customHeight="1">
      <c r="A121" s="185"/>
      <c r="B121" s="163" t="s">
        <v>3677</v>
      </c>
      <c r="C121" s="164" t="s">
        <v>121</v>
      </c>
      <c r="D121" s="164" t="s">
        <v>122</v>
      </c>
      <c r="E121" s="165">
        <v>20.0</v>
      </c>
      <c r="F121" s="165">
        <v>75.0</v>
      </c>
      <c r="G121" s="164" t="s">
        <v>123</v>
      </c>
      <c r="H121" s="163" t="s">
        <v>3677</v>
      </c>
      <c r="I121" s="163" t="s">
        <v>3678</v>
      </c>
      <c r="J121" s="163" t="s">
        <v>134</v>
      </c>
      <c r="K121" s="163" t="s">
        <v>762</v>
      </c>
      <c r="L121" s="163" t="s">
        <v>126</v>
      </c>
      <c r="M121" s="163" t="s">
        <v>127</v>
      </c>
      <c r="N121" s="191" t="s">
        <v>151</v>
      </c>
      <c r="O121" s="164" t="s">
        <v>138</v>
      </c>
      <c r="P121" s="167" t="s">
        <v>138</v>
      </c>
      <c r="Q121" s="164" t="s">
        <v>3681</v>
      </c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</row>
    <row r="122" ht="39.75" customHeight="1">
      <c r="A122" s="185"/>
      <c r="B122" s="163" t="s">
        <v>3682</v>
      </c>
      <c r="C122" s="164" t="s">
        <v>121</v>
      </c>
      <c r="D122" s="164" t="s">
        <v>122</v>
      </c>
      <c r="E122" s="165">
        <v>100.0</v>
      </c>
      <c r="F122" s="165" t="s">
        <v>123</v>
      </c>
      <c r="G122" s="164" t="s">
        <v>123</v>
      </c>
      <c r="H122" s="163" t="s">
        <v>3682</v>
      </c>
      <c r="I122" s="163" t="s">
        <v>3684</v>
      </c>
      <c r="J122" s="163" t="s">
        <v>134</v>
      </c>
      <c r="K122" s="163" t="s">
        <v>2155</v>
      </c>
      <c r="L122" s="163" t="s">
        <v>126</v>
      </c>
      <c r="M122" s="163" t="s">
        <v>127</v>
      </c>
      <c r="N122" s="167">
        <v>4.0</v>
      </c>
      <c r="O122" s="164" t="s">
        <v>166</v>
      </c>
      <c r="P122" s="167" t="s">
        <v>167</v>
      </c>
      <c r="Q122" s="164" t="s">
        <v>3685</v>
      </c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</row>
    <row r="123" ht="39.75" customHeight="1">
      <c r="A123" s="185"/>
      <c r="B123" s="163" t="s">
        <v>3688</v>
      </c>
      <c r="C123" s="164" t="s">
        <v>121</v>
      </c>
      <c r="D123" s="164" t="s">
        <v>3691</v>
      </c>
      <c r="E123" s="165">
        <v>10.0</v>
      </c>
      <c r="F123" s="165" t="s">
        <v>123</v>
      </c>
      <c r="G123" s="164" t="s">
        <v>123</v>
      </c>
      <c r="H123" s="163" t="s">
        <v>3688</v>
      </c>
      <c r="I123" s="163" t="s">
        <v>3692</v>
      </c>
      <c r="J123" s="163" t="s">
        <v>968</v>
      </c>
      <c r="K123" s="163" t="s">
        <v>3693</v>
      </c>
      <c r="L123" s="163" t="s">
        <v>970</v>
      </c>
      <c r="M123" s="163" t="s">
        <v>1678</v>
      </c>
      <c r="N123" s="191" t="s">
        <v>3694</v>
      </c>
      <c r="O123" s="164">
        <v>1.0</v>
      </c>
      <c r="P123" s="167">
        <v>1.0</v>
      </c>
      <c r="Q123" s="164" t="s">
        <v>3695</v>
      </c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</row>
    <row r="124" ht="39.75" customHeight="1">
      <c r="A124" s="185"/>
      <c r="B124" s="163" t="s">
        <v>3697</v>
      </c>
      <c r="C124" s="164" t="s">
        <v>121</v>
      </c>
      <c r="D124" s="164" t="s">
        <v>122</v>
      </c>
      <c r="E124" s="165">
        <v>3.0</v>
      </c>
      <c r="F124" s="165">
        <v>6.0</v>
      </c>
      <c r="G124" s="164" t="s">
        <v>123</v>
      </c>
      <c r="H124" s="163" t="s">
        <v>3697</v>
      </c>
      <c r="I124" s="163" t="s">
        <v>3700</v>
      </c>
      <c r="J124" s="163" t="s">
        <v>3701</v>
      </c>
      <c r="K124" s="163" t="s">
        <v>3702</v>
      </c>
      <c r="L124" s="163" t="s">
        <v>126</v>
      </c>
      <c r="M124" s="163" t="s">
        <v>2606</v>
      </c>
      <c r="N124" s="166" t="s">
        <v>3181</v>
      </c>
      <c r="O124" s="164"/>
      <c r="P124" s="167"/>
      <c r="Q124" s="164" t="s">
        <v>3703</v>
      </c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</row>
    <row r="125" ht="39.75" customHeight="1">
      <c r="A125" s="185"/>
      <c r="B125" s="163" t="s">
        <v>3707</v>
      </c>
      <c r="C125" s="164" t="s">
        <v>121</v>
      </c>
      <c r="D125" s="164" t="s">
        <v>122</v>
      </c>
      <c r="E125" s="165">
        <v>25.0</v>
      </c>
      <c r="F125" s="165" t="s">
        <v>123</v>
      </c>
      <c r="G125" s="164">
        <v>39.0</v>
      </c>
      <c r="H125" s="163" t="s">
        <v>3707</v>
      </c>
      <c r="I125" s="163" t="s">
        <v>3709</v>
      </c>
      <c r="J125" s="163" t="s">
        <v>2897</v>
      </c>
      <c r="K125" s="163" t="s">
        <v>3710</v>
      </c>
      <c r="L125" s="163" t="s">
        <v>126</v>
      </c>
      <c r="M125" s="163" t="s">
        <v>2606</v>
      </c>
      <c r="N125" s="191" t="s">
        <v>2902</v>
      </c>
      <c r="O125" s="164" t="s">
        <v>255</v>
      </c>
      <c r="P125" s="167" t="s">
        <v>255</v>
      </c>
      <c r="Q125" s="164" t="s">
        <v>3711</v>
      </c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</row>
    <row r="126" ht="39.75" customHeight="1">
      <c r="A126" s="208"/>
      <c r="B126" s="209" t="s">
        <v>3713</v>
      </c>
      <c r="C126" s="164" t="s">
        <v>121</v>
      </c>
      <c r="D126" s="164" t="s">
        <v>3714</v>
      </c>
      <c r="E126" s="165" t="s">
        <v>123</v>
      </c>
      <c r="F126" s="165" t="s">
        <v>123</v>
      </c>
      <c r="G126" s="164" t="s">
        <v>123</v>
      </c>
      <c r="H126" s="163" t="s">
        <v>3713</v>
      </c>
      <c r="I126" s="163" t="s">
        <v>123</v>
      </c>
      <c r="J126" s="163" t="s">
        <v>134</v>
      </c>
      <c r="K126" s="163" t="s">
        <v>3521</v>
      </c>
      <c r="L126" s="163" t="s">
        <v>126</v>
      </c>
      <c r="M126" s="163" t="s">
        <v>3715</v>
      </c>
      <c r="N126" s="191" t="s">
        <v>3716</v>
      </c>
      <c r="O126" s="164">
        <v>0.02</v>
      </c>
      <c r="P126" s="167">
        <v>0.02</v>
      </c>
      <c r="Q126" s="164" t="s">
        <v>3717</v>
      </c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</row>
    <row r="127" ht="39.75" customHeight="1">
      <c r="A127" s="185"/>
      <c r="B127" s="163" t="s">
        <v>3718</v>
      </c>
      <c r="C127" s="164" t="s">
        <v>121</v>
      </c>
      <c r="D127" s="164" t="s">
        <v>122</v>
      </c>
      <c r="E127" s="165">
        <v>20.0</v>
      </c>
      <c r="F127" s="165" t="s">
        <v>123</v>
      </c>
      <c r="G127" s="164">
        <v>40.0</v>
      </c>
      <c r="H127" s="163" t="s">
        <v>3718</v>
      </c>
      <c r="I127" s="163" t="s">
        <v>143</v>
      </c>
      <c r="J127" s="163" t="s">
        <v>134</v>
      </c>
      <c r="K127" s="163" t="s">
        <v>1479</v>
      </c>
      <c r="L127" s="163" t="s">
        <v>126</v>
      </c>
      <c r="M127" s="163" t="s">
        <v>3719</v>
      </c>
      <c r="N127" s="191" t="s">
        <v>1845</v>
      </c>
      <c r="O127" s="164" t="s">
        <v>167</v>
      </c>
      <c r="P127" s="167" t="s">
        <v>167</v>
      </c>
      <c r="Q127" s="164" t="s">
        <v>3720</v>
      </c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</row>
    <row r="128" ht="76.5" customHeight="1">
      <c r="A128" s="187"/>
      <c r="B128" s="164" t="s">
        <v>3722</v>
      </c>
      <c r="C128" s="164" t="s">
        <v>3723</v>
      </c>
      <c r="D128" s="164" t="s">
        <v>3724</v>
      </c>
      <c r="E128" s="237">
        <v>3.0</v>
      </c>
      <c r="F128" s="237" t="s">
        <v>123</v>
      </c>
      <c r="G128" s="238" t="s">
        <v>3726</v>
      </c>
      <c r="H128" s="164" t="s">
        <v>3722</v>
      </c>
      <c r="I128" s="239" t="s">
        <v>3728</v>
      </c>
      <c r="J128" s="163" t="s">
        <v>3730</v>
      </c>
      <c r="K128" s="163" t="s">
        <v>3731</v>
      </c>
      <c r="L128" s="163" t="s">
        <v>3611</v>
      </c>
      <c r="M128" s="207">
        <v>2.0</v>
      </c>
      <c r="N128" s="191" t="s">
        <v>1679</v>
      </c>
      <c r="O128" s="164" t="s">
        <v>3732</v>
      </c>
      <c r="P128" s="167" t="s">
        <v>3732</v>
      </c>
      <c r="Q128" s="164" t="s">
        <v>3737</v>
      </c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</row>
    <row r="129" ht="78.75" customHeight="1">
      <c r="A129" s="185"/>
      <c r="B129" s="163" t="s">
        <v>3738</v>
      </c>
      <c r="C129" s="164" t="s">
        <v>121</v>
      </c>
      <c r="D129" s="164" t="s">
        <v>122</v>
      </c>
      <c r="E129" s="165">
        <v>400.0</v>
      </c>
      <c r="F129" s="165">
        <v>500.0</v>
      </c>
      <c r="G129" s="164" t="s">
        <v>123</v>
      </c>
      <c r="H129" s="163" t="s">
        <v>3738</v>
      </c>
      <c r="I129" s="163" t="s">
        <v>3526</v>
      </c>
      <c r="J129" s="163" t="s">
        <v>134</v>
      </c>
      <c r="K129" s="163" t="s">
        <v>2155</v>
      </c>
      <c r="L129" s="163" t="s">
        <v>126</v>
      </c>
      <c r="M129" s="163" t="s">
        <v>127</v>
      </c>
      <c r="N129" s="191" t="s">
        <v>2375</v>
      </c>
      <c r="O129" s="164" t="s">
        <v>3527</v>
      </c>
      <c r="P129" s="167" t="s">
        <v>3527</v>
      </c>
      <c r="Q129" s="164" t="s">
        <v>3737</v>
      </c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</row>
    <row r="130" ht="66.75" customHeight="1">
      <c r="A130" s="185"/>
      <c r="B130" s="163" t="s">
        <v>3746</v>
      </c>
      <c r="C130" s="164" t="s">
        <v>3747</v>
      </c>
      <c r="D130" s="164" t="s">
        <v>122</v>
      </c>
      <c r="E130" s="237">
        <v>50.0</v>
      </c>
      <c r="F130" s="165" t="s">
        <v>123</v>
      </c>
      <c r="G130" s="164" t="s">
        <v>123</v>
      </c>
      <c r="H130" s="163" t="s">
        <v>3746</v>
      </c>
      <c r="I130" s="163" t="s">
        <v>3748</v>
      </c>
      <c r="J130" s="163" t="s">
        <v>134</v>
      </c>
      <c r="K130" s="163" t="s">
        <v>2155</v>
      </c>
      <c r="L130" s="163" t="s">
        <v>126</v>
      </c>
      <c r="M130" s="163" t="s">
        <v>127</v>
      </c>
      <c r="N130" s="167">
        <v>1.5</v>
      </c>
      <c r="O130" s="164" t="s">
        <v>3527</v>
      </c>
      <c r="P130" s="167" t="s">
        <v>3527</v>
      </c>
      <c r="Q130" s="164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</row>
    <row r="131" ht="66.75" customHeight="1">
      <c r="A131" s="185"/>
      <c r="B131" s="163" t="s">
        <v>3750</v>
      </c>
      <c r="C131" s="164" t="s">
        <v>3751</v>
      </c>
      <c r="D131" s="164" t="s">
        <v>3752</v>
      </c>
      <c r="E131" s="165">
        <v>1.5</v>
      </c>
      <c r="F131" s="165" t="s">
        <v>123</v>
      </c>
      <c r="G131" s="164" t="s">
        <v>123</v>
      </c>
      <c r="H131" s="163" t="s">
        <v>3750</v>
      </c>
      <c r="I131" s="163" t="s">
        <v>3753</v>
      </c>
      <c r="J131" s="163" t="s">
        <v>968</v>
      </c>
      <c r="K131" s="163" t="s">
        <v>3693</v>
      </c>
      <c r="L131" s="163" t="s">
        <v>970</v>
      </c>
      <c r="M131" s="163" t="s">
        <v>1678</v>
      </c>
      <c r="N131" s="191" t="s">
        <v>1679</v>
      </c>
      <c r="O131" s="164" t="s">
        <v>1046</v>
      </c>
      <c r="P131" s="167" t="s">
        <v>1046</v>
      </c>
      <c r="Q131" s="164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</row>
    <row r="132" ht="66.75" customHeight="1">
      <c r="A132" s="185"/>
      <c r="B132" s="163" t="s">
        <v>3759</v>
      </c>
      <c r="C132" s="164" t="s">
        <v>121</v>
      </c>
      <c r="D132" s="164" t="s">
        <v>123</v>
      </c>
      <c r="E132" s="165" t="s">
        <v>123</v>
      </c>
      <c r="F132" s="165" t="s">
        <v>123</v>
      </c>
      <c r="G132" s="164" t="s">
        <v>123</v>
      </c>
      <c r="H132" s="163" t="s">
        <v>3761</v>
      </c>
      <c r="I132" s="163" t="s">
        <v>2894</v>
      </c>
      <c r="J132" s="163"/>
      <c r="K132" s="163"/>
      <c r="L132" s="163"/>
      <c r="M132" s="207">
        <v>0.1</v>
      </c>
      <c r="N132" s="191" t="s">
        <v>3763</v>
      </c>
      <c r="O132" s="164"/>
      <c r="P132" s="167"/>
      <c r="Q132" s="164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</row>
    <row r="133" ht="39.75" customHeight="1">
      <c r="A133" s="185"/>
      <c r="B133" s="163" t="s">
        <v>3764</v>
      </c>
      <c r="C133" s="164" t="s">
        <v>121</v>
      </c>
      <c r="D133" s="164" t="s">
        <v>122</v>
      </c>
      <c r="E133" s="165">
        <v>300.0</v>
      </c>
      <c r="F133" s="165" t="s">
        <v>123</v>
      </c>
      <c r="G133" s="164" t="s">
        <v>123</v>
      </c>
      <c r="H133" s="163" t="s">
        <v>3764</v>
      </c>
      <c r="I133" s="163" t="s">
        <v>3766</v>
      </c>
      <c r="J133" s="163" t="s">
        <v>134</v>
      </c>
      <c r="K133" s="163" t="s">
        <v>2155</v>
      </c>
      <c r="L133" s="163" t="s">
        <v>126</v>
      </c>
      <c r="M133" s="163" t="s">
        <v>127</v>
      </c>
      <c r="N133" s="167">
        <v>4.0</v>
      </c>
      <c r="O133" s="164">
        <v>7.0</v>
      </c>
      <c r="P133" s="167">
        <v>7.0</v>
      </c>
      <c r="Q133" s="164" t="s">
        <v>3767</v>
      </c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</row>
    <row r="134" ht="39.75" customHeight="1">
      <c r="A134" s="185"/>
      <c r="B134" s="163" t="s">
        <v>3768</v>
      </c>
      <c r="C134" s="164" t="s">
        <v>121</v>
      </c>
      <c r="D134" s="164" t="s">
        <v>122</v>
      </c>
      <c r="E134" s="165">
        <v>1000.0</v>
      </c>
      <c r="F134" s="165" t="s">
        <v>123</v>
      </c>
      <c r="G134" s="164">
        <v>470.0</v>
      </c>
      <c r="H134" s="163" t="s">
        <v>3768</v>
      </c>
      <c r="I134" s="163" t="s">
        <v>3770</v>
      </c>
      <c r="J134" s="163" t="s">
        <v>134</v>
      </c>
      <c r="K134" s="163" t="s">
        <v>2155</v>
      </c>
      <c r="L134" s="163" t="s">
        <v>126</v>
      </c>
      <c r="M134" s="163">
        <v>0.2</v>
      </c>
      <c r="N134" s="167">
        <v>4.0</v>
      </c>
      <c r="O134" s="164" t="s">
        <v>251</v>
      </c>
      <c r="P134" s="167" t="s">
        <v>251</v>
      </c>
      <c r="Q134" s="164" t="s">
        <v>3771</v>
      </c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</row>
    <row r="135" ht="39.75" customHeight="1">
      <c r="A135" s="187"/>
      <c r="B135" s="240" t="s">
        <v>3772</v>
      </c>
      <c r="C135" s="164" t="s">
        <v>121</v>
      </c>
      <c r="D135" s="164" t="s">
        <v>122</v>
      </c>
      <c r="E135" s="165">
        <v>100.0</v>
      </c>
      <c r="F135" s="241" t="s">
        <v>123</v>
      </c>
      <c r="G135" s="164">
        <v>156.0</v>
      </c>
      <c r="H135" s="164" t="s">
        <v>3772</v>
      </c>
      <c r="I135" s="163" t="s">
        <v>149</v>
      </c>
      <c r="J135" s="163" t="s">
        <v>134</v>
      </c>
      <c r="K135" s="163" t="s">
        <v>1479</v>
      </c>
      <c r="L135" s="163" t="s">
        <v>126</v>
      </c>
      <c r="M135" s="163" t="s">
        <v>3775</v>
      </c>
      <c r="N135" s="191" t="s">
        <v>151</v>
      </c>
      <c r="O135" s="164" t="s">
        <v>279</v>
      </c>
      <c r="P135" s="167" t="s">
        <v>279</v>
      </c>
      <c r="Q135" s="164" t="s">
        <v>3777</v>
      </c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</row>
    <row r="136" ht="39.75" customHeight="1">
      <c r="A136" s="185"/>
      <c r="B136" s="242" t="s">
        <v>3778</v>
      </c>
      <c r="C136" s="164" t="s">
        <v>1793</v>
      </c>
      <c r="D136" s="164" t="s">
        <v>3780</v>
      </c>
      <c r="E136" s="243">
        <v>5.0</v>
      </c>
      <c r="F136" s="244" t="s">
        <v>123</v>
      </c>
      <c r="G136" s="245" t="s">
        <v>123</v>
      </c>
      <c r="H136" s="239" t="s">
        <v>3782</v>
      </c>
      <c r="I136" s="239" t="s">
        <v>967</v>
      </c>
      <c r="J136" s="239" t="s">
        <v>3785</v>
      </c>
      <c r="K136" s="239" t="s">
        <v>3787</v>
      </c>
      <c r="L136" s="239" t="s">
        <v>970</v>
      </c>
      <c r="M136" s="239">
        <v>2.0</v>
      </c>
      <c r="N136" s="238" t="s">
        <v>3788</v>
      </c>
      <c r="O136" s="238" t="s">
        <v>251</v>
      </c>
      <c r="P136" s="246" t="s">
        <v>251</v>
      </c>
      <c r="Q136" s="238" t="s">
        <v>3789</v>
      </c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ht="39.75" customHeight="1">
      <c r="A137" s="185"/>
      <c r="B137" s="163" t="s">
        <v>769</v>
      </c>
      <c r="C137" s="164" t="s">
        <v>121</v>
      </c>
      <c r="D137" s="164" t="s">
        <v>3792</v>
      </c>
      <c r="E137" s="165">
        <v>2.0</v>
      </c>
      <c r="F137" s="165" t="s">
        <v>123</v>
      </c>
      <c r="G137" s="164" t="s">
        <v>123</v>
      </c>
      <c r="H137" s="163" t="s">
        <v>769</v>
      </c>
      <c r="I137" s="163" t="s">
        <v>1035</v>
      </c>
      <c r="J137" s="163" t="s">
        <v>968</v>
      </c>
      <c r="K137" s="163" t="s">
        <v>969</v>
      </c>
      <c r="L137" s="163" t="s">
        <v>970</v>
      </c>
      <c r="M137" s="193" t="s">
        <v>971</v>
      </c>
      <c r="N137" s="167" t="s">
        <v>1516</v>
      </c>
      <c r="O137" s="164"/>
      <c r="P137" s="167" t="s">
        <v>3794</v>
      </c>
      <c r="Q137" s="164" t="s">
        <v>3795</v>
      </c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</row>
    <row r="138" ht="39.75" customHeight="1">
      <c r="A138" s="185"/>
      <c r="B138" s="163" t="s">
        <v>3797</v>
      </c>
      <c r="C138" s="164" t="s">
        <v>3798</v>
      </c>
      <c r="D138" s="164" t="s">
        <v>122</v>
      </c>
      <c r="E138" s="165">
        <v>1.0</v>
      </c>
      <c r="F138" s="165" t="s">
        <v>123</v>
      </c>
      <c r="G138" s="164">
        <v>39.0</v>
      </c>
      <c r="H138" s="163" t="s">
        <v>3797</v>
      </c>
      <c r="I138" s="163" t="s">
        <v>3800</v>
      </c>
      <c r="J138" s="163" t="s">
        <v>134</v>
      </c>
      <c r="K138" s="163" t="s">
        <v>3467</v>
      </c>
      <c r="L138" s="163" t="s">
        <v>126</v>
      </c>
      <c r="M138" s="163">
        <v>0.15</v>
      </c>
      <c r="N138" s="166" t="s">
        <v>1013</v>
      </c>
      <c r="O138" s="164"/>
      <c r="P138" s="167"/>
      <c r="Q138" s="164" t="s">
        <v>3802</v>
      </c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</row>
    <row r="139" ht="39.75" customHeight="1">
      <c r="A139" s="185"/>
      <c r="B139" s="163" t="s">
        <v>3804</v>
      </c>
      <c r="C139" s="164" t="s">
        <v>121</v>
      </c>
      <c r="D139" s="164" t="s">
        <v>3805</v>
      </c>
      <c r="E139" s="165">
        <v>10.0</v>
      </c>
      <c r="F139" s="165" t="s">
        <v>123</v>
      </c>
      <c r="G139" s="164" t="s">
        <v>123</v>
      </c>
      <c r="H139" s="163" t="s">
        <v>3804</v>
      </c>
      <c r="I139" s="163" t="s">
        <v>3806</v>
      </c>
      <c r="J139" s="163" t="s">
        <v>968</v>
      </c>
      <c r="K139" s="163" t="s">
        <v>969</v>
      </c>
      <c r="L139" s="163" t="s">
        <v>970</v>
      </c>
      <c r="M139" s="163" t="s">
        <v>1678</v>
      </c>
      <c r="N139" s="191" t="s">
        <v>1679</v>
      </c>
      <c r="O139" s="164">
        <v>8.3</v>
      </c>
      <c r="P139" s="167">
        <v>8.3</v>
      </c>
      <c r="Q139" s="164" t="s">
        <v>3808</v>
      </c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</row>
    <row r="140" ht="39.75" customHeight="1">
      <c r="A140" s="187"/>
      <c r="B140" s="164" t="s">
        <v>809</v>
      </c>
      <c r="C140" s="164" t="s">
        <v>121</v>
      </c>
      <c r="D140" s="164" t="s">
        <v>3810</v>
      </c>
      <c r="E140" s="165">
        <v>2.0</v>
      </c>
      <c r="F140" s="165">
        <v>10.0</v>
      </c>
      <c r="G140" s="164" t="s">
        <v>123</v>
      </c>
      <c r="H140" s="164" t="s">
        <v>809</v>
      </c>
      <c r="I140" s="163" t="s">
        <v>3812</v>
      </c>
      <c r="J140" s="163" t="s">
        <v>968</v>
      </c>
      <c r="K140" s="163" t="s">
        <v>969</v>
      </c>
      <c r="L140" s="163" t="s">
        <v>970</v>
      </c>
      <c r="M140" s="163">
        <v>1.7</v>
      </c>
      <c r="N140" s="184" t="s">
        <v>1516</v>
      </c>
      <c r="O140" s="164" t="s">
        <v>167</v>
      </c>
      <c r="P140" s="167" t="s">
        <v>3794</v>
      </c>
      <c r="Q140" s="164" t="s">
        <v>3815</v>
      </c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</row>
    <row r="141" ht="39.75" customHeight="1">
      <c r="A141" s="185"/>
      <c r="B141" s="163" t="s">
        <v>3817</v>
      </c>
      <c r="C141" s="164" t="s">
        <v>121</v>
      </c>
      <c r="D141" s="164" t="s">
        <v>122</v>
      </c>
      <c r="E141" s="165">
        <v>25.0</v>
      </c>
      <c r="F141" s="165" t="s">
        <v>123</v>
      </c>
      <c r="G141" s="164">
        <v>20.0</v>
      </c>
      <c r="H141" s="163" t="s">
        <v>3820</v>
      </c>
      <c r="I141" s="163" t="s">
        <v>3821</v>
      </c>
      <c r="J141" s="163" t="s">
        <v>134</v>
      </c>
      <c r="K141" s="163" t="s">
        <v>3822</v>
      </c>
      <c r="L141" s="163" t="s">
        <v>970</v>
      </c>
      <c r="M141" s="163">
        <v>0.025</v>
      </c>
      <c r="N141" s="167" t="s">
        <v>3823</v>
      </c>
      <c r="O141" s="164" t="s">
        <v>214</v>
      </c>
      <c r="P141" s="167" t="s">
        <v>214</v>
      </c>
      <c r="Q141" s="164" t="s">
        <v>3824</v>
      </c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</row>
    <row r="142" ht="39.75" customHeight="1">
      <c r="A142" s="185"/>
      <c r="B142" s="242" t="s">
        <v>3826</v>
      </c>
      <c r="C142" s="164" t="s">
        <v>121</v>
      </c>
      <c r="D142" s="164" t="s">
        <v>122</v>
      </c>
      <c r="E142" s="243">
        <v>50.0</v>
      </c>
      <c r="F142" s="244" t="s">
        <v>123</v>
      </c>
      <c r="G142" s="245" t="s">
        <v>123</v>
      </c>
      <c r="H142" s="163" t="s">
        <v>3827</v>
      </c>
      <c r="I142" s="163" t="s">
        <v>3828</v>
      </c>
      <c r="J142" s="163" t="s">
        <v>134</v>
      </c>
      <c r="K142" s="163" t="s">
        <v>3822</v>
      </c>
      <c r="L142" s="163" t="s">
        <v>970</v>
      </c>
      <c r="M142" s="163" t="s">
        <v>2900</v>
      </c>
      <c r="N142" s="164">
        <v>4.0</v>
      </c>
      <c r="O142" s="164" t="s">
        <v>214</v>
      </c>
      <c r="P142" s="167" t="s">
        <v>214</v>
      </c>
      <c r="Q142" s="164" t="s">
        <v>3830</v>
      </c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ht="39.75" customHeight="1">
      <c r="A143" s="185"/>
      <c r="B143" s="163" t="s">
        <v>3831</v>
      </c>
      <c r="C143" s="164" t="s">
        <v>121</v>
      </c>
      <c r="D143" s="164" t="s">
        <v>122</v>
      </c>
      <c r="E143" s="165">
        <v>0.1</v>
      </c>
      <c r="F143" s="165" t="s">
        <v>123</v>
      </c>
      <c r="G143" s="164">
        <v>0.08</v>
      </c>
      <c r="H143" s="163" t="s">
        <v>3831</v>
      </c>
      <c r="I143" s="163" t="s">
        <v>3832</v>
      </c>
      <c r="J143" s="163" t="s">
        <v>134</v>
      </c>
      <c r="K143" s="163" t="s">
        <v>3833</v>
      </c>
      <c r="L143" s="163" t="s">
        <v>126</v>
      </c>
      <c r="M143" s="163" t="s">
        <v>3834</v>
      </c>
      <c r="N143" s="168" t="s">
        <v>3835</v>
      </c>
      <c r="O143" s="164"/>
      <c r="P143" s="167"/>
      <c r="Q143" s="164" t="s">
        <v>3836</v>
      </c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</row>
    <row r="144" ht="39.75" customHeight="1">
      <c r="A144" s="185"/>
      <c r="B144" s="163" t="s">
        <v>3837</v>
      </c>
      <c r="C144" s="164" t="s">
        <v>121</v>
      </c>
      <c r="D144" s="164" t="s">
        <v>3838</v>
      </c>
      <c r="E144" s="165">
        <v>10.0</v>
      </c>
      <c r="F144" s="165" t="s">
        <v>123</v>
      </c>
      <c r="G144" s="164" t="s">
        <v>123</v>
      </c>
      <c r="H144" s="163" t="s">
        <v>3837</v>
      </c>
      <c r="I144" s="163" t="s">
        <v>3839</v>
      </c>
      <c r="J144" s="163" t="s">
        <v>3840</v>
      </c>
      <c r="K144" s="163" t="s">
        <v>3841</v>
      </c>
      <c r="L144" s="163" t="s">
        <v>3611</v>
      </c>
      <c r="M144" s="193" t="s">
        <v>1077</v>
      </c>
      <c r="N144" s="167">
        <v>480.0</v>
      </c>
      <c r="O144" s="164" t="s">
        <v>3732</v>
      </c>
      <c r="P144" s="167" t="s">
        <v>3732</v>
      </c>
      <c r="Q144" s="168" t="s">
        <v>3842</v>
      </c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</row>
    <row r="145" ht="39.75" customHeight="1">
      <c r="A145" s="185"/>
      <c r="B145" s="163" t="s">
        <v>3843</v>
      </c>
      <c r="C145" s="164" t="s">
        <v>121</v>
      </c>
      <c r="D145" s="164" t="s">
        <v>3844</v>
      </c>
      <c r="E145" s="165">
        <v>3.0</v>
      </c>
      <c r="F145" s="165" t="s">
        <v>123</v>
      </c>
      <c r="G145" s="164" t="s">
        <v>123</v>
      </c>
      <c r="H145" s="163" t="s">
        <v>3843</v>
      </c>
      <c r="I145" s="163" t="s">
        <v>3839</v>
      </c>
      <c r="J145" s="163" t="s">
        <v>3730</v>
      </c>
      <c r="K145" s="163" t="s">
        <v>3845</v>
      </c>
      <c r="L145" s="163" t="s">
        <v>3611</v>
      </c>
      <c r="M145" s="163">
        <v>1.7</v>
      </c>
      <c r="N145" s="167" t="s">
        <v>3846</v>
      </c>
      <c r="O145" s="164" t="s">
        <v>3732</v>
      </c>
      <c r="P145" s="167" t="s">
        <v>3732</v>
      </c>
      <c r="Q145" s="168" t="s">
        <v>3847</v>
      </c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</row>
    <row r="146" ht="39.75" customHeight="1">
      <c r="A146" s="185"/>
      <c r="B146" s="163" t="s">
        <v>3849</v>
      </c>
      <c r="C146" s="164" t="s">
        <v>121</v>
      </c>
      <c r="D146" s="164" t="s">
        <v>3851</v>
      </c>
      <c r="E146" s="165">
        <v>2.64</v>
      </c>
      <c r="F146" s="165" t="s">
        <v>123</v>
      </c>
      <c r="G146" s="164" t="s">
        <v>123</v>
      </c>
      <c r="H146" s="163" t="s">
        <v>3849</v>
      </c>
      <c r="I146" s="163" t="s">
        <v>3839</v>
      </c>
      <c r="J146" s="163" t="s">
        <v>968</v>
      </c>
      <c r="K146" s="163" t="s">
        <v>3854</v>
      </c>
      <c r="L146" s="163" t="s">
        <v>3611</v>
      </c>
      <c r="M146" s="193" t="s">
        <v>1077</v>
      </c>
      <c r="N146" s="167">
        <v>400.0</v>
      </c>
      <c r="O146" s="164" t="s">
        <v>3855</v>
      </c>
      <c r="P146" s="167" t="s">
        <v>3855</v>
      </c>
      <c r="Q146" s="164" t="s">
        <v>3856</v>
      </c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</row>
    <row r="147" ht="39.75" customHeight="1">
      <c r="A147" s="187"/>
      <c r="B147" s="164" t="s">
        <v>3857</v>
      </c>
      <c r="C147" s="164" t="s">
        <v>121</v>
      </c>
      <c r="D147" s="164" t="s">
        <v>122</v>
      </c>
      <c r="E147" s="247">
        <v>1000.0</v>
      </c>
      <c r="F147" s="165" t="s">
        <v>123</v>
      </c>
      <c r="G147" s="164" t="s">
        <v>123</v>
      </c>
      <c r="H147" s="164" t="s">
        <v>3857</v>
      </c>
      <c r="I147" s="163" t="s">
        <v>3858</v>
      </c>
      <c r="J147" s="163" t="s">
        <v>134</v>
      </c>
      <c r="K147" s="163" t="s">
        <v>2155</v>
      </c>
      <c r="L147" s="163" t="s">
        <v>126</v>
      </c>
      <c r="M147" s="163" t="s">
        <v>127</v>
      </c>
      <c r="N147" s="164">
        <v>4.0</v>
      </c>
      <c r="O147" s="165"/>
      <c r="P147" s="167" t="s">
        <v>3527</v>
      </c>
      <c r="Q147" s="164" t="s">
        <v>3859</v>
      </c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</row>
    <row r="148" ht="39.75" customHeight="1">
      <c r="A148" s="187"/>
      <c r="B148" s="164" t="s">
        <v>3860</v>
      </c>
      <c r="C148" s="164" t="s">
        <v>121</v>
      </c>
      <c r="D148" s="164" t="s">
        <v>3861</v>
      </c>
      <c r="E148" s="165">
        <v>0.05</v>
      </c>
      <c r="F148" s="165" t="s">
        <v>123</v>
      </c>
      <c r="G148" s="164" t="s">
        <v>123</v>
      </c>
      <c r="H148" s="163" t="s">
        <v>3860</v>
      </c>
      <c r="I148" s="163" t="s">
        <v>3863</v>
      </c>
      <c r="J148" s="163" t="s">
        <v>968</v>
      </c>
      <c r="K148" s="163" t="s">
        <v>969</v>
      </c>
      <c r="L148" s="163" t="s">
        <v>970</v>
      </c>
      <c r="M148" s="163" t="s">
        <v>3864</v>
      </c>
      <c r="N148" s="167">
        <v>480.0</v>
      </c>
      <c r="O148" s="164"/>
      <c r="P148" s="167"/>
      <c r="Q148" s="164" t="s">
        <v>3866</v>
      </c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</row>
    <row r="149" ht="39.75" customHeight="1">
      <c r="A149" s="185"/>
      <c r="B149" s="163" t="s">
        <v>3867</v>
      </c>
      <c r="C149" s="164" t="s">
        <v>1030</v>
      </c>
      <c r="D149" s="164" t="s">
        <v>122</v>
      </c>
      <c r="E149" s="165">
        <v>25.0</v>
      </c>
      <c r="F149" s="165">
        <v>100.0</v>
      </c>
      <c r="G149" s="164">
        <v>78.0</v>
      </c>
      <c r="H149" s="163" t="s">
        <v>3867</v>
      </c>
      <c r="I149" s="163" t="s">
        <v>3632</v>
      </c>
      <c r="J149" s="163" t="s">
        <v>134</v>
      </c>
      <c r="K149" s="163" t="s">
        <v>2593</v>
      </c>
      <c r="L149" s="163" t="s">
        <v>126</v>
      </c>
      <c r="M149" s="163" t="s">
        <v>127</v>
      </c>
      <c r="N149" s="166" t="s">
        <v>3869</v>
      </c>
      <c r="O149" s="164" t="s">
        <v>3732</v>
      </c>
      <c r="P149" s="167" t="s">
        <v>3732</v>
      </c>
      <c r="Q149" s="164" t="s">
        <v>3870</v>
      </c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</row>
    <row r="150" ht="39.75" customHeight="1">
      <c r="A150" s="187"/>
      <c r="B150" s="164" t="s">
        <v>3872</v>
      </c>
      <c r="C150" s="164" t="s">
        <v>121</v>
      </c>
      <c r="D150" s="164" t="s">
        <v>122</v>
      </c>
      <c r="E150" s="165">
        <v>1.0</v>
      </c>
      <c r="F150" s="165" t="s">
        <v>123</v>
      </c>
      <c r="G150" s="164" t="s">
        <v>123</v>
      </c>
      <c r="H150" s="163" t="s">
        <v>3872</v>
      </c>
      <c r="I150" s="163" t="s">
        <v>1199</v>
      </c>
      <c r="J150" s="163" t="s">
        <v>3785</v>
      </c>
      <c r="K150" s="163" t="s">
        <v>3873</v>
      </c>
      <c r="L150" s="163" t="s">
        <v>970</v>
      </c>
      <c r="M150" s="163">
        <v>1.0</v>
      </c>
      <c r="N150" s="167">
        <v>240.0</v>
      </c>
      <c r="O150" s="164" t="s">
        <v>167</v>
      </c>
      <c r="P150" s="167" t="s">
        <v>167</v>
      </c>
      <c r="Q150" s="164" t="s">
        <v>3875</v>
      </c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</row>
    <row r="151" ht="41.25" customHeight="1">
      <c r="A151" s="187"/>
      <c r="B151" s="164" t="s">
        <v>3876</v>
      </c>
      <c r="C151" s="164" t="s">
        <v>121</v>
      </c>
      <c r="D151" s="164" t="s">
        <v>122</v>
      </c>
      <c r="E151" s="165">
        <v>1.0</v>
      </c>
      <c r="F151" s="165" t="s">
        <v>123</v>
      </c>
      <c r="G151" s="164">
        <v>4.0</v>
      </c>
      <c r="H151" s="164" t="s">
        <v>3876</v>
      </c>
      <c r="I151" s="163" t="s">
        <v>3877</v>
      </c>
      <c r="J151" s="163" t="s">
        <v>134</v>
      </c>
      <c r="K151" s="163" t="s">
        <v>3879</v>
      </c>
      <c r="L151" s="163" t="s">
        <v>126</v>
      </c>
      <c r="M151" s="163" t="s">
        <v>774</v>
      </c>
      <c r="N151" s="167" t="s">
        <v>3880</v>
      </c>
      <c r="O151" s="164" t="s">
        <v>167</v>
      </c>
      <c r="P151" s="167" t="s">
        <v>167</v>
      </c>
      <c r="Q151" s="164" t="s">
        <v>3881</v>
      </c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</row>
    <row r="152" ht="41.25" customHeight="1">
      <c r="A152" s="185"/>
      <c r="B152" s="163" t="s">
        <v>3882</v>
      </c>
      <c r="C152" s="164" t="s">
        <v>3883</v>
      </c>
      <c r="D152" s="164" t="s">
        <v>3884</v>
      </c>
      <c r="E152" s="165" t="s">
        <v>123</v>
      </c>
      <c r="F152" s="165" t="s">
        <v>123</v>
      </c>
      <c r="G152" s="164" t="s">
        <v>123</v>
      </c>
      <c r="H152" s="163" t="s">
        <v>3882</v>
      </c>
      <c r="I152" s="163" t="s">
        <v>3839</v>
      </c>
      <c r="J152" s="163" t="s">
        <v>3730</v>
      </c>
      <c r="K152" s="163" t="s">
        <v>3845</v>
      </c>
      <c r="L152" s="163" t="s">
        <v>3611</v>
      </c>
      <c r="M152" s="163">
        <v>1.7</v>
      </c>
      <c r="N152" s="167" t="s">
        <v>3846</v>
      </c>
      <c r="O152" s="164" t="s">
        <v>3732</v>
      </c>
      <c r="P152" s="167" t="s">
        <v>3732</v>
      </c>
      <c r="Q152" s="164" t="s">
        <v>3885</v>
      </c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</row>
    <row r="153" ht="40.5" customHeight="1">
      <c r="A153" s="185"/>
      <c r="B153" s="163" t="s">
        <v>3886</v>
      </c>
      <c r="C153" s="164" t="s">
        <v>3883</v>
      </c>
      <c r="D153" s="164" t="s">
        <v>3887</v>
      </c>
      <c r="E153" s="165" t="s">
        <v>123</v>
      </c>
      <c r="F153" s="165" t="s">
        <v>123</v>
      </c>
      <c r="G153" s="164" t="s">
        <v>123</v>
      </c>
      <c r="H153" s="163" t="s">
        <v>3886</v>
      </c>
      <c r="I153" s="163" t="s">
        <v>3839</v>
      </c>
      <c r="J153" s="163" t="s">
        <v>3840</v>
      </c>
      <c r="K153" s="163" t="s">
        <v>3841</v>
      </c>
      <c r="L153" s="163" t="s">
        <v>3611</v>
      </c>
      <c r="M153" s="193" t="s">
        <v>1077</v>
      </c>
      <c r="N153" s="167">
        <v>480.0</v>
      </c>
      <c r="O153" s="164" t="s">
        <v>3732</v>
      </c>
      <c r="P153" s="167" t="s">
        <v>3732</v>
      </c>
      <c r="Q153" s="164" t="s">
        <v>3889</v>
      </c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</row>
    <row r="154" ht="45.0" customHeight="1">
      <c r="A154" s="185"/>
      <c r="B154" s="163" t="s">
        <v>1048</v>
      </c>
      <c r="C154" s="164" t="s">
        <v>121</v>
      </c>
      <c r="D154" s="164" t="s">
        <v>3891</v>
      </c>
      <c r="E154" s="165">
        <v>0.1</v>
      </c>
      <c r="F154" s="165" t="s">
        <v>123</v>
      </c>
      <c r="G154" s="164" t="s">
        <v>123</v>
      </c>
      <c r="H154" s="163" t="s">
        <v>1048</v>
      </c>
      <c r="I154" s="163" t="s">
        <v>3892</v>
      </c>
      <c r="J154" s="163" t="s">
        <v>968</v>
      </c>
      <c r="K154" s="163" t="s">
        <v>969</v>
      </c>
      <c r="L154" s="163" t="s">
        <v>970</v>
      </c>
      <c r="M154" s="248" t="s">
        <v>971</v>
      </c>
      <c r="N154" s="167" t="s">
        <v>3893</v>
      </c>
      <c r="O154" s="164" t="s">
        <v>214</v>
      </c>
      <c r="P154" s="167" t="s">
        <v>214</v>
      </c>
      <c r="Q154" s="164" t="s">
        <v>3894</v>
      </c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</row>
    <row r="155" ht="39.75" customHeight="1">
      <c r="A155" s="185"/>
      <c r="B155" s="163" t="s">
        <v>3895</v>
      </c>
      <c r="C155" s="164" t="s">
        <v>1793</v>
      </c>
      <c r="D155" s="164" t="s">
        <v>122</v>
      </c>
      <c r="E155" s="165" t="s">
        <v>123</v>
      </c>
      <c r="F155" s="165" t="s">
        <v>123</v>
      </c>
      <c r="G155" s="164" t="s">
        <v>123</v>
      </c>
      <c r="H155" s="163" t="s">
        <v>3895</v>
      </c>
      <c r="I155" s="163" t="s">
        <v>2894</v>
      </c>
      <c r="J155" s="163" t="s">
        <v>1805</v>
      </c>
      <c r="K155" s="163" t="s">
        <v>1806</v>
      </c>
      <c r="L155" s="163" t="s">
        <v>126</v>
      </c>
      <c r="M155" s="163" t="s">
        <v>127</v>
      </c>
      <c r="N155" s="191" t="s">
        <v>2902</v>
      </c>
      <c r="O155" s="164" t="s">
        <v>214</v>
      </c>
      <c r="P155" s="167" t="s">
        <v>214</v>
      </c>
      <c r="Q155" s="164" t="s">
        <v>3901</v>
      </c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</row>
    <row r="156" ht="39.75" customHeight="1">
      <c r="A156" s="187"/>
      <c r="B156" s="164" t="s">
        <v>3903</v>
      </c>
      <c r="C156" s="164" t="s">
        <v>1793</v>
      </c>
      <c r="D156" s="164" t="s">
        <v>3904</v>
      </c>
      <c r="E156" s="165">
        <v>200.0</v>
      </c>
      <c r="F156" s="165" t="s">
        <v>123</v>
      </c>
      <c r="G156" s="164" t="s">
        <v>123</v>
      </c>
      <c r="H156" s="164" t="s">
        <v>3903</v>
      </c>
      <c r="I156" s="163" t="s">
        <v>3905</v>
      </c>
      <c r="J156" s="163" t="s">
        <v>134</v>
      </c>
      <c r="K156" s="163" t="s">
        <v>3521</v>
      </c>
      <c r="L156" s="163" t="s">
        <v>126</v>
      </c>
      <c r="M156" s="163" t="s">
        <v>127</v>
      </c>
      <c r="N156" s="191" t="s">
        <v>3522</v>
      </c>
      <c r="O156" s="164" t="s">
        <v>1046</v>
      </c>
      <c r="P156" s="167" t="s">
        <v>1046</v>
      </c>
      <c r="Q156" s="164" t="s">
        <v>3907</v>
      </c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</row>
    <row r="157" ht="39.75" customHeight="1">
      <c r="A157" s="187"/>
      <c r="B157" s="164" t="s">
        <v>3908</v>
      </c>
      <c r="C157" s="164" t="s">
        <v>121</v>
      </c>
      <c r="D157" s="164" t="s">
        <v>122</v>
      </c>
      <c r="E157" s="165">
        <v>100.0</v>
      </c>
      <c r="F157" s="165" t="s">
        <v>123</v>
      </c>
      <c r="G157" s="164">
        <v>115.0</v>
      </c>
      <c r="H157" s="164" t="s">
        <v>3908</v>
      </c>
      <c r="I157" s="163" t="s">
        <v>3911</v>
      </c>
      <c r="J157" s="163" t="s">
        <v>134</v>
      </c>
      <c r="K157" s="163" t="s">
        <v>1479</v>
      </c>
      <c r="L157" s="163" t="s">
        <v>126</v>
      </c>
      <c r="M157" s="163" t="s">
        <v>127</v>
      </c>
      <c r="N157" s="191" t="s">
        <v>1845</v>
      </c>
      <c r="O157" s="164">
        <v>8.0</v>
      </c>
      <c r="P157" s="167">
        <v>8.0</v>
      </c>
      <c r="Q157" s="164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</row>
    <row r="158" ht="39.75" customHeight="1">
      <c r="A158" s="187"/>
      <c r="B158" s="164" t="s">
        <v>3913</v>
      </c>
      <c r="C158" s="164" t="s">
        <v>121</v>
      </c>
      <c r="D158" s="164" t="s">
        <v>3915</v>
      </c>
      <c r="E158" s="165">
        <v>0.2</v>
      </c>
      <c r="F158" s="165" t="s">
        <v>123</v>
      </c>
      <c r="G158" s="164" t="s">
        <v>123</v>
      </c>
      <c r="H158" s="164" t="s">
        <v>3913</v>
      </c>
      <c r="I158" s="163" t="s">
        <v>3917</v>
      </c>
      <c r="J158" s="163" t="s">
        <v>968</v>
      </c>
      <c r="K158" s="163" t="s">
        <v>969</v>
      </c>
      <c r="L158" s="163" t="s">
        <v>970</v>
      </c>
      <c r="M158" s="168" t="s">
        <v>971</v>
      </c>
      <c r="N158" s="164" t="s">
        <v>1516</v>
      </c>
      <c r="O158" s="164"/>
      <c r="P158" s="167"/>
      <c r="Q158" s="164" t="s">
        <v>3919</v>
      </c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ht="60.0" customHeight="1">
      <c r="A159" s="185"/>
      <c r="B159" s="163" t="s">
        <v>3921</v>
      </c>
      <c r="C159" s="164" t="s">
        <v>3883</v>
      </c>
      <c r="D159" s="164" t="s">
        <v>3923</v>
      </c>
      <c r="E159" s="165">
        <v>0.025</v>
      </c>
      <c r="F159" s="165" t="s">
        <v>123</v>
      </c>
      <c r="G159" s="164" t="s">
        <v>123</v>
      </c>
      <c r="H159" s="163" t="s">
        <v>3921</v>
      </c>
      <c r="I159" s="163" t="s">
        <v>3924</v>
      </c>
      <c r="J159" s="163" t="s">
        <v>3730</v>
      </c>
      <c r="K159" s="163" t="s">
        <v>3925</v>
      </c>
      <c r="L159" s="163" t="s">
        <v>970</v>
      </c>
      <c r="M159" s="163">
        <v>1.7</v>
      </c>
      <c r="N159" s="164" t="s">
        <v>3926</v>
      </c>
      <c r="O159" s="164" t="s">
        <v>1046</v>
      </c>
      <c r="P159" s="167" t="s">
        <v>1046</v>
      </c>
      <c r="Q159" s="164" t="s">
        <v>3927</v>
      </c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</row>
    <row r="160" ht="57.0" customHeight="1">
      <c r="A160" s="185"/>
      <c r="B160" s="163" t="s">
        <v>3930</v>
      </c>
      <c r="C160" s="164" t="s">
        <v>121</v>
      </c>
      <c r="D160" s="164" t="s">
        <v>122</v>
      </c>
      <c r="E160" s="165" t="s">
        <v>123</v>
      </c>
      <c r="F160" s="165" t="s">
        <v>123</v>
      </c>
      <c r="G160" s="164" t="s">
        <v>123</v>
      </c>
      <c r="H160" s="163" t="s">
        <v>3930</v>
      </c>
      <c r="I160" s="163" t="s">
        <v>123</v>
      </c>
      <c r="J160" s="163" t="s">
        <v>134</v>
      </c>
      <c r="K160" s="163" t="s">
        <v>175</v>
      </c>
      <c r="L160" s="163" t="s">
        <v>126</v>
      </c>
      <c r="M160" s="168" t="s">
        <v>971</v>
      </c>
      <c r="N160" s="168" t="s">
        <v>2662</v>
      </c>
      <c r="O160" s="164"/>
      <c r="P160" s="167"/>
      <c r="Q160" s="164" t="s">
        <v>2700</v>
      </c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ht="39.75" customHeight="1">
      <c r="A161" s="185"/>
      <c r="B161" s="163" t="s">
        <v>3934</v>
      </c>
      <c r="C161" s="164" t="s">
        <v>121</v>
      </c>
      <c r="D161" s="164" t="s">
        <v>3935</v>
      </c>
      <c r="E161" s="165">
        <v>5.0</v>
      </c>
      <c r="F161" s="165" t="s">
        <v>123</v>
      </c>
      <c r="G161" s="164" t="s">
        <v>123</v>
      </c>
      <c r="H161" s="163" t="s">
        <v>3934</v>
      </c>
      <c r="I161" s="163" t="s">
        <v>3009</v>
      </c>
      <c r="J161" s="163" t="s">
        <v>3730</v>
      </c>
      <c r="K161" s="163" t="s">
        <v>3936</v>
      </c>
      <c r="L161" s="163" t="s">
        <v>3611</v>
      </c>
      <c r="M161" s="163">
        <v>2.0</v>
      </c>
      <c r="N161" s="167">
        <v>480.0</v>
      </c>
      <c r="O161" s="164"/>
      <c r="P161" s="167"/>
      <c r="Q161" s="164" t="s">
        <v>3535</v>
      </c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</row>
    <row r="162" ht="39.75" customHeight="1">
      <c r="A162" s="187"/>
      <c r="B162" s="164" t="s">
        <v>3938</v>
      </c>
      <c r="C162" s="164" t="s">
        <v>121</v>
      </c>
      <c r="D162" s="164" t="s">
        <v>122</v>
      </c>
      <c r="E162" s="165">
        <v>1.0</v>
      </c>
      <c r="F162" s="165">
        <v>5.0</v>
      </c>
      <c r="G162" s="164">
        <v>8.0</v>
      </c>
      <c r="H162" s="163" t="s">
        <v>3938</v>
      </c>
      <c r="I162" s="163" t="s">
        <v>3865</v>
      </c>
      <c r="J162" s="163" t="s">
        <v>134</v>
      </c>
      <c r="K162" s="163" t="s">
        <v>3941</v>
      </c>
      <c r="L162" s="163" t="s">
        <v>126</v>
      </c>
      <c r="M162" s="184" t="s">
        <v>208</v>
      </c>
      <c r="N162" s="167" t="s">
        <v>3942</v>
      </c>
      <c r="O162" s="164" t="s">
        <v>255</v>
      </c>
      <c r="P162" s="167" t="s">
        <v>255</v>
      </c>
      <c r="Q162" s="164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</row>
    <row r="163" ht="39.75" customHeight="1">
      <c r="A163" s="187"/>
      <c r="B163" s="164" t="s">
        <v>3943</v>
      </c>
      <c r="C163" s="164" t="s">
        <v>121</v>
      </c>
      <c r="D163" s="164" t="s">
        <v>3944</v>
      </c>
      <c r="E163" s="165">
        <v>0.02</v>
      </c>
      <c r="F163" s="165" t="s">
        <v>123</v>
      </c>
      <c r="G163" s="164" t="s">
        <v>123</v>
      </c>
      <c r="H163" s="164" t="s">
        <v>3943</v>
      </c>
      <c r="I163" s="163" t="s">
        <v>3945</v>
      </c>
      <c r="J163" s="163" t="s">
        <v>968</v>
      </c>
      <c r="K163" s="163" t="s">
        <v>969</v>
      </c>
      <c r="L163" s="163" t="s">
        <v>970</v>
      </c>
      <c r="M163" s="163" t="s">
        <v>1678</v>
      </c>
      <c r="N163" s="191" t="s">
        <v>1679</v>
      </c>
      <c r="O163" s="164">
        <v>0.5</v>
      </c>
      <c r="P163" s="167">
        <v>0.5</v>
      </c>
      <c r="Q163" s="164" t="s">
        <v>139</v>
      </c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</row>
    <row r="164" ht="39.75" customHeight="1">
      <c r="A164" s="185"/>
      <c r="B164" s="163" t="s">
        <v>3947</v>
      </c>
      <c r="C164" s="164" t="s">
        <v>121</v>
      </c>
      <c r="D164" s="164" t="s">
        <v>122</v>
      </c>
      <c r="E164" s="165">
        <v>100.0</v>
      </c>
      <c r="F164" s="165" t="s">
        <v>123</v>
      </c>
      <c r="G164" s="164">
        <v>78.0</v>
      </c>
      <c r="H164" s="163" t="s">
        <v>3947</v>
      </c>
      <c r="I164" s="163" t="s">
        <v>1803</v>
      </c>
      <c r="J164" s="163" t="s">
        <v>134</v>
      </c>
      <c r="K164" s="163" t="s">
        <v>175</v>
      </c>
      <c r="L164" s="163" t="s">
        <v>126</v>
      </c>
      <c r="M164" s="163" t="s">
        <v>127</v>
      </c>
      <c r="N164" s="166" t="s">
        <v>151</v>
      </c>
      <c r="O164" s="164" t="s">
        <v>166</v>
      </c>
      <c r="P164" s="167" t="s">
        <v>167</v>
      </c>
      <c r="Q164" s="164" t="s">
        <v>3953</v>
      </c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</row>
    <row r="165" ht="84.75" customHeight="1">
      <c r="A165" s="185"/>
      <c r="B165" s="163" t="s">
        <v>3956</v>
      </c>
      <c r="C165" s="164" t="s">
        <v>121</v>
      </c>
      <c r="D165" s="164" t="s">
        <v>122</v>
      </c>
      <c r="E165" s="165">
        <v>50.0</v>
      </c>
      <c r="F165" s="165">
        <v>100.0</v>
      </c>
      <c r="G165" s="164">
        <v>156.0</v>
      </c>
      <c r="H165" s="163" t="s">
        <v>3956</v>
      </c>
      <c r="I165" s="163" t="s">
        <v>3957</v>
      </c>
      <c r="J165" s="163" t="s">
        <v>134</v>
      </c>
      <c r="K165" s="163" t="s">
        <v>3959</v>
      </c>
      <c r="L165" s="163" t="s">
        <v>126</v>
      </c>
      <c r="M165" s="163" t="s">
        <v>127</v>
      </c>
      <c r="N165" s="166" t="s">
        <v>3961</v>
      </c>
      <c r="O165" s="164" t="s">
        <v>1046</v>
      </c>
      <c r="P165" s="167" t="s">
        <v>1046</v>
      </c>
      <c r="Q165" s="164" t="s">
        <v>3962</v>
      </c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</row>
    <row r="166" ht="84.75" customHeight="1">
      <c r="A166" s="185"/>
      <c r="B166" s="163" t="s">
        <v>50</v>
      </c>
      <c r="C166" s="164" t="s">
        <v>1627</v>
      </c>
      <c r="D166" s="164" t="s">
        <v>122</v>
      </c>
      <c r="E166" s="165">
        <v>20.0</v>
      </c>
      <c r="F166" s="165" t="s">
        <v>123</v>
      </c>
      <c r="G166" s="164">
        <v>78.0</v>
      </c>
      <c r="H166" s="163" t="s">
        <v>50</v>
      </c>
      <c r="I166" s="163" t="s">
        <v>3964</v>
      </c>
      <c r="J166" s="163" t="s">
        <v>134</v>
      </c>
      <c r="K166" s="163" t="s">
        <v>1642</v>
      </c>
      <c r="L166" s="163" t="s">
        <v>126</v>
      </c>
      <c r="M166" s="163">
        <v>0.02</v>
      </c>
      <c r="N166" s="191" t="s">
        <v>2902</v>
      </c>
      <c r="O166" s="164" t="s">
        <v>2380</v>
      </c>
      <c r="P166" s="167" t="s">
        <v>2380</v>
      </c>
      <c r="Q166" s="164" t="s">
        <v>2808</v>
      </c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</row>
    <row r="167" ht="39.75" customHeight="1">
      <c r="A167" s="185"/>
      <c r="B167" s="163" t="s">
        <v>3968</v>
      </c>
      <c r="C167" s="164" t="s">
        <v>1030</v>
      </c>
      <c r="D167" s="164" t="s">
        <v>122</v>
      </c>
      <c r="E167" s="165">
        <v>10.0</v>
      </c>
      <c r="F167" s="165">
        <v>25.0</v>
      </c>
      <c r="G167" s="164">
        <v>78.0</v>
      </c>
      <c r="H167" s="163" t="s">
        <v>3968</v>
      </c>
      <c r="I167" s="163" t="s">
        <v>3969</v>
      </c>
      <c r="J167" s="163" t="s">
        <v>134</v>
      </c>
      <c r="K167" s="163" t="s">
        <v>2593</v>
      </c>
      <c r="L167" s="163" t="s">
        <v>126</v>
      </c>
      <c r="M167" s="163" t="s">
        <v>127</v>
      </c>
      <c r="N167" s="168" t="s">
        <v>3971</v>
      </c>
      <c r="O167" s="164" t="s">
        <v>3732</v>
      </c>
      <c r="P167" s="164" t="s">
        <v>3732</v>
      </c>
      <c r="Q167" s="223" t="s">
        <v>3973</v>
      </c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ht="39.75" customHeight="1">
      <c r="A168" s="185"/>
      <c r="B168" s="163" t="s">
        <v>3975</v>
      </c>
      <c r="C168" s="164" t="s">
        <v>121</v>
      </c>
      <c r="D168" s="164" t="s">
        <v>3976</v>
      </c>
      <c r="E168" s="165">
        <v>5.0</v>
      </c>
      <c r="F168" s="165" t="s">
        <v>123</v>
      </c>
      <c r="G168" s="164" t="s">
        <v>123</v>
      </c>
      <c r="H168" s="163" t="s">
        <v>3975</v>
      </c>
      <c r="I168" s="163" t="s">
        <v>3978</v>
      </c>
      <c r="J168" s="163" t="s">
        <v>3504</v>
      </c>
      <c r="K168" s="163" t="s">
        <v>3979</v>
      </c>
      <c r="L168" s="163" t="s">
        <v>126</v>
      </c>
      <c r="M168" s="163" t="s">
        <v>1983</v>
      </c>
      <c r="N168" s="193" t="s">
        <v>3982</v>
      </c>
      <c r="O168" s="164"/>
      <c r="P168" s="164"/>
      <c r="Q168" s="223" t="s">
        <v>3984</v>
      </c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ht="84.75" customHeight="1">
      <c r="A169" s="185"/>
      <c r="B169" s="163" t="s">
        <v>3986</v>
      </c>
      <c r="C169" s="164" t="s">
        <v>121</v>
      </c>
      <c r="D169" s="164" t="s">
        <v>122</v>
      </c>
      <c r="E169" s="165">
        <v>10.0</v>
      </c>
      <c r="F169" s="165" t="s">
        <v>123</v>
      </c>
      <c r="G169" s="164" t="s">
        <v>123</v>
      </c>
      <c r="H169" s="163" t="s">
        <v>3986</v>
      </c>
      <c r="I169" s="163" t="s">
        <v>3987</v>
      </c>
      <c r="J169" s="163" t="s">
        <v>134</v>
      </c>
      <c r="K169" s="163" t="s">
        <v>3989</v>
      </c>
      <c r="L169" s="163" t="s">
        <v>126</v>
      </c>
      <c r="M169" s="163">
        <v>0.1</v>
      </c>
      <c r="N169" s="166" t="s">
        <v>3990</v>
      </c>
      <c r="O169" s="164"/>
      <c r="P169" s="167"/>
      <c r="Q169" s="164" t="s">
        <v>1119</v>
      </c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</row>
    <row r="170" ht="84.75" customHeight="1">
      <c r="A170" s="185"/>
      <c r="B170" s="163" t="s">
        <v>877</v>
      </c>
      <c r="C170" s="164" t="s">
        <v>121</v>
      </c>
      <c r="D170" s="164" t="s">
        <v>3993</v>
      </c>
      <c r="E170" s="165">
        <v>3.0</v>
      </c>
      <c r="F170" s="165" t="s">
        <v>123</v>
      </c>
      <c r="G170" s="164" t="s">
        <v>123</v>
      </c>
      <c r="H170" s="163" t="s">
        <v>877</v>
      </c>
      <c r="I170" s="163" t="s">
        <v>3996</v>
      </c>
      <c r="J170" s="163" t="s">
        <v>968</v>
      </c>
      <c r="K170" s="163" t="s">
        <v>969</v>
      </c>
      <c r="L170" s="163" t="s">
        <v>970</v>
      </c>
      <c r="M170" s="163">
        <v>1.7</v>
      </c>
      <c r="N170" s="191" t="s">
        <v>1516</v>
      </c>
      <c r="O170" s="164">
        <v>5.0</v>
      </c>
      <c r="P170" s="167">
        <v>5.0</v>
      </c>
      <c r="Q170" s="164" t="s">
        <v>770</v>
      </c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</row>
    <row r="171" ht="39.75" customHeight="1">
      <c r="A171" s="185"/>
      <c r="B171" s="163" t="s">
        <v>77</v>
      </c>
      <c r="C171" s="164" t="s">
        <v>121</v>
      </c>
      <c r="D171" s="164" t="s">
        <v>122</v>
      </c>
      <c r="E171" s="165">
        <v>10.0</v>
      </c>
      <c r="F171" s="165" t="s">
        <v>123</v>
      </c>
      <c r="G171" s="164" t="s">
        <v>123</v>
      </c>
      <c r="H171" s="163" t="s">
        <v>77</v>
      </c>
      <c r="I171" s="163" t="s">
        <v>4000</v>
      </c>
      <c r="J171" s="163" t="s">
        <v>134</v>
      </c>
      <c r="K171" s="163" t="s">
        <v>2689</v>
      </c>
      <c r="L171" s="163" t="s">
        <v>126</v>
      </c>
      <c r="M171" s="163" t="s">
        <v>127</v>
      </c>
      <c r="N171" s="191" t="s">
        <v>4002</v>
      </c>
      <c r="O171" s="164" t="s">
        <v>4003</v>
      </c>
      <c r="P171" s="167" t="s">
        <v>2380</v>
      </c>
      <c r="Q171" s="164" t="s">
        <v>4004</v>
      </c>
      <c r="R171" s="188"/>
      <c r="S171" s="152"/>
      <c r="T171" s="152"/>
      <c r="U171" s="152"/>
      <c r="V171" s="152"/>
      <c r="W171" s="152"/>
      <c r="X171" s="152"/>
      <c r="Y171" s="152"/>
      <c r="Z171" s="152"/>
      <c r="AA171" s="152"/>
    </row>
    <row r="172" ht="39.75" customHeight="1">
      <c r="A172" s="185"/>
      <c r="B172" s="163" t="s">
        <v>58</v>
      </c>
      <c r="C172" s="164" t="s">
        <v>1627</v>
      </c>
      <c r="D172" s="164" t="s">
        <v>122</v>
      </c>
      <c r="E172" s="165">
        <v>20.0</v>
      </c>
      <c r="F172" s="165" t="s">
        <v>123</v>
      </c>
      <c r="G172" s="164">
        <v>78.0</v>
      </c>
      <c r="H172" s="163" t="s">
        <v>58</v>
      </c>
      <c r="I172" s="163" t="s">
        <v>4007</v>
      </c>
      <c r="J172" s="163" t="s">
        <v>134</v>
      </c>
      <c r="K172" s="163" t="s">
        <v>1642</v>
      </c>
      <c r="L172" s="163" t="s">
        <v>126</v>
      </c>
      <c r="M172" s="163" t="s">
        <v>127</v>
      </c>
      <c r="N172" s="191" t="s">
        <v>2694</v>
      </c>
      <c r="O172" s="164" t="s">
        <v>2380</v>
      </c>
      <c r="P172" s="167" t="s">
        <v>2380</v>
      </c>
      <c r="Q172" s="164" t="s">
        <v>4008</v>
      </c>
      <c r="R172" s="188"/>
      <c r="S172" s="152"/>
      <c r="T172" s="152"/>
      <c r="U172" s="152"/>
      <c r="V172" s="152"/>
      <c r="W172" s="152"/>
      <c r="X172" s="152"/>
      <c r="Y172" s="152"/>
      <c r="Z172" s="152"/>
      <c r="AA172" s="152"/>
    </row>
    <row r="173" ht="39.75" customHeight="1">
      <c r="A173" s="187"/>
      <c r="B173" s="164" t="s">
        <v>4009</v>
      </c>
      <c r="C173" s="164" t="s">
        <v>121</v>
      </c>
      <c r="D173" s="164" t="s">
        <v>4012</v>
      </c>
      <c r="E173" s="165">
        <v>5.0</v>
      </c>
      <c r="F173" s="165">
        <v>10.0</v>
      </c>
      <c r="G173" s="164" t="s">
        <v>123</v>
      </c>
      <c r="H173" s="164" t="s">
        <v>4009</v>
      </c>
      <c r="I173" s="163" t="s">
        <v>4014</v>
      </c>
      <c r="J173" s="163" t="s">
        <v>968</v>
      </c>
      <c r="K173" s="163" t="s">
        <v>969</v>
      </c>
      <c r="L173" s="163" t="s">
        <v>970</v>
      </c>
      <c r="M173" s="193" t="s">
        <v>971</v>
      </c>
      <c r="N173" s="167" t="s">
        <v>4016</v>
      </c>
      <c r="O173" s="164"/>
      <c r="P173" s="167"/>
      <c r="Q173" s="164" t="s">
        <v>3613</v>
      </c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</row>
    <row r="174" ht="39.75" customHeight="1">
      <c r="A174" s="187"/>
      <c r="B174" s="164" t="s">
        <v>4018</v>
      </c>
      <c r="C174" s="164" t="s">
        <v>1030</v>
      </c>
      <c r="D174" s="164" t="s">
        <v>122</v>
      </c>
      <c r="E174" s="165">
        <v>50.0</v>
      </c>
      <c r="F174" s="165" t="s">
        <v>123</v>
      </c>
      <c r="G174" s="164">
        <v>560.0</v>
      </c>
      <c r="H174" s="164" t="s">
        <v>4018</v>
      </c>
      <c r="I174" s="163" t="s">
        <v>4020</v>
      </c>
      <c r="J174" s="163" t="s">
        <v>134</v>
      </c>
      <c r="K174" s="163" t="s">
        <v>4022</v>
      </c>
      <c r="L174" s="163" t="s">
        <v>126</v>
      </c>
      <c r="M174" s="191" t="s">
        <v>271</v>
      </c>
      <c r="N174" s="167" t="s">
        <v>4024</v>
      </c>
      <c r="O174" s="164"/>
      <c r="P174" s="167"/>
      <c r="Q174" s="164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</row>
    <row r="175" ht="39.75" customHeight="1">
      <c r="A175" s="185"/>
      <c r="B175" s="163" t="s">
        <v>80</v>
      </c>
      <c r="C175" s="164" t="s">
        <v>1627</v>
      </c>
      <c r="D175" s="164" t="s">
        <v>122</v>
      </c>
      <c r="E175" s="165">
        <v>10.0</v>
      </c>
      <c r="F175" s="165" t="s">
        <v>123</v>
      </c>
      <c r="G175" s="164" t="s">
        <v>123</v>
      </c>
      <c r="H175" s="163" t="s">
        <v>80</v>
      </c>
      <c r="I175" s="163" t="s">
        <v>4025</v>
      </c>
      <c r="J175" s="163" t="s">
        <v>134</v>
      </c>
      <c r="K175" s="163" t="s">
        <v>2689</v>
      </c>
      <c r="L175" s="163" t="s">
        <v>126</v>
      </c>
      <c r="M175" s="184">
        <v>0.2</v>
      </c>
      <c r="N175" s="167" t="s">
        <v>4026</v>
      </c>
      <c r="O175" s="164" t="s">
        <v>4003</v>
      </c>
      <c r="P175" s="167" t="s">
        <v>2380</v>
      </c>
      <c r="Q175" s="164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</row>
    <row r="176" ht="39.75" customHeight="1">
      <c r="A176" s="185"/>
      <c r="B176" s="163" t="s">
        <v>4027</v>
      </c>
      <c r="C176" s="164" t="s">
        <v>1627</v>
      </c>
      <c r="D176" s="164" t="s">
        <v>122</v>
      </c>
      <c r="E176" s="165">
        <v>10.0</v>
      </c>
      <c r="F176" s="165" t="s">
        <v>123</v>
      </c>
      <c r="G176" s="164" t="s">
        <v>123</v>
      </c>
      <c r="H176" s="163" t="s">
        <v>4027</v>
      </c>
      <c r="I176" s="163" t="s">
        <v>4025</v>
      </c>
      <c r="J176" s="163" t="s">
        <v>134</v>
      </c>
      <c r="K176" s="163" t="s">
        <v>2689</v>
      </c>
      <c r="L176" s="163" t="s">
        <v>126</v>
      </c>
      <c r="M176" s="184">
        <v>0.2</v>
      </c>
      <c r="N176" s="167" t="s">
        <v>4026</v>
      </c>
      <c r="O176" s="164" t="s">
        <v>4003</v>
      </c>
      <c r="P176" s="167" t="s">
        <v>2380</v>
      </c>
      <c r="Q176" s="164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</row>
    <row r="177" ht="39.75" customHeight="1">
      <c r="A177" s="185"/>
      <c r="B177" s="163" t="s">
        <v>4028</v>
      </c>
      <c r="C177" s="164" t="s">
        <v>1627</v>
      </c>
      <c r="D177" s="164" t="s">
        <v>122</v>
      </c>
      <c r="E177" s="165">
        <v>10.0</v>
      </c>
      <c r="F177" s="165" t="s">
        <v>123</v>
      </c>
      <c r="G177" s="164" t="s">
        <v>123</v>
      </c>
      <c r="H177" s="163" t="s">
        <v>4028</v>
      </c>
      <c r="I177" s="163" t="s">
        <v>4025</v>
      </c>
      <c r="J177" s="163" t="s">
        <v>134</v>
      </c>
      <c r="K177" s="163" t="s">
        <v>2689</v>
      </c>
      <c r="L177" s="163" t="s">
        <v>126</v>
      </c>
      <c r="M177" s="184">
        <v>0.2</v>
      </c>
      <c r="N177" s="167" t="s">
        <v>4026</v>
      </c>
      <c r="O177" s="164" t="s">
        <v>4003</v>
      </c>
      <c r="P177" s="167" t="s">
        <v>2380</v>
      </c>
      <c r="Q177" s="164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</row>
    <row r="178" ht="39.75" customHeight="1">
      <c r="A178" s="185"/>
      <c r="B178" s="163" t="s">
        <v>4032</v>
      </c>
      <c r="C178" s="164" t="s">
        <v>1627</v>
      </c>
      <c r="D178" s="164" t="s">
        <v>122</v>
      </c>
      <c r="E178" s="165">
        <v>10.0</v>
      </c>
      <c r="F178" s="165" t="s">
        <v>123</v>
      </c>
      <c r="G178" s="164" t="s">
        <v>123</v>
      </c>
      <c r="H178" s="163" t="s">
        <v>4032</v>
      </c>
      <c r="I178" s="163" t="s">
        <v>4025</v>
      </c>
      <c r="J178" s="163" t="s">
        <v>134</v>
      </c>
      <c r="K178" s="163" t="s">
        <v>2689</v>
      </c>
      <c r="L178" s="163" t="s">
        <v>126</v>
      </c>
      <c r="M178" s="184">
        <v>0.2</v>
      </c>
      <c r="N178" s="167" t="s">
        <v>4026</v>
      </c>
      <c r="O178" s="164" t="s">
        <v>4003</v>
      </c>
      <c r="P178" s="167" t="s">
        <v>2380</v>
      </c>
      <c r="Q178" s="164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</row>
    <row r="179" ht="39.75" customHeight="1">
      <c r="A179" s="185"/>
      <c r="B179" s="163" t="s">
        <v>4036</v>
      </c>
      <c r="C179" s="164" t="s">
        <v>1627</v>
      </c>
      <c r="D179" s="164" t="s">
        <v>122</v>
      </c>
      <c r="E179" s="165">
        <v>10.0</v>
      </c>
      <c r="F179" s="165" t="s">
        <v>123</v>
      </c>
      <c r="G179" s="164" t="s">
        <v>123</v>
      </c>
      <c r="H179" s="163" t="s">
        <v>4036</v>
      </c>
      <c r="I179" s="163" t="s">
        <v>4025</v>
      </c>
      <c r="J179" s="163" t="s">
        <v>134</v>
      </c>
      <c r="K179" s="163" t="s">
        <v>2689</v>
      </c>
      <c r="L179" s="163" t="s">
        <v>126</v>
      </c>
      <c r="M179" s="184">
        <v>0.2</v>
      </c>
      <c r="N179" s="167" t="s">
        <v>4026</v>
      </c>
      <c r="O179" s="164" t="s">
        <v>4003</v>
      </c>
      <c r="P179" s="167" t="s">
        <v>2380</v>
      </c>
      <c r="Q179" s="164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</row>
    <row r="180" ht="39.75" customHeight="1">
      <c r="A180" s="185"/>
      <c r="B180" s="163" t="s">
        <v>4040</v>
      </c>
      <c r="C180" s="164" t="s">
        <v>1627</v>
      </c>
      <c r="D180" s="164" t="s">
        <v>122</v>
      </c>
      <c r="E180" s="165">
        <v>10.0</v>
      </c>
      <c r="F180" s="165" t="s">
        <v>123</v>
      </c>
      <c r="G180" s="164" t="s">
        <v>123</v>
      </c>
      <c r="H180" s="163" t="s">
        <v>4040</v>
      </c>
      <c r="I180" s="163" t="s">
        <v>4025</v>
      </c>
      <c r="J180" s="163" t="s">
        <v>134</v>
      </c>
      <c r="K180" s="163" t="s">
        <v>2689</v>
      </c>
      <c r="L180" s="163" t="s">
        <v>126</v>
      </c>
      <c r="M180" s="184">
        <v>0.2</v>
      </c>
      <c r="N180" s="167" t="s">
        <v>4026</v>
      </c>
      <c r="O180" s="164" t="s">
        <v>4003</v>
      </c>
      <c r="P180" s="167" t="s">
        <v>2380</v>
      </c>
      <c r="Q180" s="164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</row>
    <row r="181" ht="39.75" customHeight="1">
      <c r="A181" s="185"/>
      <c r="B181" s="163" t="s">
        <v>4042</v>
      </c>
      <c r="C181" s="164" t="s">
        <v>1627</v>
      </c>
      <c r="D181" s="164" t="s">
        <v>122</v>
      </c>
      <c r="E181" s="165">
        <v>10.0</v>
      </c>
      <c r="F181" s="165" t="s">
        <v>123</v>
      </c>
      <c r="G181" s="164" t="s">
        <v>123</v>
      </c>
      <c r="H181" s="163" t="s">
        <v>4042</v>
      </c>
      <c r="I181" s="163" t="s">
        <v>4025</v>
      </c>
      <c r="J181" s="163" t="s">
        <v>134</v>
      </c>
      <c r="K181" s="163" t="s">
        <v>2689</v>
      </c>
      <c r="L181" s="163" t="s">
        <v>126</v>
      </c>
      <c r="M181" s="184">
        <v>0.2</v>
      </c>
      <c r="N181" s="167" t="s">
        <v>4026</v>
      </c>
      <c r="O181" s="164" t="s">
        <v>4003</v>
      </c>
      <c r="P181" s="167" t="s">
        <v>2380</v>
      </c>
      <c r="Q181" s="164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</row>
    <row r="182" ht="39.75" customHeight="1">
      <c r="A182" s="185"/>
      <c r="B182" s="163" t="s">
        <v>4046</v>
      </c>
      <c r="C182" s="164" t="s">
        <v>1627</v>
      </c>
      <c r="D182" s="164" t="s">
        <v>122</v>
      </c>
      <c r="E182" s="165">
        <v>10.0</v>
      </c>
      <c r="F182" s="165" t="s">
        <v>123</v>
      </c>
      <c r="G182" s="164" t="s">
        <v>123</v>
      </c>
      <c r="H182" s="163" t="s">
        <v>4046</v>
      </c>
      <c r="I182" s="163" t="s">
        <v>4025</v>
      </c>
      <c r="J182" s="163" t="s">
        <v>134</v>
      </c>
      <c r="K182" s="163" t="s">
        <v>2689</v>
      </c>
      <c r="L182" s="163" t="s">
        <v>126</v>
      </c>
      <c r="M182" s="184">
        <v>0.2</v>
      </c>
      <c r="N182" s="167" t="s">
        <v>4026</v>
      </c>
      <c r="O182" s="164" t="s">
        <v>4003</v>
      </c>
      <c r="P182" s="167" t="s">
        <v>2380</v>
      </c>
      <c r="Q182" s="164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</row>
    <row r="183" ht="39.75" customHeight="1">
      <c r="A183" s="185"/>
      <c r="B183" s="163" t="s">
        <v>4051</v>
      </c>
      <c r="C183" s="164" t="s">
        <v>1627</v>
      </c>
      <c r="D183" s="164" t="s">
        <v>122</v>
      </c>
      <c r="E183" s="165">
        <v>10.0</v>
      </c>
      <c r="F183" s="165" t="s">
        <v>123</v>
      </c>
      <c r="G183" s="164" t="s">
        <v>123</v>
      </c>
      <c r="H183" s="163" t="s">
        <v>4051</v>
      </c>
      <c r="I183" s="163" t="s">
        <v>4025</v>
      </c>
      <c r="J183" s="163" t="s">
        <v>134</v>
      </c>
      <c r="K183" s="163" t="s">
        <v>2689</v>
      </c>
      <c r="L183" s="163" t="s">
        <v>126</v>
      </c>
      <c r="M183" s="184">
        <v>0.2</v>
      </c>
      <c r="N183" s="167" t="s">
        <v>4026</v>
      </c>
      <c r="O183" s="164" t="s">
        <v>4003</v>
      </c>
      <c r="P183" s="167" t="s">
        <v>2380</v>
      </c>
      <c r="Q183" s="164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</row>
    <row r="184" ht="39.75" customHeight="1">
      <c r="A184" s="185"/>
      <c r="B184" s="163" t="s">
        <v>4055</v>
      </c>
      <c r="C184" s="164" t="s">
        <v>121</v>
      </c>
      <c r="D184" s="164" t="s">
        <v>122</v>
      </c>
      <c r="E184" s="165">
        <v>50.0</v>
      </c>
      <c r="F184" s="165">
        <v>100.0</v>
      </c>
      <c r="G184" s="164" t="s">
        <v>123</v>
      </c>
      <c r="H184" s="163" t="s">
        <v>4055</v>
      </c>
      <c r="I184" s="163" t="s">
        <v>4056</v>
      </c>
      <c r="J184" s="163" t="s">
        <v>134</v>
      </c>
      <c r="K184" s="163" t="s">
        <v>4057</v>
      </c>
      <c r="L184" s="163" t="s">
        <v>126</v>
      </c>
      <c r="M184" s="184" t="s">
        <v>145</v>
      </c>
      <c r="N184" s="167" t="s">
        <v>4058</v>
      </c>
      <c r="O184" s="164"/>
      <c r="P184" s="167"/>
      <c r="Q184" s="164" t="s">
        <v>310</v>
      </c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</row>
    <row r="185" ht="39.75" customHeight="1">
      <c r="A185" s="185"/>
      <c r="B185" s="163" t="s">
        <v>4059</v>
      </c>
      <c r="C185" s="164" t="s">
        <v>121</v>
      </c>
      <c r="D185" s="164" t="s">
        <v>122</v>
      </c>
      <c r="E185" s="165">
        <v>50.0</v>
      </c>
      <c r="F185" s="165">
        <v>150.0</v>
      </c>
      <c r="G185" s="164" t="s">
        <v>123</v>
      </c>
      <c r="H185" s="163" t="s">
        <v>4059</v>
      </c>
      <c r="I185" s="163" t="s">
        <v>4056</v>
      </c>
      <c r="J185" s="163" t="s">
        <v>134</v>
      </c>
      <c r="K185" s="163" t="s">
        <v>265</v>
      </c>
      <c r="L185" s="163" t="s">
        <v>126</v>
      </c>
      <c r="M185" s="184" t="s">
        <v>127</v>
      </c>
      <c r="N185" s="167" t="s">
        <v>3853</v>
      </c>
      <c r="O185" s="164"/>
      <c r="P185" s="167"/>
      <c r="Q185" s="164" t="s">
        <v>252</v>
      </c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</row>
    <row r="186" ht="39.75" customHeight="1">
      <c r="A186" s="185"/>
      <c r="B186" s="163" t="s">
        <v>4060</v>
      </c>
      <c r="C186" s="164" t="s">
        <v>121</v>
      </c>
      <c r="D186" s="164" t="s">
        <v>122</v>
      </c>
      <c r="E186" s="165" t="s">
        <v>123</v>
      </c>
      <c r="F186" s="165" t="s">
        <v>123</v>
      </c>
      <c r="G186" s="164" t="s">
        <v>123</v>
      </c>
      <c r="H186" s="163" t="s">
        <v>4060</v>
      </c>
      <c r="I186" s="163" t="s">
        <v>123</v>
      </c>
      <c r="J186" s="163" t="s">
        <v>134</v>
      </c>
      <c r="K186" s="163" t="s">
        <v>4062</v>
      </c>
      <c r="L186" s="163" t="s">
        <v>126</v>
      </c>
      <c r="M186" s="249">
        <v>1.0</v>
      </c>
      <c r="N186" s="167">
        <v>240.0</v>
      </c>
      <c r="O186" s="164"/>
      <c r="P186" s="167"/>
      <c r="Q186" s="164" t="s">
        <v>4063</v>
      </c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</row>
    <row r="187" ht="39.75" customHeight="1">
      <c r="A187" s="185"/>
      <c r="B187" s="163" t="s">
        <v>4064</v>
      </c>
      <c r="C187" s="164" t="s">
        <v>121</v>
      </c>
      <c r="D187" s="164" t="s">
        <v>122</v>
      </c>
      <c r="E187" s="165">
        <v>50.0</v>
      </c>
      <c r="F187" s="165">
        <v>100.0</v>
      </c>
      <c r="G187" s="164" t="s">
        <v>123</v>
      </c>
      <c r="H187" s="163" t="s">
        <v>4064</v>
      </c>
      <c r="I187" s="163" t="s">
        <v>4065</v>
      </c>
      <c r="J187" s="163" t="s">
        <v>134</v>
      </c>
      <c r="K187" s="163" t="s">
        <v>4066</v>
      </c>
      <c r="L187" s="163" t="s">
        <v>126</v>
      </c>
      <c r="M187" s="184">
        <v>2.0</v>
      </c>
      <c r="N187" s="167">
        <v>480.0</v>
      </c>
      <c r="O187" s="164"/>
      <c r="P187" s="167"/>
      <c r="Q187" s="164" t="s">
        <v>2908</v>
      </c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</row>
    <row r="188" ht="39.75" customHeight="1">
      <c r="A188" s="250"/>
      <c r="B188" s="250" t="s">
        <v>119</v>
      </c>
      <c r="C188" s="153"/>
      <c r="D188" s="153"/>
      <c r="E188" s="251"/>
      <c r="F188" s="251"/>
      <c r="G188" s="153"/>
      <c r="H188" s="252"/>
      <c r="I188" s="153"/>
      <c r="J188" s="153"/>
      <c r="K188" s="252"/>
      <c r="L188" s="153"/>
      <c r="M188" s="252"/>
      <c r="N188" s="153"/>
      <c r="O188" s="153"/>
      <c r="P188" s="153"/>
      <c r="Q188" s="152"/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</row>
    <row r="189" ht="39.75" customHeight="1">
      <c r="A189" s="153"/>
      <c r="B189" s="153"/>
      <c r="C189" s="153"/>
      <c r="D189" s="153"/>
      <c r="E189" s="251"/>
      <c r="F189" s="251"/>
      <c r="G189" s="153"/>
      <c r="H189" s="252"/>
      <c r="I189" s="153"/>
      <c r="J189" s="153"/>
      <c r="K189" s="252"/>
      <c r="L189" s="153"/>
      <c r="M189" s="252"/>
      <c r="N189" s="153"/>
      <c r="O189" s="153"/>
      <c r="P189" s="153"/>
      <c r="Q189" s="152"/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</row>
    <row r="190" ht="39.75" customHeight="1">
      <c r="A190" s="153"/>
      <c r="B190" s="153"/>
      <c r="C190" s="153"/>
      <c r="D190" s="153"/>
      <c r="E190" s="251"/>
      <c r="F190" s="251"/>
      <c r="G190" s="153"/>
      <c r="H190" s="252"/>
      <c r="I190" s="153"/>
      <c r="J190" s="153"/>
      <c r="K190" s="252"/>
      <c r="L190" s="153"/>
      <c r="M190" s="252"/>
      <c r="N190" s="153"/>
      <c r="O190" s="153"/>
      <c r="P190" s="153"/>
      <c r="Q190" s="152"/>
      <c r="R190" s="153"/>
      <c r="S190" s="153"/>
      <c r="T190" s="153"/>
      <c r="U190" s="153"/>
      <c r="V190" s="153"/>
      <c r="W190" s="153"/>
      <c r="X190" s="153"/>
      <c r="Y190" s="153"/>
      <c r="Z190" s="153"/>
      <c r="AA190" s="153"/>
    </row>
    <row r="191" ht="39.75" customHeight="1">
      <c r="A191" s="153"/>
      <c r="B191" s="153"/>
      <c r="C191" s="153"/>
      <c r="D191" s="153"/>
      <c r="E191" s="251"/>
      <c r="F191" s="251"/>
      <c r="G191" s="153"/>
      <c r="H191" s="252"/>
      <c r="I191" s="153"/>
      <c r="J191" s="153"/>
      <c r="K191" s="252"/>
      <c r="L191" s="153"/>
      <c r="M191" s="252"/>
      <c r="N191" s="153"/>
      <c r="O191" s="153"/>
      <c r="P191" s="153"/>
      <c r="Q191" s="152"/>
      <c r="R191" s="153"/>
      <c r="S191" s="153"/>
      <c r="T191" s="153"/>
      <c r="U191" s="153"/>
      <c r="V191" s="153"/>
      <c r="W191" s="153"/>
      <c r="X191" s="153"/>
      <c r="Y191" s="153"/>
      <c r="Z191" s="153"/>
      <c r="AA191" s="153"/>
    </row>
    <row r="192" ht="39.75" customHeight="1">
      <c r="A192" s="153"/>
      <c r="B192" s="153"/>
      <c r="C192" s="153"/>
      <c r="D192" s="153"/>
      <c r="E192" s="251"/>
      <c r="F192" s="251"/>
      <c r="G192" s="153"/>
      <c r="H192" s="252"/>
      <c r="I192" s="153"/>
      <c r="J192" s="153"/>
      <c r="K192" s="252"/>
      <c r="L192" s="153"/>
      <c r="M192" s="252"/>
      <c r="N192" s="153"/>
      <c r="O192" s="153"/>
      <c r="P192" s="153"/>
      <c r="Q192" s="152"/>
      <c r="R192" s="153"/>
      <c r="S192" s="153"/>
      <c r="T192" s="153"/>
      <c r="U192" s="153"/>
      <c r="V192" s="153"/>
      <c r="W192" s="153"/>
      <c r="X192" s="153"/>
      <c r="Y192" s="153"/>
      <c r="Z192" s="153"/>
      <c r="AA192" s="153"/>
    </row>
    <row r="193" ht="39.75" customHeight="1">
      <c r="A193" s="153"/>
      <c r="B193" s="153"/>
      <c r="C193" s="153"/>
      <c r="D193" s="153"/>
      <c r="E193" s="251"/>
      <c r="F193" s="251"/>
      <c r="G193" s="153"/>
      <c r="H193" s="252"/>
      <c r="I193" s="153"/>
      <c r="J193" s="153"/>
      <c r="K193" s="252"/>
      <c r="L193" s="153"/>
      <c r="M193" s="252"/>
      <c r="N193" s="153"/>
      <c r="O193" s="153"/>
      <c r="P193" s="153"/>
      <c r="Q193" s="152"/>
      <c r="R193" s="153"/>
      <c r="S193" s="153"/>
      <c r="T193" s="153"/>
      <c r="U193" s="153"/>
      <c r="V193" s="153"/>
      <c r="W193" s="153"/>
      <c r="X193" s="153"/>
      <c r="Y193" s="153"/>
      <c r="Z193" s="153"/>
      <c r="AA193" s="153"/>
    </row>
    <row r="194" ht="39.75" customHeight="1">
      <c r="A194" s="153"/>
      <c r="B194" s="153"/>
      <c r="C194" s="153"/>
      <c r="D194" s="153"/>
      <c r="E194" s="251"/>
      <c r="F194" s="251"/>
      <c r="G194" s="153"/>
      <c r="H194" s="252"/>
      <c r="I194" s="153"/>
      <c r="J194" s="153"/>
      <c r="K194" s="252"/>
      <c r="L194" s="153"/>
      <c r="M194" s="252"/>
      <c r="N194" s="153"/>
      <c r="O194" s="153"/>
      <c r="P194" s="153"/>
      <c r="Q194" s="152"/>
      <c r="R194" s="153"/>
      <c r="S194" s="153"/>
      <c r="T194" s="153"/>
      <c r="U194" s="153"/>
      <c r="V194" s="153"/>
      <c r="W194" s="153"/>
      <c r="X194" s="153"/>
      <c r="Y194" s="153"/>
      <c r="Z194" s="153"/>
      <c r="AA194" s="153"/>
    </row>
    <row r="195" ht="39.75" customHeight="1">
      <c r="A195" s="153"/>
      <c r="B195" s="153"/>
      <c r="C195" s="153"/>
      <c r="D195" s="153"/>
      <c r="E195" s="251"/>
      <c r="F195" s="251"/>
      <c r="G195" s="153"/>
      <c r="H195" s="252"/>
      <c r="I195" s="153"/>
      <c r="J195" s="153"/>
      <c r="K195" s="252"/>
      <c r="L195" s="153"/>
      <c r="M195" s="252"/>
      <c r="N195" s="153"/>
      <c r="O195" s="153"/>
      <c r="P195" s="153"/>
      <c r="Q195" s="152"/>
      <c r="R195" s="153"/>
      <c r="S195" s="153"/>
      <c r="T195" s="153"/>
      <c r="U195" s="153"/>
      <c r="V195" s="153"/>
      <c r="W195" s="153"/>
      <c r="X195" s="153"/>
      <c r="Y195" s="153"/>
      <c r="Z195" s="153"/>
      <c r="AA195" s="153"/>
    </row>
    <row r="196" ht="39.75" customHeight="1">
      <c r="A196" s="153"/>
      <c r="B196" s="153"/>
      <c r="C196" s="153"/>
      <c r="D196" s="153"/>
      <c r="E196" s="251"/>
      <c r="F196" s="251"/>
      <c r="G196" s="153"/>
      <c r="H196" s="252"/>
      <c r="I196" s="153"/>
      <c r="J196" s="153"/>
      <c r="K196" s="252"/>
      <c r="L196" s="153"/>
      <c r="M196" s="252"/>
      <c r="N196" s="153"/>
      <c r="O196" s="153"/>
      <c r="P196" s="153"/>
      <c r="Q196" s="152"/>
      <c r="R196" s="153"/>
      <c r="S196" s="153"/>
      <c r="T196" s="153"/>
      <c r="U196" s="153"/>
      <c r="V196" s="153"/>
      <c r="W196" s="153"/>
      <c r="X196" s="153"/>
      <c r="Y196" s="153"/>
      <c r="Z196" s="153"/>
      <c r="AA196" s="153"/>
    </row>
    <row r="197" ht="39.75" customHeight="1">
      <c r="A197" s="153"/>
      <c r="B197" s="153"/>
      <c r="C197" s="153"/>
      <c r="D197" s="153"/>
      <c r="E197" s="251"/>
      <c r="F197" s="251"/>
      <c r="G197" s="153"/>
      <c r="H197" s="252"/>
      <c r="I197" s="153"/>
      <c r="J197" s="153"/>
      <c r="K197" s="252"/>
      <c r="L197" s="153"/>
      <c r="M197" s="252"/>
      <c r="N197" s="153"/>
      <c r="O197" s="153"/>
      <c r="P197" s="153"/>
      <c r="Q197" s="152"/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</row>
    <row r="198" ht="39.75" customHeight="1">
      <c r="A198" s="153"/>
      <c r="B198" s="153"/>
      <c r="C198" s="153"/>
      <c r="D198" s="153"/>
      <c r="E198" s="251"/>
      <c r="F198" s="251"/>
      <c r="G198" s="153"/>
      <c r="H198" s="252"/>
      <c r="I198" s="153"/>
      <c r="J198" s="153"/>
      <c r="K198" s="252"/>
      <c r="L198" s="153"/>
      <c r="M198" s="252"/>
      <c r="N198" s="153"/>
      <c r="O198" s="153"/>
      <c r="P198" s="153"/>
      <c r="Q198" s="152"/>
      <c r="R198" s="153"/>
      <c r="S198" s="153"/>
      <c r="T198" s="153"/>
      <c r="U198" s="153"/>
      <c r="V198" s="153"/>
      <c r="W198" s="153"/>
      <c r="X198" s="153"/>
      <c r="Y198" s="153"/>
      <c r="Z198" s="153"/>
      <c r="AA198" s="153"/>
    </row>
    <row r="199" ht="39.75" customHeight="1">
      <c r="A199" s="153"/>
      <c r="B199" s="153"/>
      <c r="C199" s="153"/>
      <c r="D199" s="153"/>
      <c r="E199" s="251"/>
      <c r="F199" s="251"/>
      <c r="G199" s="153"/>
      <c r="H199" s="252"/>
      <c r="I199" s="153"/>
      <c r="J199" s="153"/>
      <c r="K199" s="252"/>
      <c r="L199" s="153"/>
      <c r="M199" s="252"/>
      <c r="N199" s="153"/>
      <c r="O199" s="153"/>
      <c r="P199" s="153"/>
      <c r="Q199" s="152"/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</row>
    <row r="200" ht="39.75" customHeight="1">
      <c r="A200" s="153"/>
      <c r="B200" s="153"/>
      <c r="C200" s="153"/>
      <c r="D200" s="153"/>
      <c r="E200" s="251"/>
      <c r="F200" s="251"/>
      <c r="G200" s="153"/>
      <c r="H200" s="252"/>
      <c r="I200" s="153"/>
      <c r="J200" s="153"/>
      <c r="K200" s="252"/>
      <c r="L200" s="153"/>
      <c r="M200" s="252"/>
      <c r="N200" s="153"/>
      <c r="O200" s="153"/>
      <c r="P200" s="153"/>
      <c r="Q200" s="152"/>
      <c r="R200" s="153"/>
      <c r="S200" s="153"/>
      <c r="T200" s="153"/>
      <c r="U200" s="153"/>
      <c r="V200" s="153"/>
      <c r="W200" s="153"/>
      <c r="X200" s="153"/>
      <c r="Y200" s="153"/>
      <c r="Z200" s="153"/>
      <c r="AA200" s="153"/>
    </row>
    <row r="201" ht="39.75" customHeight="1">
      <c r="A201" s="153"/>
      <c r="B201" s="153"/>
      <c r="C201" s="153"/>
      <c r="D201" s="153"/>
      <c r="E201" s="251"/>
      <c r="F201" s="251"/>
      <c r="G201" s="153"/>
      <c r="H201" s="252"/>
      <c r="I201" s="153"/>
      <c r="J201" s="153"/>
      <c r="K201" s="252"/>
      <c r="L201" s="153"/>
      <c r="M201" s="252"/>
      <c r="N201" s="153"/>
      <c r="O201" s="153"/>
      <c r="P201" s="153"/>
      <c r="Q201" s="152"/>
      <c r="R201" s="153"/>
      <c r="S201" s="153"/>
      <c r="T201" s="153"/>
      <c r="U201" s="153"/>
      <c r="V201" s="153"/>
      <c r="W201" s="153"/>
      <c r="X201" s="153"/>
      <c r="Y201" s="153"/>
      <c r="Z201" s="153"/>
      <c r="AA201" s="153"/>
    </row>
    <row r="202" ht="39.75" customHeight="1">
      <c r="A202" s="153"/>
      <c r="B202" s="153"/>
      <c r="C202" s="153"/>
      <c r="D202" s="153"/>
      <c r="E202" s="251"/>
      <c r="F202" s="251"/>
      <c r="G202" s="153"/>
      <c r="H202" s="252"/>
      <c r="I202" s="153"/>
      <c r="J202" s="153"/>
      <c r="K202" s="252"/>
      <c r="L202" s="153"/>
      <c r="M202" s="252"/>
      <c r="N202" s="153"/>
      <c r="O202" s="153"/>
      <c r="P202" s="153"/>
      <c r="Q202" s="152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</row>
    <row r="203" ht="39.75" customHeight="1">
      <c r="A203" s="153"/>
      <c r="B203" s="153"/>
      <c r="C203" s="153"/>
      <c r="D203" s="153"/>
      <c r="E203" s="251"/>
      <c r="F203" s="251"/>
      <c r="G203" s="153"/>
      <c r="H203" s="252"/>
      <c r="I203" s="153"/>
      <c r="J203" s="153"/>
      <c r="K203" s="252"/>
      <c r="L203" s="153"/>
      <c r="M203" s="252"/>
      <c r="N203" s="153"/>
      <c r="O203" s="153"/>
      <c r="P203" s="153"/>
      <c r="Q203" s="152"/>
      <c r="R203" s="153"/>
      <c r="S203" s="153"/>
      <c r="T203" s="153"/>
      <c r="U203" s="153"/>
      <c r="V203" s="153"/>
      <c r="W203" s="153"/>
      <c r="X203" s="153"/>
      <c r="Y203" s="153"/>
      <c r="Z203" s="153"/>
      <c r="AA203" s="153"/>
    </row>
    <row r="204" ht="39.75" customHeight="1">
      <c r="A204" s="153"/>
      <c r="B204" s="153"/>
      <c r="C204" s="153"/>
      <c r="D204" s="153"/>
      <c r="E204" s="251"/>
      <c r="F204" s="251"/>
      <c r="G204" s="153"/>
      <c r="H204" s="252"/>
      <c r="I204" s="153"/>
      <c r="J204" s="153"/>
      <c r="K204" s="252"/>
      <c r="L204" s="153"/>
      <c r="M204" s="252"/>
      <c r="N204" s="153"/>
      <c r="O204" s="153"/>
      <c r="P204" s="153"/>
      <c r="Q204" s="152"/>
      <c r="R204" s="153"/>
      <c r="S204" s="153"/>
      <c r="T204" s="153"/>
      <c r="U204" s="153"/>
      <c r="V204" s="153"/>
      <c r="W204" s="153"/>
      <c r="X204" s="153"/>
      <c r="Y204" s="153"/>
      <c r="Z204" s="153"/>
      <c r="AA204" s="153"/>
    </row>
    <row r="205" ht="39.75" customHeight="1">
      <c r="A205" s="153"/>
      <c r="B205" s="153"/>
      <c r="C205" s="153"/>
      <c r="D205" s="153"/>
      <c r="E205" s="251"/>
      <c r="F205" s="251"/>
      <c r="G205" s="153"/>
      <c r="H205" s="252"/>
      <c r="I205" s="153"/>
      <c r="J205" s="153"/>
      <c r="K205" s="252"/>
      <c r="L205" s="153"/>
      <c r="M205" s="252"/>
      <c r="N205" s="153"/>
      <c r="O205" s="153"/>
      <c r="P205" s="153"/>
      <c r="Q205" s="152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</row>
    <row r="206" ht="39.75" customHeight="1">
      <c r="A206" s="153"/>
      <c r="B206" s="153"/>
      <c r="C206" s="153"/>
      <c r="D206" s="153"/>
      <c r="E206" s="251"/>
      <c r="F206" s="251"/>
      <c r="G206" s="153"/>
      <c r="H206" s="252"/>
      <c r="I206" s="153"/>
      <c r="J206" s="153"/>
      <c r="K206" s="252"/>
      <c r="L206" s="153"/>
      <c r="M206" s="252"/>
      <c r="N206" s="153"/>
      <c r="O206" s="153"/>
      <c r="P206" s="153"/>
      <c r="Q206" s="152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</row>
    <row r="207" ht="39.75" customHeight="1">
      <c r="A207" s="153"/>
      <c r="B207" s="153"/>
      <c r="C207" s="153"/>
      <c r="D207" s="153"/>
      <c r="E207" s="251"/>
      <c r="F207" s="251"/>
      <c r="G207" s="153"/>
      <c r="H207" s="252"/>
      <c r="I207" s="153"/>
      <c r="J207" s="153"/>
      <c r="K207" s="252"/>
      <c r="L207" s="153"/>
      <c r="M207" s="252"/>
      <c r="N207" s="153"/>
      <c r="O207" s="153"/>
      <c r="P207" s="153"/>
      <c r="Q207" s="152"/>
      <c r="R207" s="153"/>
      <c r="S207" s="153"/>
      <c r="T207" s="153"/>
      <c r="U207" s="153"/>
      <c r="V207" s="153"/>
      <c r="W207" s="153"/>
      <c r="X207" s="153"/>
      <c r="Y207" s="153"/>
      <c r="Z207" s="153"/>
      <c r="AA207" s="153"/>
    </row>
    <row r="208" ht="39.75" customHeight="1">
      <c r="A208" s="153"/>
      <c r="B208" s="153"/>
      <c r="C208" s="153"/>
      <c r="D208" s="153"/>
      <c r="E208" s="251"/>
      <c r="F208" s="251"/>
      <c r="G208" s="153"/>
      <c r="H208" s="252"/>
      <c r="I208" s="153"/>
      <c r="J208" s="153"/>
      <c r="K208" s="252"/>
      <c r="L208" s="153"/>
      <c r="M208" s="252"/>
      <c r="N208" s="153"/>
      <c r="O208" s="153"/>
      <c r="P208" s="153"/>
      <c r="Q208" s="152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</row>
    <row r="209" ht="39.75" customHeight="1">
      <c r="A209" s="153"/>
      <c r="B209" s="153"/>
      <c r="C209" s="153"/>
      <c r="D209" s="153"/>
      <c r="E209" s="251"/>
      <c r="F209" s="251"/>
      <c r="G209" s="153"/>
      <c r="H209" s="252"/>
      <c r="I209" s="153"/>
      <c r="J209" s="153"/>
      <c r="K209" s="252"/>
      <c r="L209" s="153"/>
      <c r="M209" s="252"/>
      <c r="N209" s="153"/>
      <c r="O209" s="153"/>
      <c r="P209" s="153"/>
      <c r="Q209" s="152"/>
      <c r="R209" s="153"/>
      <c r="S209" s="153"/>
      <c r="T209" s="153"/>
      <c r="U209" s="153"/>
      <c r="V209" s="153"/>
      <c r="W209" s="153"/>
      <c r="X209" s="153"/>
      <c r="Y209" s="153"/>
      <c r="Z209" s="153"/>
      <c r="AA209" s="153"/>
    </row>
    <row r="210" ht="39.75" customHeight="1">
      <c r="A210" s="153"/>
      <c r="B210" s="153"/>
      <c r="C210" s="153"/>
      <c r="D210" s="153"/>
      <c r="E210" s="251"/>
      <c r="F210" s="251"/>
      <c r="G210" s="153"/>
      <c r="H210" s="252"/>
      <c r="I210" s="153"/>
      <c r="J210" s="153"/>
      <c r="K210" s="252"/>
      <c r="L210" s="153"/>
      <c r="M210" s="252"/>
      <c r="N210" s="153"/>
      <c r="O210" s="153"/>
      <c r="P210" s="153"/>
      <c r="Q210" s="152"/>
      <c r="R210" s="153"/>
      <c r="S210" s="153"/>
      <c r="T210" s="153"/>
      <c r="U210" s="153"/>
      <c r="V210" s="153"/>
      <c r="W210" s="153"/>
      <c r="X210" s="153"/>
      <c r="Y210" s="153"/>
      <c r="Z210" s="153"/>
      <c r="AA210" s="153"/>
    </row>
    <row r="211" ht="39.75" customHeight="1">
      <c r="A211" s="153"/>
      <c r="B211" s="153"/>
      <c r="C211" s="153"/>
      <c r="D211" s="153"/>
      <c r="E211" s="251"/>
      <c r="F211" s="251"/>
      <c r="G211" s="153"/>
      <c r="H211" s="252"/>
      <c r="I211" s="153"/>
      <c r="J211" s="153"/>
      <c r="K211" s="252"/>
      <c r="L211" s="153"/>
      <c r="M211" s="252"/>
      <c r="N211" s="153"/>
      <c r="O211" s="153"/>
      <c r="P211" s="153"/>
      <c r="Q211" s="152"/>
      <c r="R211" s="153"/>
      <c r="S211" s="153"/>
      <c r="T211" s="153"/>
      <c r="U211" s="153"/>
      <c r="V211" s="153"/>
      <c r="W211" s="153"/>
      <c r="X211" s="153"/>
      <c r="Y211" s="153"/>
      <c r="Z211" s="153"/>
      <c r="AA211" s="153"/>
    </row>
    <row r="212" ht="39.75" customHeight="1">
      <c r="A212" s="153"/>
      <c r="B212" s="153"/>
      <c r="C212" s="153"/>
      <c r="D212" s="153"/>
      <c r="E212" s="251"/>
      <c r="F212" s="251"/>
      <c r="G212" s="153"/>
      <c r="H212" s="252"/>
      <c r="I212" s="153"/>
      <c r="J212" s="153"/>
      <c r="K212" s="252"/>
      <c r="L212" s="153"/>
      <c r="M212" s="252"/>
      <c r="N212" s="153"/>
      <c r="O212" s="153"/>
      <c r="P212" s="153"/>
      <c r="Q212" s="152"/>
      <c r="R212" s="153"/>
      <c r="S212" s="153"/>
      <c r="T212" s="153"/>
      <c r="U212" s="153"/>
      <c r="V212" s="153"/>
      <c r="W212" s="153"/>
      <c r="X212" s="153"/>
      <c r="Y212" s="153"/>
      <c r="Z212" s="153"/>
      <c r="AA212" s="153"/>
    </row>
    <row r="213" ht="39.75" customHeight="1">
      <c r="A213" s="153"/>
      <c r="B213" s="153"/>
      <c r="C213" s="153"/>
      <c r="D213" s="153"/>
      <c r="E213" s="251"/>
      <c r="F213" s="251"/>
      <c r="G213" s="153"/>
      <c r="H213" s="252"/>
      <c r="I213" s="153"/>
      <c r="J213" s="153"/>
      <c r="K213" s="252"/>
      <c r="L213" s="153"/>
      <c r="M213" s="252"/>
      <c r="N213" s="153"/>
      <c r="O213" s="153"/>
      <c r="P213" s="153"/>
      <c r="Q213" s="152"/>
      <c r="R213" s="153"/>
      <c r="S213" s="153"/>
      <c r="T213" s="153"/>
      <c r="U213" s="153"/>
      <c r="V213" s="153"/>
      <c r="W213" s="153"/>
      <c r="X213" s="153"/>
      <c r="Y213" s="153"/>
      <c r="Z213" s="153"/>
      <c r="AA213" s="153"/>
    </row>
    <row r="214" ht="39.75" customHeight="1">
      <c r="A214" s="153"/>
      <c r="B214" s="153"/>
      <c r="C214" s="153"/>
      <c r="D214" s="153"/>
      <c r="E214" s="251"/>
      <c r="F214" s="251"/>
      <c r="G214" s="153"/>
      <c r="H214" s="252"/>
      <c r="I214" s="153"/>
      <c r="J214" s="153"/>
      <c r="K214" s="252"/>
      <c r="L214" s="153"/>
      <c r="M214" s="252"/>
      <c r="N214" s="153"/>
      <c r="O214" s="153"/>
      <c r="P214" s="153"/>
      <c r="Q214" s="152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</row>
    <row r="215" ht="39.75" customHeight="1">
      <c r="A215" s="153"/>
      <c r="B215" s="153"/>
      <c r="C215" s="153"/>
      <c r="D215" s="153"/>
      <c r="E215" s="251"/>
      <c r="F215" s="251"/>
      <c r="G215" s="153"/>
      <c r="H215" s="252"/>
      <c r="I215" s="153"/>
      <c r="J215" s="153"/>
      <c r="K215" s="252"/>
      <c r="L215" s="153"/>
      <c r="M215" s="252"/>
      <c r="N215" s="153"/>
      <c r="O215" s="153"/>
      <c r="P215" s="153"/>
      <c r="Q215" s="152"/>
      <c r="R215" s="153"/>
      <c r="S215" s="153"/>
      <c r="T215" s="153"/>
      <c r="U215" s="153"/>
      <c r="V215" s="153"/>
      <c r="W215" s="153"/>
      <c r="X215" s="153"/>
      <c r="Y215" s="153"/>
      <c r="Z215" s="153"/>
      <c r="AA215" s="153"/>
    </row>
    <row r="216" ht="39.75" customHeight="1">
      <c r="A216" s="153"/>
      <c r="B216" s="153"/>
      <c r="C216" s="153"/>
      <c r="D216" s="153"/>
      <c r="E216" s="251"/>
      <c r="F216" s="251"/>
      <c r="G216" s="153"/>
      <c r="H216" s="252"/>
      <c r="I216" s="153"/>
      <c r="J216" s="153"/>
      <c r="K216" s="252"/>
      <c r="L216" s="153"/>
      <c r="M216" s="252"/>
      <c r="N216" s="153"/>
      <c r="O216" s="153"/>
      <c r="P216" s="153"/>
      <c r="Q216" s="152"/>
      <c r="R216" s="153"/>
      <c r="S216" s="153"/>
      <c r="T216" s="153"/>
      <c r="U216" s="153"/>
      <c r="V216" s="153"/>
      <c r="W216" s="153"/>
      <c r="X216" s="153"/>
      <c r="Y216" s="153"/>
      <c r="Z216" s="153"/>
      <c r="AA216" s="153"/>
    </row>
    <row r="217" ht="39.75" customHeight="1">
      <c r="A217" s="153"/>
      <c r="B217" s="153"/>
      <c r="C217" s="153"/>
      <c r="D217" s="153"/>
      <c r="E217" s="251"/>
      <c r="F217" s="251"/>
      <c r="G217" s="153"/>
      <c r="H217" s="252"/>
      <c r="I217" s="153"/>
      <c r="J217" s="153"/>
      <c r="K217" s="252"/>
      <c r="L217" s="153"/>
      <c r="M217" s="252"/>
      <c r="N217" s="153"/>
      <c r="O217" s="153"/>
      <c r="P217" s="153"/>
      <c r="Q217" s="152"/>
      <c r="R217" s="153"/>
      <c r="S217" s="153"/>
      <c r="T217" s="153"/>
      <c r="U217" s="153"/>
      <c r="V217" s="153"/>
      <c r="W217" s="153"/>
      <c r="X217" s="153"/>
      <c r="Y217" s="153"/>
      <c r="Z217" s="153"/>
      <c r="AA217" s="153"/>
    </row>
    <row r="218" ht="39.75" customHeight="1">
      <c r="A218" s="153"/>
      <c r="B218" s="153"/>
      <c r="C218" s="153"/>
      <c r="D218" s="153"/>
      <c r="E218" s="251"/>
      <c r="F218" s="251"/>
      <c r="G218" s="153"/>
      <c r="H218" s="252"/>
      <c r="I218" s="153"/>
      <c r="J218" s="153"/>
      <c r="K218" s="252"/>
      <c r="L218" s="153"/>
      <c r="M218" s="252"/>
      <c r="N218" s="153"/>
      <c r="O218" s="153"/>
      <c r="P218" s="153"/>
      <c r="Q218" s="152"/>
      <c r="R218" s="153"/>
      <c r="S218" s="153"/>
      <c r="T218" s="153"/>
      <c r="U218" s="153"/>
      <c r="V218" s="153"/>
      <c r="W218" s="153"/>
      <c r="X218" s="153"/>
      <c r="Y218" s="153"/>
      <c r="Z218" s="153"/>
      <c r="AA218" s="153"/>
    </row>
    <row r="219" ht="39.75" customHeight="1">
      <c r="A219" s="153"/>
      <c r="B219" s="153"/>
      <c r="C219" s="153"/>
      <c r="D219" s="153"/>
      <c r="E219" s="251"/>
      <c r="F219" s="251"/>
      <c r="G219" s="153"/>
      <c r="H219" s="252"/>
      <c r="I219" s="153"/>
      <c r="J219" s="153"/>
      <c r="K219" s="252"/>
      <c r="L219" s="153"/>
      <c r="M219" s="252"/>
      <c r="N219" s="153"/>
      <c r="O219" s="153"/>
      <c r="P219" s="153"/>
      <c r="Q219" s="152"/>
      <c r="R219" s="153"/>
      <c r="S219" s="153"/>
      <c r="T219" s="153"/>
      <c r="U219" s="153"/>
      <c r="V219" s="153"/>
      <c r="W219" s="153"/>
      <c r="X219" s="153"/>
      <c r="Y219" s="153"/>
      <c r="Z219" s="153"/>
      <c r="AA219" s="153"/>
    </row>
    <row r="220" ht="39.75" customHeight="1">
      <c r="A220" s="153"/>
      <c r="B220" s="153"/>
      <c r="C220" s="153"/>
      <c r="D220" s="153"/>
      <c r="E220" s="251"/>
      <c r="F220" s="251"/>
      <c r="G220" s="153"/>
      <c r="H220" s="252"/>
      <c r="I220" s="153"/>
      <c r="J220" s="153"/>
      <c r="K220" s="252"/>
      <c r="L220" s="153"/>
      <c r="M220" s="252"/>
      <c r="N220" s="153"/>
      <c r="O220" s="153"/>
      <c r="P220" s="153"/>
      <c r="Q220" s="152"/>
      <c r="R220" s="153"/>
      <c r="S220" s="153"/>
      <c r="T220" s="153"/>
      <c r="U220" s="153"/>
      <c r="V220" s="153"/>
      <c r="W220" s="153"/>
      <c r="X220" s="153"/>
      <c r="Y220" s="153"/>
      <c r="Z220" s="153"/>
      <c r="AA220" s="153"/>
    </row>
    <row r="221" ht="39.75" customHeight="1">
      <c r="A221" s="153"/>
      <c r="B221" s="153"/>
      <c r="C221" s="153"/>
      <c r="D221" s="153"/>
      <c r="E221" s="251"/>
      <c r="F221" s="251"/>
      <c r="G221" s="153"/>
      <c r="H221" s="252"/>
      <c r="I221" s="153"/>
      <c r="J221" s="153"/>
      <c r="K221" s="252"/>
      <c r="L221" s="153"/>
      <c r="M221" s="252"/>
      <c r="N221" s="153"/>
      <c r="O221" s="153"/>
      <c r="P221" s="153"/>
      <c r="Q221" s="152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</row>
    <row r="222" ht="39.75" customHeight="1">
      <c r="A222" s="153"/>
      <c r="B222" s="153"/>
      <c r="C222" s="153"/>
      <c r="D222" s="153"/>
      <c r="E222" s="251"/>
      <c r="F222" s="251"/>
      <c r="G222" s="153"/>
      <c r="H222" s="252"/>
      <c r="I222" s="153"/>
      <c r="J222" s="153"/>
      <c r="K222" s="252"/>
      <c r="L222" s="153"/>
      <c r="M222" s="252"/>
      <c r="N222" s="153"/>
      <c r="O222" s="153"/>
      <c r="P222" s="153"/>
      <c r="Q222" s="152"/>
      <c r="R222" s="153"/>
      <c r="S222" s="153"/>
      <c r="T222" s="153"/>
      <c r="U222" s="153"/>
      <c r="V222" s="153"/>
      <c r="W222" s="153"/>
      <c r="X222" s="153"/>
      <c r="Y222" s="153"/>
      <c r="Z222" s="153"/>
      <c r="AA222" s="153"/>
    </row>
    <row r="223" ht="39.75" customHeight="1">
      <c r="A223" s="153"/>
      <c r="B223" s="153"/>
      <c r="C223" s="153"/>
      <c r="D223" s="153"/>
      <c r="E223" s="251"/>
      <c r="F223" s="251"/>
      <c r="G223" s="153"/>
      <c r="H223" s="252"/>
      <c r="I223" s="153"/>
      <c r="J223" s="153"/>
      <c r="K223" s="252"/>
      <c r="L223" s="153"/>
      <c r="M223" s="252"/>
      <c r="N223" s="153"/>
      <c r="O223" s="153"/>
      <c r="P223" s="153"/>
      <c r="Q223" s="152"/>
      <c r="R223" s="153"/>
      <c r="S223" s="153"/>
      <c r="T223" s="153"/>
      <c r="U223" s="153"/>
      <c r="V223" s="153"/>
      <c r="W223" s="153"/>
      <c r="X223" s="153"/>
      <c r="Y223" s="153"/>
      <c r="Z223" s="153"/>
      <c r="AA223" s="153"/>
    </row>
    <row r="224" ht="39.75" customHeight="1">
      <c r="A224" s="153"/>
      <c r="B224" s="153"/>
      <c r="C224" s="153"/>
      <c r="D224" s="153"/>
      <c r="E224" s="251"/>
      <c r="F224" s="251"/>
      <c r="G224" s="153"/>
      <c r="H224" s="252"/>
      <c r="I224" s="153"/>
      <c r="J224" s="153"/>
      <c r="K224" s="252"/>
      <c r="L224" s="153"/>
      <c r="M224" s="252"/>
      <c r="N224" s="153"/>
      <c r="O224" s="153"/>
      <c r="P224" s="153"/>
      <c r="Q224" s="152"/>
      <c r="R224" s="153"/>
      <c r="S224" s="153"/>
      <c r="T224" s="153"/>
      <c r="U224" s="153"/>
      <c r="V224" s="153"/>
      <c r="W224" s="153"/>
      <c r="X224" s="153"/>
      <c r="Y224" s="153"/>
      <c r="Z224" s="153"/>
      <c r="AA224" s="153"/>
    </row>
    <row r="225" ht="39.75" customHeight="1">
      <c r="A225" s="153"/>
      <c r="B225" s="153"/>
      <c r="C225" s="153"/>
      <c r="D225" s="153"/>
      <c r="E225" s="251"/>
      <c r="F225" s="251"/>
      <c r="G225" s="153"/>
      <c r="H225" s="252"/>
      <c r="I225" s="153"/>
      <c r="J225" s="153"/>
      <c r="K225" s="252"/>
      <c r="L225" s="153"/>
      <c r="M225" s="252"/>
      <c r="N225" s="153"/>
      <c r="O225" s="153"/>
      <c r="P225" s="153"/>
      <c r="Q225" s="152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</row>
    <row r="226" ht="39.75" customHeight="1">
      <c r="A226" s="153"/>
      <c r="B226" s="153"/>
      <c r="C226" s="153"/>
      <c r="D226" s="153"/>
      <c r="E226" s="251"/>
      <c r="F226" s="251"/>
      <c r="G226" s="153"/>
      <c r="H226" s="252"/>
      <c r="I226" s="153"/>
      <c r="J226" s="153"/>
      <c r="K226" s="252"/>
      <c r="L226" s="153"/>
      <c r="M226" s="252"/>
      <c r="N226" s="153"/>
      <c r="O226" s="153"/>
      <c r="P226" s="153"/>
      <c r="Q226" s="152"/>
      <c r="R226" s="153"/>
      <c r="S226" s="153"/>
      <c r="T226" s="153"/>
      <c r="U226" s="153"/>
      <c r="V226" s="153"/>
      <c r="W226" s="153"/>
      <c r="X226" s="153"/>
      <c r="Y226" s="153"/>
      <c r="Z226" s="153"/>
      <c r="AA226" s="153"/>
    </row>
    <row r="227" ht="39.75" customHeight="1">
      <c r="A227" s="153"/>
      <c r="B227" s="153"/>
      <c r="C227" s="153"/>
      <c r="D227" s="153"/>
      <c r="E227" s="251"/>
      <c r="F227" s="251"/>
      <c r="G227" s="153"/>
      <c r="H227" s="252"/>
      <c r="I227" s="153"/>
      <c r="J227" s="153"/>
      <c r="K227" s="252"/>
      <c r="L227" s="153"/>
      <c r="M227" s="252"/>
      <c r="N227" s="153"/>
      <c r="O227" s="153"/>
      <c r="P227" s="153"/>
      <c r="Q227" s="152"/>
      <c r="R227" s="153"/>
      <c r="S227" s="153"/>
      <c r="T227" s="153"/>
      <c r="U227" s="153"/>
      <c r="V227" s="153"/>
      <c r="W227" s="153"/>
      <c r="X227" s="153"/>
      <c r="Y227" s="153"/>
      <c r="Z227" s="153"/>
      <c r="AA227" s="153"/>
    </row>
    <row r="228" ht="39.75" customHeight="1">
      <c r="A228" s="153"/>
      <c r="B228" s="153"/>
      <c r="C228" s="153"/>
      <c r="D228" s="153"/>
      <c r="E228" s="251"/>
      <c r="F228" s="251"/>
      <c r="G228" s="153"/>
      <c r="H228" s="252"/>
      <c r="I228" s="153"/>
      <c r="J228" s="153"/>
      <c r="K228" s="252"/>
      <c r="L228" s="153"/>
      <c r="M228" s="252"/>
      <c r="N228" s="153"/>
      <c r="O228" s="153"/>
      <c r="P228" s="153"/>
      <c r="Q228" s="152"/>
      <c r="R228" s="153"/>
      <c r="S228" s="153"/>
      <c r="T228" s="153"/>
      <c r="U228" s="153"/>
      <c r="V228" s="153"/>
      <c r="W228" s="153"/>
      <c r="X228" s="153"/>
      <c r="Y228" s="153"/>
      <c r="Z228" s="153"/>
      <c r="AA228" s="153"/>
    </row>
    <row r="229" ht="39.75" customHeight="1">
      <c r="A229" s="153"/>
      <c r="B229" s="153"/>
      <c r="C229" s="153"/>
      <c r="D229" s="153"/>
      <c r="E229" s="251"/>
      <c r="F229" s="251"/>
      <c r="G229" s="153"/>
      <c r="H229" s="252"/>
      <c r="I229" s="153"/>
      <c r="J229" s="153"/>
      <c r="K229" s="252"/>
      <c r="L229" s="153"/>
      <c r="M229" s="252"/>
      <c r="N229" s="153"/>
      <c r="O229" s="153"/>
      <c r="P229" s="153"/>
      <c r="Q229" s="152"/>
      <c r="R229" s="153"/>
      <c r="S229" s="153"/>
      <c r="T229" s="153"/>
      <c r="U229" s="153"/>
      <c r="V229" s="153"/>
      <c r="W229" s="153"/>
      <c r="X229" s="153"/>
      <c r="Y229" s="153"/>
      <c r="Z229" s="153"/>
      <c r="AA229" s="153"/>
    </row>
    <row r="230" ht="39.75" customHeight="1">
      <c r="A230" s="153"/>
      <c r="B230" s="153"/>
      <c r="C230" s="153"/>
      <c r="D230" s="153"/>
      <c r="E230" s="251"/>
      <c r="F230" s="251"/>
      <c r="G230" s="153"/>
      <c r="H230" s="252"/>
      <c r="I230" s="153"/>
      <c r="J230" s="153"/>
      <c r="K230" s="252"/>
      <c r="L230" s="153"/>
      <c r="M230" s="252"/>
      <c r="N230" s="153"/>
      <c r="O230" s="153"/>
      <c r="P230" s="153"/>
      <c r="Q230" s="152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</row>
    <row r="231" ht="39.75" customHeight="1">
      <c r="A231" s="153"/>
      <c r="B231" s="153"/>
      <c r="C231" s="153"/>
      <c r="D231" s="153"/>
      <c r="E231" s="251"/>
      <c r="F231" s="251"/>
      <c r="G231" s="153"/>
      <c r="H231" s="252"/>
      <c r="I231" s="153"/>
      <c r="J231" s="153"/>
      <c r="K231" s="252"/>
      <c r="L231" s="153"/>
      <c r="M231" s="252"/>
      <c r="N231" s="153"/>
      <c r="O231" s="153"/>
      <c r="P231" s="153"/>
      <c r="Q231" s="152"/>
      <c r="R231" s="153"/>
      <c r="S231" s="153"/>
      <c r="T231" s="153"/>
      <c r="U231" s="153"/>
      <c r="V231" s="153"/>
      <c r="W231" s="153"/>
      <c r="X231" s="153"/>
      <c r="Y231" s="153"/>
      <c r="Z231" s="153"/>
      <c r="AA231" s="153"/>
    </row>
    <row r="232" ht="39.75" customHeight="1">
      <c r="A232" s="153"/>
      <c r="B232" s="153"/>
      <c r="C232" s="153"/>
      <c r="D232" s="153"/>
      <c r="E232" s="251"/>
      <c r="F232" s="251"/>
      <c r="G232" s="153"/>
      <c r="H232" s="252"/>
      <c r="I232" s="153"/>
      <c r="J232" s="153"/>
      <c r="K232" s="252"/>
      <c r="L232" s="153"/>
      <c r="M232" s="252"/>
      <c r="N232" s="153"/>
      <c r="O232" s="153"/>
      <c r="P232" s="153"/>
      <c r="Q232" s="152"/>
      <c r="R232" s="153"/>
      <c r="S232" s="153"/>
      <c r="T232" s="153"/>
      <c r="U232" s="153"/>
      <c r="V232" s="153"/>
      <c r="W232" s="153"/>
      <c r="X232" s="153"/>
      <c r="Y232" s="153"/>
      <c r="Z232" s="153"/>
      <c r="AA232" s="153"/>
    </row>
    <row r="233" ht="39.75" customHeight="1">
      <c r="A233" s="153"/>
      <c r="B233" s="153"/>
      <c r="C233" s="153"/>
      <c r="D233" s="153"/>
      <c r="E233" s="251"/>
      <c r="F233" s="251"/>
      <c r="G233" s="153"/>
      <c r="H233" s="252"/>
      <c r="I233" s="153"/>
      <c r="J233" s="153"/>
      <c r="K233" s="252"/>
      <c r="L233" s="153"/>
      <c r="M233" s="252"/>
      <c r="N233" s="153"/>
      <c r="O233" s="153"/>
      <c r="P233" s="153"/>
      <c r="Q233" s="152"/>
      <c r="R233" s="153"/>
      <c r="S233" s="153"/>
      <c r="T233" s="153"/>
      <c r="U233" s="153"/>
      <c r="V233" s="153"/>
      <c r="W233" s="153"/>
      <c r="X233" s="153"/>
      <c r="Y233" s="153"/>
      <c r="Z233" s="153"/>
      <c r="AA233" s="153"/>
    </row>
    <row r="234" ht="39.75" customHeight="1">
      <c r="A234" s="153"/>
      <c r="B234" s="153"/>
      <c r="C234" s="153"/>
      <c r="D234" s="153"/>
      <c r="E234" s="251"/>
      <c r="F234" s="251"/>
      <c r="G234" s="153"/>
      <c r="H234" s="252"/>
      <c r="I234" s="153"/>
      <c r="J234" s="153"/>
      <c r="K234" s="252"/>
      <c r="L234" s="153"/>
      <c r="M234" s="252"/>
      <c r="N234" s="153"/>
      <c r="O234" s="153"/>
      <c r="P234" s="153"/>
      <c r="Q234" s="152"/>
      <c r="R234" s="153"/>
      <c r="S234" s="153"/>
      <c r="T234" s="153"/>
      <c r="U234" s="153"/>
      <c r="V234" s="153"/>
      <c r="W234" s="153"/>
      <c r="X234" s="153"/>
      <c r="Y234" s="153"/>
      <c r="Z234" s="153"/>
      <c r="AA234" s="153"/>
    </row>
    <row r="235" ht="39.75" customHeight="1">
      <c r="A235" s="153"/>
      <c r="B235" s="153"/>
      <c r="C235" s="153"/>
      <c r="D235" s="153"/>
      <c r="E235" s="251"/>
      <c r="F235" s="251"/>
      <c r="G235" s="153"/>
      <c r="H235" s="252"/>
      <c r="I235" s="153"/>
      <c r="J235" s="153"/>
      <c r="K235" s="252"/>
      <c r="L235" s="153"/>
      <c r="M235" s="252"/>
      <c r="N235" s="153"/>
      <c r="O235" s="153"/>
      <c r="P235" s="153"/>
      <c r="Q235" s="152"/>
      <c r="R235" s="153"/>
      <c r="S235" s="153"/>
      <c r="T235" s="153"/>
      <c r="U235" s="153"/>
      <c r="V235" s="153"/>
      <c r="W235" s="153"/>
      <c r="X235" s="153"/>
      <c r="Y235" s="153"/>
      <c r="Z235" s="153"/>
      <c r="AA235" s="153"/>
    </row>
    <row r="236" ht="39.75" customHeight="1">
      <c r="A236" s="153"/>
      <c r="B236" s="153"/>
      <c r="C236" s="153"/>
      <c r="D236" s="153"/>
      <c r="E236" s="251"/>
      <c r="F236" s="251"/>
      <c r="G236" s="153"/>
      <c r="H236" s="252"/>
      <c r="I236" s="153"/>
      <c r="J236" s="153"/>
      <c r="K236" s="252"/>
      <c r="L236" s="153"/>
      <c r="M236" s="252"/>
      <c r="N236" s="153"/>
      <c r="O236" s="153"/>
      <c r="P236" s="153"/>
      <c r="Q236" s="152"/>
      <c r="R236" s="153"/>
      <c r="S236" s="153"/>
      <c r="T236" s="153"/>
      <c r="U236" s="153"/>
      <c r="V236" s="153"/>
      <c r="W236" s="153"/>
      <c r="X236" s="153"/>
      <c r="Y236" s="153"/>
      <c r="Z236" s="153"/>
      <c r="AA236" s="153"/>
    </row>
    <row r="237" ht="39.75" customHeight="1">
      <c r="A237" s="153"/>
      <c r="B237" s="153"/>
      <c r="C237" s="153"/>
      <c r="D237" s="153"/>
      <c r="E237" s="251"/>
      <c r="F237" s="251"/>
      <c r="G237" s="153"/>
      <c r="H237" s="252"/>
      <c r="I237" s="153"/>
      <c r="J237" s="153"/>
      <c r="K237" s="252"/>
      <c r="L237" s="153"/>
      <c r="M237" s="252"/>
      <c r="N237" s="153"/>
      <c r="O237" s="153"/>
      <c r="P237" s="153"/>
      <c r="Q237" s="152"/>
      <c r="R237" s="153"/>
      <c r="S237" s="153"/>
      <c r="T237" s="153"/>
      <c r="U237" s="153"/>
      <c r="V237" s="153"/>
      <c r="W237" s="153"/>
      <c r="X237" s="153"/>
      <c r="Y237" s="153"/>
      <c r="Z237" s="153"/>
      <c r="AA237" s="153"/>
    </row>
    <row r="238" ht="39.75" customHeight="1">
      <c r="A238" s="153"/>
      <c r="B238" s="153"/>
      <c r="C238" s="153"/>
      <c r="D238" s="153"/>
      <c r="E238" s="251"/>
      <c r="F238" s="251"/>
      <c r="G238" s="153"/>
      <c r="H238" s="252"/>
      <c r="I238" s="153"/>
      <c r="J238" s="153"/>
      <c r="K238" s="252"/>
      <c r="L238" s="153"/>
      <c r="M238" s="252"/>
      <c r="N238" s="153"/>
      <c r="O238" s="153"/>
      <c r="P238" s="153"/>
      <c r="Q238" s="152"/>
      <c r="R238" s="153"/>
      <c r="S238" s="153"/>
      <c r="T238" s="153"/>
      <c r="U238" s="153"/>
      <c r="V238" s="153"/>
      <c r="W238" s="153"/>
      <c r="X238" s="153"/>
      <c r="Y238" s="153"/>
      <c r="Z238" s="153"/>
      <c r="AA238" s="153"/>
    </row>
    <row r="239" ht="39.75" customHeight="1">
      <c r="A239" s="153"/>
      <c r="B239" s="153"/>
      <c r="C239" s="153"/>
      <c r="D239" s="153"/>
      <c r="E239" s="251"/>
      <c r="F239" s="251"/>
      <c r="G239" s="153"/>
      <c r="H239" s="252"/>
      <c r="I239" s="153"/>
      <c r="J239" s="153"/>
      <c r="K239" s="252"/>
      <c r="L239" s="153"/>
      <c r="M239" s="252"/>
      <c r="N239" s="153"/>
      <c r="O239" s="153"/>
      <c r="P239" s="153"/>
      <c r="Q239" s="152"/>
      <c r="R239" s="153"/>
      <c r="S239" s="153"/>
      <c r="T239" s="153"/>
      <c r="U239" s="153"/>
      <c r="V239" s="153"/>
      <c r="W239" s="153"/>
      <c r="X239" s="153"/>
      <c r="Y239" s="153"/>
      <c r="Z239" s="153"/>
      <c r="AA239" s="153"/>
    </row>
    <row r="240" ht="39.75" customHeight="1">
      <c r="A240" s="153"/>
      <c r="B240" s="153"/>
      <c r="C240" s="153"/>
      <c r="D240" s="153"/>
      <c r="E240" s="251"/>
      <c r="F240" s="251"/>
      <c r="G240" s="153"/>
      <c r="H240" s="252"/>
      <c r="I240" s="153"/>
      <c r="J240" s="153"/>
      <c r="K240" s="252"/>
      <c r="L240" s="153"/>
      <c r="M240" s="252"/>
      <c r="N240" s="153"/>
      <c r="O240" s="153"/>
      <c r="P240" s="153"/>
      <c r="Q240" s="152"/>
      <c r="R240" s="153"/>
      <c r="S240" s="153"/>
      <c r="T240" s="153"/>
      <c r="U240" s="153"/>
      <c r="V240" s="153"/>
      <c r="W240" s="153"/>
      <c r="X240" s="153"/>
      <c r="Y240" s="153"/>
      <c r="Z240" s="153"/>
      <c r="AA240" s="153"/>
    </row>
    <row r="241" ht="39.75" customHeight="1">
      <c r="A241" s="153"/>
      <c r="B241" s="153"/>
      <c r="C241" s="153"/>
      <c r="D241" s="153"/>
      <c r="E241" s="251"/>
      <c r="F241" s="251"/>
      <c r="G241" s="153"/>
      <c r="H241" s="252"/>
      <c r="I241" s="153"/>
      <c r="J241" s="153"/>
      <c r="K241" s="252"/>
      <c r="L241" s="153"/>
      <c r="M241" s="252"/>
      <c r="N241" s="153"/>
      <c r="O241" s="153"/>
      <c r="P241" s="153"/>
      <c r="Q241" s="152"/>
      <c r="R241" s="153"/>
      <c r="S241" s="153"/>
      <c r="T241" s="153"/>
      <c r="U241" s="153"/>
      <c r="V241" s="153"/>
      <c r="W241" s="153"/>
      <c r="X241" s="153"/>
      <c r="Y241" s="153"/>
      <c r="Z241" s="153"/>
      <c r="AA241" s="153"/>
    </row>
    <row r="242" ht="39.75" customHeight="1">
      <c r="A242" s="153"/>
      <c r="B242" s="153"/>
      <c r="C242" s="153"/>
      <c r="D242" s="153"/>
      <c r="E242" s="251"/>
      <c r="F242" s="251"/>
      <c r="G242" s="153"/>
      <c r="H242" s="252"/>
      <c r="I242" s="153"/>
      <c r="J242" s="153"/>
      <c r="K242" s="252"/>
      <c r="L242" s="153"/>
      <c r="M242" s="252"/>
      <c r="N242" s="153"/>
      <c r="O242" s="153"/>
      <c r="P242" s="153"/>
      <c r="Q242" s="152"/>
      <c r="R242" s="153"/>
      <c r="S242" s="153"/>
      <c r="T242" s="153"/>
      <c r="U242" s="153"/>
      <c r="V242" s="153"/>
      <c r="W242" s="153"/>
      <c r="X242" s="153"/>
      <c r="Y242" s="153"/>
      <c r="Z242" s="153"/>
      <c r="AA242" s="153"/>
    </row>
    <row r="243" ht="39.75" customHeight="1">
      <c r="A243" s="153"/>
      <c r="B243" s="153"/>
      <c r="C243" s="153"/>
      <c r="D243" s="153"/>
      <c r="E243" s="251"/>
      <c r="F243" s="251"/>
      <c r="G243" s="153"/>
      <c r="H243" s="252"/>
      <c r="I243" s="153"/>
      <c r="J243" s="153"/>
      <c r="K243" s="252"/>
      <c r="L243" s="153"/>
      <c r="M243" s="252"/>
      <c r="N243" s="153"/>
      <c r="O243" s="153"/>
      <c r="P243" s="153"/>
      <c r="Q243" s="152"/>
      <c r="R243" s="153"/>
      <c r="S243" s="153"/>
      <c r="T243" s="153"/>
      <c r="U243" s="153"/>
      <c r="V243" s="153"/>
      <c r="W243" s="153"/>
      <c r="X243" s="153"/>
      <c r="Y243" s="153"/>
      <c r="Z243" s="153"/>
      <c r="AA243" s="153"/>
    </row>
    <row r="244" ht="39.75" customHeight="1">
      <c r="A244" s="153"/>
      <c r="B244" s="153"/>
      <c r="C244" s="153"/>
      <c r="D244" s="153"/>
      <c r="E244" s="251"/>
      <c r="F244" s="251"/>
      <c r="G244" s="153"/>
      <c r="H244" s="252"/>
      <c r="I244" s="153"/>
      <c r="J244" s="153"/>
      <c r="K244" s="252"/>
      <c r="L244" s="153"/>
      <c r="M244" s="252"/>
      <c r="N244" s="153"/>
      <c r="O244" s="153"/>
      <c r="P244" s="153"/>
      <c r="Q244" s="152"/>
      <c r="R244" s="153"/>
      <c r="S244" s="153"/>
      <c r="T244" s="153"/>
      <c r="U244" s="153"/>
      <c r="V244" s="153"/>
      <c r="W244" s="153"/>
      <c r="X244" s="153"/>
      <c r="Y244" s="153"/>
      <c r="Z244" s="153"/>
      <c r="AA244" s="153"/>
    </row>
    <row r="245" ht="39.75" customHeight="1">
      <c r="A245" s="153"/>
      <c r="B245" s="153"/>
      <c r="C245" s="153"/>
      <c r="D245" s="153"/>
      <c r="E245" s="251"/>
      <c r="F245" s="251"/>
      <c r="G245" s="153"/>
      <c r="H245" s="252"/>
      <c r="I245" s="153"/>
      <c r="J245" s="153"/>
      <c r="K245" s="252"/>
      <c r="L245" s="153"/>
      <c r="M245" s="252"/>
      <c r="N245" s="153"/>
      <c r="O245" s="153"/>
      <c r="P245" s="153"/>
      <c r="Q245" s="152"/>
      <c r="R245" s="153"/>
      <c r="S245" s="153"/>
      <c r="T245" s="153"/>
      <c r="U245" s="153"/>
      <c r="V245" s="153"/>
      <c r="W245" s="153"/>
      <c r="X245" s="153"/>
      <c r="Y245" s="153"/>
      <c r="Z245" s="153"/>
      <c r="AA245" s="153"/>
    </row>
    <row r="246" ht="39.75" customHeight="1">
      <c r="A246" s="153"/>
      <c r="B246" s="153"/>
      <c r="C246" s="153"/>
      <c r="D246" s="153"/>
      <c r="E246" s="251"/>
      <c r="F246" s="251"/>
      <c r="G246" s="153"/>
      <c r="H246" s="252"/>
      <c r="I246" s="153"/>
      <c r="J246" s="153"/>
      <c r="K246" s="252"/>
      <c r="L246" s="153"/>
      <c r="M246" s="252"/>
      <c r="N246" s="153"/>
      <c r="O246" s="153"/>
      <c r="P246" s="153"/>
      <c r="Q246" s="152"/>
      <c r="R246" s="153"/>
      <c r="S246" s="153"/>
      <c r="T246" s="153"/>
      <c r="U246" s="153"/>
      <c r="V246" s="153"/>
      <c r="W246" s="153"/>
      <c r="X246" s="153"/>
      <c r="Y246" s="153"/>
      <c r="Z246" s="153"/>
      <c r="AA246" s="153"/>
    </row>
    <row r="247" ht="39.75" customHeight="1">
      <c r="A247" s="153"/>
      <c r="B247" s="153"/>
      <c r="C247" s="153"/>
      <c r="D247" s="153"/>
      <c r="E247" s="251"/>
      <c r="F247" s="251"/>
      <c r="G247" s="153"/>
      <c r="H247" s="252"/>
      <c r="I247" s="153"/>
      <c r="J247" s="153"/>
      <c r="K247" s="252"/>
      <c r="L247" s="153"/>
      <c r="M247" s="252"/>
      <c r="N247" s="153"/>
      <c r="O247" s="153"/>
      <c r="P247" s="153"/>
      <c r="Q247" s="152"/>
      <c r="R247" s="153"/>
      <c r="S247" s="153"/>
      <c r="T247" s="153"/>
      <c r="U247" s="153"/>
      <c r="V247" s="153"/>
      <c r="W247" s="153"/>
      <c r="X247" s="153"/>
      <c r="Y247" s="153"/>
      <c r="Z247" s="153"/>
      <c r="AA247" s="153"/>
    </row>
    <row r="248" ht="39.75" customHeight="1">
      <c r="A248" s="153"/>
      <c r="B248" s="153"/>
      <c r="C248" s="153"/>
      <c r="D248" s="153"/>
      <c r="E248" s="251"/>
      <c r="F248" s="251"/>
      <c r="G248" s="153"/>
      <c r="H248" s="252"/>
      <c r="I248" s="153"/>
      <c r="J248" s="153"/>
      <c r="K248" s="252"/>
      <c r="L248" s="153"/>
      <c r="M248" s="252"/>
      <c r="N248" s="153"/>
      <c r="O248" s="153"/>
      <c r="P248" s="153"/>
      <c r="Q248" s="152"/>
      <c r="R248" s="153"/>
      <c r="S248" s="153"/>
      <c r="T248" s="153"/>
      <c r="U248" s="153"/>
      <c r="V248" s="153"/>
      <c r="W248" s="153"/>
      <c r="X248" s="153"/>
      <c r="Y248" s="153"/>
      <c r="Z248" s="153"/>
      <c r="AA248" s="153"/>
    </row>
    <row r="249" ht="39.75" customHeight="1">
      <c r="A249" s="153"/>
      <c r="B249" s="153"/>
      <c r="C249" s="153"/>
      <c r="D249" s="153"/>
      <c r="E249" s="251"/>
      <c r="F249" s="251"/>
      <c r="G249" s="153"/>
      <c r="H249" s="252"/>
      <c r="I249" s="153"/>
      <c r="J249" s="153"/>
      <c r="K249" s="252"/>
      <c r="L249" s="153"/>
      <c r="M249" s="252"/>
      <c r="N249" s="153"/>
      <c r="O249" s="153"/>
      <c r="P249" s="153"/>
      <c r="Q249" s="152"/>
      <c r="R249" s="153"/>
      <c r="S249" s="153"/>
      <c r="T249" s="153"/>
      <c r="U249" s="153"/>
      <c r="V249" s="153"/>
      <c r="W249" s="153"/>
      <c r="X249" s="153"/>
      <c r="Y249" s="153"/>
      <c r="Z249" s="153"/>
      <c r="AA249" s="153"/>
    </row>
    <row r="250" ht="39.75" customHeight="1">
      <c r="A250" s="153"/>
      <c r="B250" s="153"/>
      <c r="C250" s="153"/>
      <c r="D250" s="153"/>
      <c r="E250" s="251"/>
      <c r="F250" s="251"/>
      <c r="G250" s="153"/>
      <c r="H250" s="252"/>
      <c r="I250" s="153"/>
      <c r="J250" s="153"/>
      <c r="K250" s="252"/>
      <c r="L250" s="153"/>
      <c r="M250" s="252"/>
      <c r="N250" s="153"/>
      <c r="O250" s="153"/>
      <c r="P250" s="153"/>
      <c r="Q250" s="152"/>
      <c r="R250" s="153"/>
      <c r="S250" s="153"/>
      <c r="T250" s="153"/>
      <c r="U250" s="153"/>
      <c r="V250" s="153"/>
      <c r="W250" s="153"/>
      <c r="X250" s="153"/>
      <c r="Y250" s="153"/>
      <c r="Z250" s="153"/>
      <c r="AA250" s="153"/>
    </row>
    <row r="251" ht="39.75" customHeight="1">
      <c r="A251" s="153"/>
      <c r="B251" s="153"/>
      <c r="C251" s="153"/>
      <c r="D251" s="153"/>
      <c r="E251" s="251"/>
      <c r="F251" s="251"/>
      <c r="G251" s="153"/>
      <c r="H251" s="252"/>
      <c r="I251" s="153"/>
      <c r="J251" s="153"/>
      <c r="K251" s="252"/>
      <c r="L251" s="153"/>
      <c r="M251" s="252"/>
      <c r="N251" s="153"/>
      <c r="O251" s="153"/>
      <c r="P251" s="153"/>
      <c r="Q251" s="152"/>
      <c r="R251" s="153"/>
      <c r="S251" s="153"/>
      <c r="T251" s="153"/>
      <c r="U251" s="153"/>
      <c r="V251" s="153"/>
      <c r="W251" s="153"/>
      <c r="X251" s="153"/>
      <c r="Y251" s="153"/>
      <c r="Z251" s="153"/>
      <c r="AA251" s="153"/>
    </row>
    <row r="252" ht="39.75" customHeight="1">
      <c r="A252" s="153"/>
      <c r="B252" s="153"/>
      <c r="C252" s="153"/>
      <c r="D252" s="153"/>
      <c r="E252" s="251"/>
      <c r="F252" s="251"/>
      <c r="G252" s="153"/>
      <c r="H252" s="252"/>
      <c r="I252" s="153"/>
      <c r="J252" s="153"/>
      <c r="K252" s="252"/>
      <c r="L252" s="153"/>
      <c r="M252" s="252"/>
      <c r="N252" s="153"/>
      <c r="O252" s="153"/>
      <c r="P252" s="153"/>
      <c r="Q252" s="152"/>
      <c r="R252" s="153"/>
      <c r="S252" s="153"/>
      <c r="T252" s="153"/>
      <c r="U252" s="153"/>
      <c r="V252" s="153"/>
      <c r="W252" s="153"/>
      <c r="X252" s="153"/>
      <c r="Y252" s="153"/>
      <c r="Z252" s="153"/>
      <c r="AA252" s="153"/>
    </row>
    <row r="253" ht="39.75" customHeight="1">
      <c r="A253" s="153"/>
      <c r="B253" s="153"/>
      <c r="C253" s="153"/>
      <c r="D253" s="153"/>
      <c r="E253" s="251"/>
      <c r="F253" s="251"/>
      <c r="G253" s="153"/>
      <c r="H253" s="252"/>
      <c r="I253" s="153"/>
      <c r="J253" s="153"/>
      <c r="K253" s="252"/>
      <c r="L253" s="153"/>
      <c r="M253" s="252"/>
      <c r="N253" s="153"/>
      <c r="O253" s="153"/>
      <c r="P253" s="153"/>
      <c r="Q253" s="152"/>
      <c r="R253" s="153"/>
      <c r="S253" s="153"/>
      <c r="T253" s="153"/>
      <c r="U253" s="153"/>
      <c r="V253" s="153"/>
      <c r="W253" s="153"/>
      <c r="X253" s="153"/>
      <c r="Y253" s="153"/>
      <c r="Z253" s="153"/>
      <c r="AA253" s="153"/>
    </row>
    <row r="254" ht="39.75" customHeight="1">
      <c r="A254" s="153"/>
      <c r="B254" s="153"/>
      <c r="C254" s="153"/>
      <c r="D254" s="153"/>
      <c r="E254" s="251"/>
      <c r="F254" s="251"/>
      <c r="G254" s="153"/>
      <c r="H254" s="252"/>
      <c r="I254" s="153"/>
      <c r="J254" s="153"/>
      <c r="K254" s="252"/>
      <c r="L254" s="153"/>
      <c r="M254" s="252"/>
      <c r="N254" s="153"/>
      <c r="O254" s="153"/>
      <c r="P254" s="153"/>
      <c r="Q254" s="152"/>
      <c r="R254" s="153"/>
      <c r="S254" s="153"/>
      <c r="T254" s="153"/>
      <c r="U254" s="153"/>
      <c r="V254" s="153"/>
      <c r="W254" s="153"/>
      <c r="X254" s="153"/>
      <c r="Y254" s="153"/>
      <c r="Z254" s="153"/>
      <c r="AA254" s="153"/>
    </row>
    <row r="255" ht="39.75" customHeight="1">
      <c r="A255" s="153"/>
      <c r="B255" s="153"/>
      <c r="C255" s="153"/>
      <c r="D255" s="153"/>
      <c r="E255" s="251"/>
      <c r="F255" s="251"/>
      <c r="G255" s="153"/>
      <c r="H255" s="252"/>
      <c r="I255" s="153"/>
      <c r="J255" s="153"/>
      <c r="K255" s="252"/>
      <c r="L255" s="153"/>
      <c r="M255" s="252"/>
      <c r="N255" s="153"/>
      <c r="O255" s="153"/>
      <c r="P255" s="153"/>
      <c r="Q255" s="152"/>
      <c r="R255" s="153"/>
      <c r="S255" s="153"/>
      <c r="T255" s="153"/>
      <c r="U255" s="153"/>
      <c r="V255" s="153"/>
      <c r="W255" s="153"/>
      <c r="X255" s="153"/>
      <c r="Y255" s="153"/>
      <c r="Z255" s="153"/>
      <c r="AA255" s="153"/>
    </row>
    <row r="256" ht="39.75" customHeight="1">
      <c r="A256" s="153"/>
      <c r="B256" s="153"/>
      <c r="C256" s="153"/>
      <c r="D256" s="153"/>
      <c r="E256" s="251"/>
      <c r="F256" s="251"/>
      <c r="G256" s="153"/>
      <c r="H256" s="252"/>
      <c r="I256" s="153"/>
      <c r="J256" s="153"/>
      <c r="K256" s="252"/>
      <c r="L256" s="153"/>
      <c r="M256" s="252"/>
      <c r="N256" s="153"/>
      <c r="O256" s="153"/>
      <c r="P256" s="153"/>
      <c r="Q256" s="152"/>
      <c r="R256" s="153"/>
      <c r="S256" s="153"/>
      <c r="T256" s="153"/>
      <c r="U256" s="153"/>
      <c r="V256" s="153"/>
      <c r="W256" s="153"/>
      <c r="X256" s="153"/>
      <c r="Y256" s="153"/>
      <c r="Z256" s="153"/>
      <c r="AA256" s="153"/>
    </row>
    <row r="257" ht="39.75" customHeight="1">
      <c r="A257" s="153"/>
      <c r="B257" s="153"/>
      <c r="C257" s="153"/>
      <c r="D257" s="153"/>
      <c r="E257" s="251"/>
      <c r="F257" s="251"/>
      <c r="G257" s="153"/>
      <c r="H257" s="252"/>
      <c r="I257" s="153"/>
      <c r="J257" s="153"/>
      <c r="K257" s="252"/>
      <c r="L257" s="153"/>
      <c r="M257" s="252"/>
      <c r="N257" s="153"/>
      <c r="O257" s="153"/>
      <c r="P257" s="153"/>
      <c r="Q257" s="152"/>
      <c r="R257" s="153"/>
      <c r="S257" s="153"/>
      <c r="T257" s="153"/>
      <c r="U257" s="153"/>
      <c r="V257" s="153"/>
      <c r="W257" s="153"/>
      <c r="X257" s="153"/>
      <c r="Y257" s="153"/>
      <c r="Z257" s="153"/>
      <c r="AA257" s="153"/>
    </row>
    <row r="258" ht="39.75" customHeight="1">
      <c r="A258" s="153"/>
      <c r="B258" s="153"/>
      <c r="C258" s="153"/>
      <c r="D258" s="153"/>
      <c r="E258" s="251"/>
      <c r="F258" s="251"/>
      <c r="G258" s="153"/>
      <c r="H258" s="252"/>
      <c r="I258" s="153"/>
      <c r="J258" s="153"/>
      <c r="K258" s="252"/>
      <c r="L258" s="153"/>
      <c r="M258" s="252"/>
      <c r="N258" s="153"/>
      <c r="O258" s="153"/>
      <c r="P258" s="153"/>
      <c r="Q258" s="152"/>
      <c r="R258" s="153"/>
      <c r="S258" s="153"/>
      <c r="T258" s="153"/>
      <c r="U258" s="153"/>
      <c r="V258" s="153"/>
      <c r="W258" s="153"/>
      <c r="X258" s="153"/>
      <c r="Y258" s="153"/>
      <c r="Z258" s="153"/>
      <c r="AA258" s="153"/>
    </row>
    <row r="259" ht="39.75" customHeight="1">
      <c r="A259" s="153"/>
      <c r="B259" s="153"/>
      <c r="C259" s="153"/>
      <c r="D259" s="153"/>
      <c r="E259" s="251"/>
      <c r="F259" s="251"/>
      <c r="G259" s="153"/>
      <c r="H259" s="252"/>
      <c r="I259" s="153"/>
      <c r="J259" s="153"/>
      <c r="K259" s="252"/>
      <c r="L259" s="153"/>
      <c r="M259" s="252"/>
      <c r="N259" s="153"/>
      <c r="O259" s="153"/>
      <c r="P259" s="153"/>
      <c r="Q259" s="152"/>
      <c r="R259" s="153"/>
      <c r="S259" s="153"/>
      <c r="T259" s="153"/>
      <c r="U259" s="153"/>
      <c r="V259" s="153"/>
      <c r="W259" s="153"/>
      <c r="X259" s="153"/>
      <c r="Y259" s="153"/>
      <c r="Z259" s="153"/>
      <c r="AA259" s="153"/>
    </row>
    <row r="260" ht="39.75" customHeight="1">
      <c r="A260" s="153"/>
      <c r="B260" s="153"/>
      <c r="C260" s="153"/>
      <c r="D260" s="153"/>
      <c r="E260" s="251"/>
      <c r="F260" s="251"/>
      <c r="G260" s="153"/>
      <c r="H260" s="252"/>
      <c r="I260" s="153"/>
      <c r="J260" s="153"/>
      <c r="K260" s="252"/>
      <c r="L260" s="153"/>
      <c r="M260" s="252"/>
      <c r="N260" s="153"/>
      <c r="O260" s="153"/>
      <c r="P260" s="153"/>
      <c r="Q260" s="152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</row>
    <row r="261" ht="39.75" customHeight="1">
      <c r="A261" s="153"/>
      <c r="B261" s="153"/>
      <c r="C261" s="153"/>
      <c r="D261" s="153"/>
      <c r="E261" s="251"/>
      <c r="F261" s="251"/>
      <c r="G261" s="153"/>
      <c r="H261" s="252"/>
      <c r="I261" s="153"/>
      <c r="J261" s="153"/>
      <c r="K261" s="252"/>
      <c r="L261" s="153"/>
      <c r="M261" s="252"/>
      <c r="N261" s="153"/>
      <c r="O261" s="153"/>
      <c r="P261" s="153"/>
      <c r="Q261" s="152"/>
      <c r="R261" s="153"/>
      <c r="S261" s="153"/>
      <c r="T261" s="153"/>
      <c r="U261" s="153"/>
      <c r="V261" s="153"/>
      <c r="W261" s="153"/>
      <c r="X261" s="153"/>
      <c r="Y261" s="153"/>
      <c r="Z261" s="153"/>
      <c r="AA261" s="153"/>
    </row>
    <row r="262" ht="39.75" customHeight="1">
      <c r="A262" s="153"/>
      <c r="B262" s="153"/>
      <c r="C262" s="153"/>
      <c r="D262" s="153"/>
      <c r="E262" s="251"/>
      <c r="F262" s="251"/>
      <c r="G262" s="153"/>
      <c r="H262" s="252"/>
      <c r="I262" s="153"/>
      <c r="J262" s="153"/>
      <c r="K262" s="252"/>
      <c r="L262" s="153"/>
      <c r="M262" s="252"/>
      <c r="N262" s="153"/>
      <c r="O262" s="153"/>
      <c r="P262" s="153"/>
      <c r="Q262" s="152"/>
      <c r="R262" s="153"/>
      <c r="S262" s="153"/>
      <c r="T262" s="153"/>
      <c r="U262" s="153"/>
      <c r="V262" s="153"/>
      <c r="W262" s="153"/>
      <c r="X262" s="153"/>
      <c r="Y262" s="153"/>
      <c r="Z262" s="153"/>
      <c r="AA262" s="153"/>
    </row>
    <row r="263" ht="39.75" customHeight="1">
      <c r="A263" s="153"/>
      <c r="B263" s="153"/>
      <c r="C263" s="153"/>
      <c r="D263" s="153"/>
      <c r="E263" s="251"/>
      <c r="F263" s="251"/>
      <c r="G263" s="153"/>
      <c r="H263" s="252"/>
      <c r="I263" s="153"/>
      <c r="J263" s="153"/>
      <c r="K263" s="252"/>
      <c r="L263" s="153"/>
      <c r="M263" s="252"/>
      <c r="N263" s="153"/>
      <c r="O263" s="153"/>
      <c r="P263" s="153"/>
      <c r="Q263" s="152"/>
      <c r="R263" s="153"/>
      <c r="S263" s="153"/>
      <c r="T263" s="153"/>
      <c r="U263" s="153"/>
      <c r="V263" s="153"/>
      <c r="W263" s="153"/>
      <c r="X263" s="153"/>
      <c r="Y263" s="153"/>
      <c r="Z263" s="153"/>
      <c r="AA263" s="153"/>
    </row>
    <row r="264" ht="39.75" customHeight="1">
      <c r="A264" s="153"/>
      <c r="B264" s="153"/>
      <c r="C264" s="153"/>
      <c r="D264" s="153"/>
      <c r="E264" s="251"/>
      <c r="F264" s="251"/>
      <c r="G264" s="153"/>
      <c r="H264" s="252"/>
      <c r="I264" s="153"/>
      <c r="J264" s="153"/>
      <c r="K264" s="252"/>
      <c r="L264" s="153"/>
      <c r="M264" s="252"/>
      <c r="N264" s="153"/>
      <c r="O264" s="153"/>
      <c r="P264" s="153"/>
      <c r="Q264" s="152"/>
      <c r="R264" s="153"/>
      <c r="S264" s="153"/>
      <c r="T264" s="153"/>
      <c r="U264" s="153"/>
      <c r="V264" s="153"/>
      <c r="W264" s="153"/>
      <c r="X264" s="153"/>
      <c r="Y264" s="153"/>
      <c r="Z264" s="153"/>
      <c r="AA264" s="153"/>
    </row>
    <row r="265" ht="39.75" customHeight="1">
      <c r="A265" s="153"/>
      <c r="B265" s="153"/>
      <c r="C265" s="153"/>
      <c r="D265" s="153"/>
      <c r="E265" s="251"/>
      <c r="F265" s="251"/>
      <c r="G265" s="153"/>
      <c r="H265" s="252"/>
      <c r="I265" s="153"/>
      <c r="J265" s="153"/>
      <c r="K265" s="252"/>
      <c r="L265" s="153"/>
      <c r="M265" s="252"/>
      <c r="N265" s="153"/>
      <c r="O265" s="153"/>
      <c r="P265" s="153"/>
      <c r="Q265" s="152"/>
      <c r="R265" s="153"/>
      <c r="S265" s="153"/>
      <c r="T265" s="153"/>
      <c r="U265" s="153"/>
      <c r="V265" s="153"/>
      <c r="W265" s="153"/>
      <c r="X265" s="153"/>
      <c r="Y265" s="153"/>
      <c r="Z265" s="153"/>
      <c r="AA265" s="153"/>
    </row>
    <row r="266" ht="39.75" customHeight="1">
      <c r="A266" s="153"/>
      <c r="B266" s="153"/>
      <c r="C266" s="153"/>
      <c r="D266" s="153"/>
      <c r="E266" s="251"/>
      <c r="F266" s="251"/>
      <c r="G266" s="153"/>
      <c r="H266" s="252"/>
      <c r="I266" s="153"/>
      <c r="J266" s="153"/>
      <c r="K266" s="252"/>
      <c r="L266" s="153"/>
      <c r="M266" s="252"/>
      <c r="N266" s="153"/>
      <c r="O266" s="153"/>
      <c r="P266" s="153"/>
      <c r="Q266" s="152"/>
      <c r="R266" s="153"/>
      <c r="S266" s="153"/>
      <c r="T266" s="153"/>
      <c r="U266" s="153"/>
      <c r="V266" s="153"/>
      <c r="W266" s="153"/>
      <c r="X266" s="153"/>
      <c r="Y266" s="153"/>
      <c r="Z266" s="153"/>
      <c r="AA266" s="153"/>
    </row>
    <row r="267" ht="39.75" customHeight="1">
      <c r="A267" s="153"/>
      <c r="B267" s="153"/>
      <c r="C267" s="153"/>
      <c r="D267" s="153"/>
      <c r="E267" s="251"/>
      <c r="F267" s="251"/>
      <c r="G267" s="153"/>
      <c r="H267" s="252"/>
      <c r="I267" s="153"/>
      <c r="J267" s="153"/>
      <c r="K267" s="252"/>
      <c r="L267" s="153"/>
      <c r="M267" s="252"/>
      <c r="N267" s="153"/>
      <c r="O267" s="153"/>
      <c r="P267" s="153"/>
      <c r="Q267" s="152"/>
      <c r="R267" s="153"/>
      <c r="S267" s="153"/>
      <c r="T267" s="153"/>
      <c r="U267" s="153"/>
      <c r="V267" s="153"/>
      <c r="W267" s="153"/>
      <c r="X267" s="153"/>
      <c r="Y267" s="153"/>
      <c r="Z267" s="153"/>
      <c r="AA267" s="153"/>
    </row>
    <row r="268" ht="39.75" customHeight="1">
      <c r="A268" s="153"/>
      <c r="B268" s="153"/>
      <c r="C268" s="153"/>
      <c r="D268" s="153"/>
      <c r="E268" s="251"/>
      <c r="F268" s="251"/>
      <c r="G268" s="153"/>
      <c r="H268" s="252"/>
      <c r="I268" s="153"/>
      <c r="J268" s="153"/>
      <c r="K268" s="252"/>
      <c r="L268" s="153"/>
      <c r="M268" s="252"/>
      <c r="N268" s="153"/>
      <c r="O268" s="153"/>
      <c r="P268" s="153"/>
      <c r="Q268" s="152"/>
      <c r="R268" s="153"/>
      <c r="S268" s="153"/>
      <c r="T268" s="153"/>
      <c r="U268" s="153"/>
      <c r="V268" s="153"/>
      <c r="W268" s="153"/>
      <c r="X268" s="153"/>
      <c r="Y268" s="153"/>
      <c r="Z268" s="153"/>
      <c r="AA268" s="153"/>
    </row>
    <row r="269" ht="39.75" customHeight="1">
      <c r="A269" s="153"/>
      <c r="B269" s="153"/>
      <c r="C269" s="153"/>
      <c r="D269" s="153"/>
      <c r="E269" s="251"/>
      <c r="F269" s="251"/>
      <c r="G269" s="153"/>
      <c r="H269" s="252"/>
      <c r="I269" s="153"/>
      <c r="J269" s="153"/>
      <c r="K269" s="252"/>
      <c r="L269" s="153"/>
      <c r="M269" s="252"/>
      <c r="N269" s="153"/>
      <c r="O269" s="153"/>
      <c r="P269" s="153"/>
      <c r="Q269" s="152"/>
      <c r="R269" s="153"/>
      <c r="S269" s="153"/>
      <c r="T269" s="153"/>
      <c r="U269" s="153"/>
      <c r="V269" s="153"/>
      <c r="W269" s="153"/>
      <c r="X269" s="153"/>
      <c r="Y269" s="153"/>
      <c r="Z269" s="153"/>
      <c r="AA269" s="153"/>
    </row>
    <row r="270" ht="39.75" customHeight="1">
      <c r="A270" s="153"/>
      <c r="B270" s="153"/>
      <c r="C270" s="153"/>
      <c r="D270" s="153"/>
      <c r="E270" s="251"/>
      <c r="F270" s="251"/>
      <c r="G270" s="153"/>
      <c r="H270" s="252"/>
      <c r="I270" s="153"/>
      <c r="J270" s="153"/>
      <c r="K270" s="252"/>
      <c r="L270" s="153"/>
      <c r="M270" s="252"/>
      <c r="N270" s="153"/>
      <c r="O270" s="153"/>
      <c r="P270" s="153"/>
      <c r="Q270" s="152"/>
      <c r="R270" s="153"/>
      <c r="S270" s="153"/>
      <c r="T270" s="153"/>
      <c r="U270" s="153"/>
      <c r="V270" s="153"/>
      <c r="W270" s="153"/>
      <c r="X270" s="153"/>
      <c r="Y270" s="153"/>
      <c r="Z270" s="153"/>
      <c r="AA270" s="153"/>
    </row>
    <row r="271" ht="39.75" customHeight="1">
      <c r="A271" s="153"/>
      <c r="B271" s="153"/>
      <c r="C271" s="153"/>
      <c r="D271" s="153"/>
      <c r="E271" s="251"/>
      <c r="F271" s="251"/>
      <c r="G271" s="153"/>
      <c r="H271" s="252"/>
      <c r="I271" s="153"/>
      <c r="J271" s="153"/>
      <c r="K271" s="252"/>
      <c r="L271" s="153"/>
      <c r="M271" s="252"/>
      <c r="N271" s="153"/>
      <c r="O271" s="153"/>
      <c r="P271" s="153"/>
      <c r="Q271" s="152"/>
      <c r="R271" s="153"/>
      <c r="S271" s="153"/>
      <c r="T271" s="153"/>
      <c r="U271" s="153"/>
      <c r="V271" s="153"/>
      <c r="W271" s="153"/>
      <c r="X271" s="153"/>
      <c r="Y271" s="153"/>
      <c r="Z271" s="153"/>
      <c r="AA271" s="153"/>
    </row>
    <row r="272" ht="39.75" customHeight="1">
      <c r="A272" s="153"/>
      <c r="B272" s="153"/>
      <c r="C272" s="153"/>
      <c r="D272" s="153"/>
      <c r="E272" s="251"/>
      <c r="F272" s="251"/>
      <c r="G272" s="153"/>
      <c r="H272" s="252"/>
      <c r="I272" s="153"/>
      <c r="J272" s="153"/>
      <c r="K272" s="252"/>
      <c r="L272" s="153"/>
      <c r="M272" s="252"/>
      <c r="N272" s="153"/>
      <c r="O272" s="153"/>
      <c r="P272" s="153"/>
      <c r="Q272" s="152"/>
      <c r="R272" s="153"/>
      <c r="S272" s="153"/>
      <c r="T272" s="153"/>
      <c r="U272" s="153"/>
      <c r="V272" s="153"/>
      <c r="W272" s="153"/>
      <c r="X272" s="153"/>
      <c r="Y272" s="153"/>
      <c r="Z272" s="153"/>
      <c r="AA272" s="153"/>
    </row>
    <row r="273" ht="39.75" customHeight="1">
      <c r="A273" s="153"/>
      <c r="B273" s="153"/>
      <c r="C273" s="153"/>
      <c r="D273" s="153"/>
      <c r="E273" s="251"/>
      <c r="F273" s="251"/>
      <c r="G273" s="153"/>
      <c r="H273" s="252"/>
      <c r="I273" s="153"/>
      <c r="J273" s="153"/>
      <c r="K273" s="252"/>
      <c r="L273" s="153"/>
      <c r="M273" s="252"/>
      <c r="N273" s="153"/>
      <c r="O273" s="153"/>
      <c r="P273" s="153"/>
      <c r="Q273" s="152"/>
      <c r="R273" s="153"/>
      <c r="S273" s="153"/>
      <c r="T273" s="153"/>
      <c r="U273" s="153"/>
      <c r="V273" s="153"/>
      <c r="W273" s="153"/>
      <c r="X273" s="153"/>
      <c r="Y273" s="153"/>
      <c r="Z273" s="153"/>
      <c r="AA273" s="153"/>
    </row>
    <row r="274" ht="39.75" customHeight="1">
      <c r="A274" s="153"/>
      <c r="B274" s="153"/>
      <c r="C274" s="153"/>
      <c r="D274" s="153"/>
      <c r="E274" s="251"/>
      <c r="F274" s="251"/>
      <c r="G274" s="153"/>
      <c r="H274" s="252"/>
      <c r="I274" s="153"/>
      <c r="J274" s="153"/>
      <c r="K274" s="252"/>
      <c r="L274" s="153"/>
      <c r="M274" s="252"/>
      <c r="N274" s="153"/>
      <c r="O274" s="153"/>
      <c r="P274" s="153"/>
      <c r="Q274" s="152"/>
      <c r="R274" s="153"/>
      <c r="S274" s="153"/>
      <c r="T274" s="153"/>
      <c r="U274" s="153"/>
      <c r="V274" s="153"/>
      <c r="W274" s="153"/>
      <c r="X274" s="153"/>
      <c r="Y274" s="153"/>
      <c r="Z274" s="153"/>
      <c r="AA274" s="153"/>
    </row>
    <row r="275" ht="39.75" customHeight="1">
      <c r="A275" s="153"/>
      <c r="B275" s="153"/>
      <c r="C275" s="153"/>
      <c r="D275" s="153"/>
      <c r="E275" s="251"/>
      <c r="F275" s="251"/>
      <c r="G275" s="153"/>
      <c r="H275" s="252"/>
      <c r="I275" s="153"/>
      <c r="J275" s="153"/>
      <c r="K275" s="252"/>
      <c r="L275" s="153"/>
      <c r="M275" s="252"/>
      <c r="N275" s="153"/>
      <c r="O275" s="153"/>
      <c r="P275" s="153"/>
      <c r="Q275" s="152"/>
      <c r="R275" s="153"/>
      <c r="S275" s="153"/>
      <c r="T275" s="153"/>
      <c r="U275" s="153"/>
      <c r="V275" s="153"/>
      <c r="W275" s="153"/>
      <c r="X275" s="153"/>
      <c r="Y275" s="153"/>
      <c r="Z275" s="153"/>
      <c r="AA275" s="153"/>
    </row>
    <row r="276" ht="39.75" customHeight="1">
      <c r="A276" s="153"/>
      <c r="B276" s="153"/>
      <c r="C276" s="153"/>
      <c r="D276" s="153"/>
      <c r="E276" s="251"/>
      <c r="F276" s="251"/>
      <c r="G276" s="153"/>
      <c r="H276" s="252"/>
      <c r="I276" s="153"/>
      <c r="J276" s="153"/>
      <c r="K276" s="252"/>
      <c r="L276" s="153"/>
      <c r="M276" s="252"/>
      <c r="N276" s="153"/>
      <c r="O276" s="153"/>
      <c r="P276" s="153"/>
      <c r="Q276" s="152"/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</row>
    <row r="277" ht="39.75" customHeight="1">
      <c r="A277" s="153"/>
      <c r="B277" s="153"/>
      <c r="C277" s="153"/>
      <c r="D277" s="153"/>
      <c r="E277" s="251"/>
      <c r="F277" s="251"/>
      <c r="G277" s="153"/>
      <c r="H277" s="252"/>
      <c r="I277" s="153"/>
      <c r="J277" s="153"/>
      <c r="K277" s="252"/>
      <c r="L277" s="153"/>
      <c r="M277" s="252"/>
      <c r="N277" s="153"/>
      <c r="O277" s="153"/>
      <c r="P277" s="153"/>
      <c r="Q277" s="152"/>
      <c r="R277" s="153"/>
      <c r="S277" s="153"/>
      <c r="T277" s="153"/>
      <c r="U277" s="153"/>
      <c r="V277" s="153"/>
      <c r="W277" s="153"/>
      <c r="X277" s="153"/>
      <c r="Y277" s="153"/>
      <c r="Z277" s="153"/>
      <c r="AA277" s="153"/>
    </row>
    <row r="278" ht="39.75" customHeight="1">
      <c r="A278" s="153"/>
      <c r="B278" s="153"/>
      <c r="C278" s="153"/>
      <c r="D278" s="153"/>
      <c r="E278" s="251"/>
      <c r="F278" s="251"/>
      <c r="G278" s="153"/>
      <c r="H278" s="252"/>
      <c r="I278" s="153"/>
      <c r="J278" s="153"/>
      <c r="K278" s="252"/>
      <c r="L278" s="153"/>
      <c r="M278" s="252"/>
      <c r="N278" s="153"/>
      <c r="O278" s="153"/>
      <c r="P278" s="153"/>
      <c r="Q278" s="152"/>
      <c r="R278" s="153"/>
      <c r="S278" s="153"/>
      <c r="T278" s="153"/>
      <c r="U278" s="153"/>
      <c r="V278" s="153"/>
      <c r="W278" s="153"/>
      <c r="X278" s="153"/>
      <c r="Y278" s="153"/>
      <c r="Z278" s="153"/>
      <c r="AA278" s="153"/>
    </row>
    <row r="279" ht="39.75" customHeight="1">
      <c r="A279" s="153"/>
      <c r="B279" s="153"/>
      <c r="C279" s="153"/>
      <c r="D279" s="153"/>
      <c r="E279" s="251"/>
      <c r="F279" s="251"/>
      <c r="G279" s="153"/>
      <c r="H279" s="252"/>
      <c r="I279" s="153"/>
      <c r="J279" s="153"/>
      <c r="K279" s="252"/>
      <c r="L279" s="153"/>
      <c r="M279" s="252"/>
      <c r="N279" s="153"/>
      <c r="O279" s="153"/>
      <c r="P279" s="153"/>
      <c r="Q279" s="152"/>
      <c r="R279" s="153"/>
      <c r="S279" s="153"/>
      <c r="T279" s="153"/>
      <c r="U279" s="153"/>
      <c r="V279" s="153"/>
      <c r="W279" s="153"/>
      <c r="X279" s="153"/>
      <c r="Y279" s="153"/>
      <c r="Z279" s="153"/>
      <c r="AA279" s="153"/>
    </row>
    <row r="280" ht="39.75" customHeight="1">
      <c r="A280" s="153"/>
      <c r="B280" s="153"/>
      <c r="C280" s="153"/>
      <c r="D280" s="153"/>
      <c r="E280" s="251"/>
      <c r="F280" s="251"/>
      <c r="G280" s="153"/>
      <c r="H280" s="252"/>
      <c r="I280" s="153"/>
      <c r="J280" s="153"/>
      <c r="K280" s="252"/>
      <c r="L280" s="153"/>
      <c r="M280" s="252"/>
      <c r="N280" s="153"/>
      <c r="O280" s="153"/>
      <c r="P280" s="153"/>
      <c r="Q280" s="152"/>
      <c r="R280" s="153"/>
      <c r="S280" s="153"/>
      <c r="T280" s="153"/>
      <c r="U280" s="153"/>
      <c r="V280" s="153"/>
      <c r="W280" s="153"/>
      <c r="X280" s="153"/>
      <c r="Y280" s="153"/>
      <c r="Z280" s="153"/>
      <c r="AA280" s="153"/>
    </row>
    <row r="281" ht="39.75" customHeight="1">
      <c r="A281" s="153"/>
      <c r="B281" s="153"/>
      <c r="C281" s="153"/>
      <c r="D281" s="153"/>
      <c r="E281" s="251"/>
      <c r="F281" s="251"/>
      <c r="G281" s="153"/>
      <c r="H281" s="252"/>
      <c r="I281" s="153"/>
      <c r="J281" s="153"/>
      <c r="K281" s="252"/>
      <c r="L281" s="153"/>
      <c r="M281" s="252"/>
      <c r="N281" s="153"/>
      <c r="O281" s="153"/>
      <c r="P281" s="153"/>
      <c r="Q281" s="152"/>
      <c r="R281" s="153"/>
      <c r="S281" s="153"/>
      <c r="T281" s="153"/>
      <c r="U281" s="153"/>
      <c r="V281" s="153"/>
      <c r="W281" s="153"/>
      <c r="X281" s="153"/>
      <c r="Y281" s="153"/>
      <c r="Z281" s="153"/>
      <c r="AA281" s="153"/>
    </row>
    <row r="282" ht="39.75" customHeight="1">
      <c r="A282" s="153"/>
      <c r="B282" s="153"/>
      <c r="C282" s="153"/>
      <c r="D282" s="153"/>
      <c r="E282" s="251"/>
      <c r="F282" s="251"/>
      <c r="G282" s="153"/>
      <c r="H282" s="252"/>
      <c r="I282" s="153"/>
      <c r="J282" s="153"/>
      <c r="K282" s="252"/>
      <c r="L282" s="153"/>
      <c r="M282" s="252"/>
      <c r="N282" s="153"/>
      <c r="O282" s="153"/>
      <c r="P282" s="153"/>
      <c r="Q282" s="152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</row>
    <row r="283" ht="39.75" customHeight="1">
      <c r="A283" s="153"/>
      <c r="B283" s="153"/>
      <c r="C283" s="153"/>
      <c r="D283" s="153"/>
      <c r="E283" s="251"/>
      <c r="F283" s="251"/>
      <c r="G283" s="153"/>
      <c r="H283" s="252"/>
      <c r="I283" s="153"/>
      <c r="J283" s="153"/>
      <c r="K283" s="252"/>
      <c r="L283" s="153"/>
      <c r="M283" s="252"/>
      <c r="N283" s="153"/>
      <c r="O283" s="153"/>
      <c r="P283" s="153"/>
      <c r="Q283" s="152"/>
      <c r="R283" s="153"/>
      <c r="S283" s="153"/>
      <c r="T283" s="153"/>
      <c r="U283" s="153"/>
      <c r="V283" s="153"/>
      <c r="W283" s="153"/>
      <c r="X283" s="153"/>
      <c r="Y283" s="153"/>
      <c r="Z283" s="153"/>
      <c r="AA283" s="153"/>
    </row>
    <row r="284" ht="39.75" customHeight="1">
      <c r="A284" s="153"/>
      <c r="B284" s="153"/>
      <c r="C284" s="153"/>
      <c r="D284" s="153"/>
      <c r="E284" s="251"/>
      <c r="F284" s="251"/>
      <c r="G284" s="153"/>
      <c r="H284" s="252"/>
      <c r="I284" s="153"/>
      <c r="J284" s="153"/>
      <c r="K284" s="252"/>
      <c r="L284" s="153"/>
      <c r="M284" s="252"/>
      <c r="N284" s="153"/>
      <c r="O284" s="153"/>
      <c r="P284" s="153"/>
      <c r="Q284" s="152"/>
      <c r="R284" s="153"/>
      <c r="S284" s="153"/>
      <c r="T284" s="153"/>
      <c r="U284" s="153"/>
      <c r="V284" s="153"/>
      <c r="W284" s="153"/>
      <c r="X284" s="153"/>
      <c r="Y284" s="153"/>
      <c r="Z284" s="153"/>
      <c r="AA284" s="153"/>
    </row>
    <row r="285" ht="39.75" customHeight="1">
      <c r="A285" s="153"/>
      <c r="B285" s="153"/>
      <c r="C285" s="153"/>
      <c r="D285" s="153"/>
      <c r="E285" s="251"/>
      <c r="F285" s="251"/>
      <c r="G285" s="153"/>
      <c r="H285" s="252"/>
      <c r="I285" s="153"/>
      <c r="J285" s="153"/>
      <c r="K285" s="252"/>
      <c r="L285" s="153"/>
      <c r="M285" s="252"/>
      <c r="N285" s="153"/>
      <c r="O285" s="153"/>
      <c r="P285" s="153"/>
      <c r="Q285" s="152"/>
      <c r="R285" s="153"/>
      <c r="S285" s="153"/>
      <c r="T285" s="153"/>
      <c r="U285" s="153"/>
      <c r="V285" s="153"/>
      <c r="W285" s="153"/>
      <c r="X285" s="153"/>
      <c r="Y285" s="153"/>
      <c r="Z285" s="153"/>
      <c r="AA285" s="153"/>
    </row>
    <row r="286" ht="39.75" customHeight="1">
      <c r="A286" s="153"/>
      <c r="B286" s="153"/>
      <c r="C286" s="153"/>
      <c r="D286" s="153"/>
      <c r="E286" s="251"/>
      <c r="F286" s="251"/>
      <c r="G286" s="153"/>
      <c r="H286" s="252"/>
      <c r="I286" s="153"/>
      <c r="J286" s="153"/>
      <c r="K286" s="252"/>
      <c r="L286" s="153"/>
      <c r="M286" s="252"/>
      <c r="N286" s="153"/>
      <c r="O286" s="153"/>
      <c r="P286" s="153"/>
      <c r="Q286" s="152"/>
      <c r="R286" s="153"/>
      <c r="S286" s="153"/>
      <c r="T286" s="153"/>
      <c r="U286" s="153"/>
      <c r="V286" s="153"/>
      <c r="W286" s="153"/>
      <c r="X286" s="153"/>
      <c r="Y286" s="153"/>
      <c r="Z286" s="153"/>
      <c r="AA286" s="153"/>
    </row>
    <row r="287" ht="39.75" customHeight="1">
      <c r="A287" s="153"/>
      <c r="B287" s="153"/>
      <c r="C287" s="153"/>
      <c r="D287" s="153"/>
      <c r="E287" s="251"/>
      <c r="F287" s="251"/>
      <c r="G287" s="153"/>
      <c r="H287" s="252"/>
      <c r="I287" s="153"/>
      <c r="J287" s="153"/>
      <c r="K287" s="252"/>
      <c r="L287" s="153"/>
      <c r="M287" s="252"/>
      <c r="N287" s="153"/>
      <c r="O287" s="153"/>
      <c r="P287" s="153"/>
      <c r="Q287" s="152"/>
      <c r="R287" s="153"/>
      <c r="S287" s="153"/>
      <c r="T287" s="153"/>
      <c r="U287" s="153"/>
      <c r="V287" s="153"/>
      <c r="W287" s="153"/>
      <c r="X287" s="153"/>
      <c r="Y287" s="153"/>
      <c r="Z287" s="153"/>
      <c r="AA287" s="153"/>
    </row>
    <row r="288" ht="39.75" customHeight="1">
      <c r="A288" s="153"/>
      <c r="B288" s="153"/>
      <c r="C288" s="153"/>
      <c r="D288" s="153"/>
      <c r="E288" s="251"/>
      <c r="F288" s="251"/>
      <c r="G288" s="153"/>
      <c r="H288" s="252"/>
      <c r="I288" s="153"/>
      <c r="J288" s="153"/>
      <c r="K288" s="252"/>
      <c r="L288" s="153"/>
      <c r="M288" s="252"/>
      <c r="N288" s="153"/>
      <c r="O288" s="153"/>
      <c r="P288" s="153"/>
      <c r="Q288" s="152"/>
      <c r="R288" s="153"/>
      <c r="S288" s="153"/>
      <c r="T288" s="153"/>
      <c r="U288" s="153"/>
      <c r="V288" s="153"/>
      <c r="W288" s="153"/>
      <c r="X288" s="153"/>
      <c r="Y288" s="153"/>
      <c r="Z288" s="153"/>
      <c r="AA288" s="153"/>
    </row>
    <row r="289" ht="39.75" customHeight="1">
      <c r="A289" s="153"/>
      <c r="B289" s="153"/>
      <c r="C289" s="153"/>
      <c r="D289" s="153"/>
      <c r="E289" s="251"/>
      <c r="F289" s="251"/>
      <c r="G289" s="153"/>
      <c r="H289" s="252"/>
      <c r="I289" s="153"/>
      <c r="J289" s="153"/>
      <c r="K289" s="252"/>
      <c r="L289" s="153"/>
      <c r="M289" s="252"/>
      <c r="N289" s="153"/>
      <c r="O289" s="153"/>
      <c r="P289" s="153"/>
      <c r="Q289" s="152"/>
      <c r="R289" s="153"/>
      <c r="S289" s="153"/>
      <c r="T289" s="153"/>
      <c r="U289" s="153"/>
      <c r="V289" s="153"/>
      <c r="W289" s="153"/>
      <c r="X289" s="153"/>
      <c r="Y289" s="153"/>
      <c r="Z289" s="153"/>
      <c r="AA289" s="153"/>
    </row>
    <row r="290" ht="39.75" customHeight="1">
      <c r="A290" s="153"/>
      <c r="B290" s="153"/>
      <c r="C290" s="153"/>
      <c r="D290" s="153"/>
      <c r="E290" s="251"/>
      <c r="F290" s="251"/>
      <c r="G290" s="153"/>
      <c r="H290" s="252"/>
      <c r="I290" s="153"/>
      <c r="J290" s="153"/>
      <c r="K290" s="252"/>
      <c r="L290" s="153"/>
      <c r="M290" s="252"/>
      <c r="N290" s="153"/>
      <c r="O290" s="153"/>
      <c r="P290" s="153"/>
      <c r="Q290" s="152"/>
      <c r="R290" s="153"/>
      <c r="S290" s="153"/>
      <c r="T290" s="153"/>
      <c r="U290" s="153"/>
      <c r="V290" s="153"/>
      <c r="W290" s="153"/>
      <c r="X290" s="153"/>
      <c r="Y290" s="153"/>
      <c r="Z290" s="153"/>
      <c r="AA290" s="153"/>
    </row>
    <row r="291" ht="39.75" customHeight="1">
      <c r="A291" s="153"/>
      <c r="B291" s="153"/>
      <c r="C291" s="153"/>
      <c r="D291" s="153"/>
      <c r="E291" s="251"/>
      <c r="F291" s="251"/>
      <c r="G291" s="153"/>
      <c r="H291" s="252"/>
      <c r="I291" s="153"/>
      <c r="J291" s="153"/>
      <c r="K291" s="252"/>
      <c r="L291" s="153"/>
      <c r="M291" s="252"/>
      <c r="N291" s="153"/>
      <c r="O291" s="153"/>
      <c r="P291" s="153"/>
      <c r="Q291" s="152"/>
      <c r="R291" s="153"/>
      <c r="S291" s="153"/>
      <c r="T291" s="153"/>
      <c r="U291" s="153"/>
      <c r="V291" s="153"/>
      <c r="W291" s="153"/>
      <c r="X291" s="153"/>
      <c r="Y291" s="153"/>
      <c r="Z291" s="153"/>
      <c r="AA291" s="153"/>
    </row>
    <row r="292" ht="39.75" customHeight="1">
      <c r="A292" s="153"/>
      <c r="B292" s="153"/>
      <c r="C292" s="153"/>
      <c r="D292" s="153"/>
      <c r="E292" s="251"/>
      <c r="F292" s="251"/>
      <c r="G292" s="153"/>
      <c r="H292" s="252"/>
      <c r="I292" s="153"/>
      <c r="J292" s="153"/>
      <c r="K292" s="252"/>
      <c r="L292" s="153"/>
      <c r="M292" s="252"/>
      <c r="N292" s="153"/>
      <c r="O292" s="153"/>
      <c r="P292" s="153"/>
      <c r="Q292" s="152"/>
      <c r="R292" s="153"/>
      <c r="S292" s="153"/>
      <c r="T292" s="153"/>
      <c r="U292" s="153"/>
      <c r="V292" s="153"/>
      <c r="W292" s="153"/>
      <c r="X292" s="153"/>
      <c r="Y292" s="153"/>
      <c r="Z292" s="153"/>
      <c r="AA292" s="153"/>
    </row>
    <row r="293" ht="39.75" customHeight="1">
      <c r="A293" s="153"/>
      <c r="B293" s="153"/>
      <c r="C293" s="153"/>
      <c r="D293" s="153"/>
      <c r="E293" s="251"/>
      <c r="F293" s="251"/>
      <c r="G293" s="153"/>
      <c r="H293" s="252"/>
      <c r="I293" s="153"/>
      <c r="J293" s="153"/>
      <c r="K293" s="252"/>
      <c r="L293" s="153"/>
      <c r="M293" s="252"/>
      <c r="N293" s="153"/>
      <c r="O293" s="153"/>
      <c r="P293" s="153"/>
      <c r="Q293" s="152"/>
      <c r="R293" s="153"/>
      <c r="S293" s="153"/>
      <c r="T293" s="153"/>
      <c r="U293" s="153"/>
      <c r="V293" s="153"/>
      <c r="W293" s="153"/>
      <c r="X293" s="153"/>
      <c r="Y293" s="153"/>
      <c r="Z293" s="153"/>
      <c r="AA293" s="153"/>
    </row>
    <row r="294" ht="39.75" customHeight="1">
      <c r="A294" s="153"/>
      <c r="B294" s="153"/>
      <c r="C294" s="153"/>
      <c r="D294" s="153"/>
      <c r="E294" s="251"/>
      <c r="F294" s="251"/>
      <c r="G294" s="153"/>
      <c r="H294" s="252"/>
      <c r="I294" s="153"/>
      <c r="J294" s="153"/>
      <c r="K294" s="252"/>
      <c r="L294" s="153"/>
      <c r="M294" s="252"/>
      <c r="N294" s="153"/>
      <c r="O294" s="153"/>
      <c r="P294" s="153"/>
      <c r="Q294" s="152"/>
      <c r="R294" s="153"/>
      <c r="S294" s="153"/>
      <c r="T294" s="153"/>
      <c r="U294" s="153"/>
      <c r="V294" s="153"/>
      <c r="W294" s="153"/>
      <c r="X294" s="153"/>
      <c r="Y294" s="153"/>
      <c r="Z294" s="153"/>
      <c r="AA294" s="153"/>
    </row>
    <row r="295" ht="39.75" customHeight="1">
      <c r="A295" s="153"/>
      <c r="B295" s="153"/>
      <c r="C295" s="153"/>
      <c r="D295" s="153"/>
      <c r="E295" s="251"/>
      <c r="F295" s="251"/>
      <c r="G295" s="153"/>
      <c r="H295" s="252"/>
      <c r="I295" s="153"/>
      <c r="J295" s="153"/>
      <c r="K295" s="252"/>
      <c r="L295" s="153"/>
      <c r="M295" s="252"/>
      <c r="N295" s="153"/>
      <c r="O295" s="153"/>
      <c r="P295" s="153"/>
      <c r="Q295" s="152"/>
      <c r="R295" s="153"/>
      <c r="S295" s="153"/>
      <c r="T295" s="153"/>
      <c r="U295" s="153"/>
      <c r="V295" s="153"/>
      <c r="W295" s="153"/>
      <c r="X295" s="153"/>
      <c r="Y295" s="153"/>
      <c r="Z295" s="153"/>
      <c r="AA295" s="153"/>
    </row>
    <row r="296" ht="39.75" customHeight="1">
      <c r="A296" s="153"/>
      <c r="B296" s="153"/>
      <c r="C296" s="153"/>
      <c r="D296" s="153"/>
      <c r="E296" s="251"/>
      <c r="F296" s="251"/>
      <c r="G296" s="153"/>
      <c r="H296" s="252"/>
      <c r="I296" s="153"/>
      <c r="J296" s="153"/>
      <c r="K296" s="252"/>
      <c r="L296" s="153"/>
      <c r="M296" s="252"/>
      <c r="N296" s="153"/>
      <c r="O296" s="153"/>
      <c r="P296" s="153"/>
      <c r="Q296" s="152"/>
      <c r="R296" s="153"/>
      <c r="S296" s="153"/>
      <c r="T296" s="153"/>
      <c r="U296" s="153"/>
      <c r="V296" s="153"/>
      <c r="W296" s="153"/>
      <c r="X296" s="153"/>
      <c r="Y296" s="153"/>
      <c r="Z296" s="153"/>
      <c r="AA296" s="153"/>
    </row>
    <row r="297" ht="39.75" customHeight="1">
      <c r="A297" s="153"/>
      <c r="B297" s="153"/>
      <c r="C297" s="153"/>
      <c r="D297" s="153"/>
      <c r="E297" s="251"/>
      <c r="F297" s="251"/>
      <c r="G297" s="153"/>
      <c r="H297" s="252"/>
      <c r="I297" s="153"/>
      <c r="J297" s="153"/>
      <c r="K297" s="252"/>
      <c r="L297" s="153"/>
      <c r="M297" s="252"/>
      <c r="N297" s="153"/>
      <c r="O297" s="153"/>
      <c r="P297" s="153"/>
      <c r="Q297" s="152"/>
      <c r="R297" s="153"/>
      <c r="S297" s="153"/>
      <c r="T297" s="153"/>
      <c r="U297" s="153"/>
      <c r="V297" s="153"/>
      <c r="W297" s="153"/>
      <c r="X297" s="153"/>
      <c r="Y297" s="153"/>
      <c r="Z297" s="153"/>
      <c r="AA297" s="153"/>
    </row>
    <row r="298" ht="39.75" customHeight="1">
      <c r="A298" s="153"/>
      <c r="B298" s="153"/>
      <c r="C298" s="153"/>
      <c r="D298" s="153"/>
      <c r="E298" s="251"/>
      <c r="F298" s="251"/>
      <c r="G298" s="153"/>
      <c r="H298" s="252"/>
      <c r="I298" s="153"/>
      <c r="J298" s="153"/>
      <c r="K298" s="252"/>
      <c r="L298" s="153"/>
      <c r="M298" s="252"/>
      <c r="N298" s="153"/>
      <c r="O298" s="153"/>
      <c r="P298" s="153"/>
      <c r="Q298" s="152"/>
      <c r="R298" s="153"/>
      <c r="S298" s="153"/>
      <c r="T298" s="153"/>
      <c r="U298" s="153"/>
      <c r="V298" s="153"/>
      <c r="W298" s="153"/>
      <c r="X298" s="153"/>
      <c r="Y298" s="153"/>
      <c r="Z298" s="153"/>
      <c r="AA298" s="153"/>
    </row>
    <row r="299" ht="39.75" customHeight="1">
      <c r="A299" s="153"/>
      <c r="B299" s="153"/>
      <c r="C299" s="153"/>
      <c r="D299" s="153"/>
      <c r="E299" s="251"/>
      <c r="F299" s="251"/>
      <c r="G299" s="153"/>
      <c r="H299" s="252"/>
      <c r="I299" s="153"/>
      <c r="J299" s="153"/>
      <c r="K299" s="252"/>
      <c r="L299" s="153"/>
      <c r="M299" s="252"/>
      <c r="N299" s="153"/>
      <c r="O299" s="153"/>
      <c r="P299" s="153"/>
      <c r="Q299" s="152"/>
      <c r="R299" s="153"/>
      <c r="S299" s="153"/>
      <c r="T299" s="153"/>
      <c r="U299" s="153"/>
      <c r="V299" s="153"/>
      <c r="W299" s="153"/>
      <c r="X299" s="153"/>
      <c r="Y299" s="153"/>
      <c r="Z299" s="153"/>
      <c r="AA299" s="153"/>
    </row>
    <row r="300" ht="39.75" customHeight="1">
      <c r="A300" s="153"/>
      <c r="B300" s="153"/>
      <c r="C300" s="153"/>
      <c r="D300" s="153"/>
      <c r="E300" s="251"/>
      <c r="F300" s="251"/>
      <c r="G300" s="153"/>
      <c r="H300" s="252"/>
      <c r="I300" s="153"/>
      <c r="J300" s="153"/>
      <c r="K300" s="252"/>
      <c r="L300" s="153"/>
      <c r="M300" s="252"/>
      <c r="N300" s="153"/>
      <c r="O300" s="153"/>
      <c r="P300" s="153"/>
      <c r="Q300" s="152"/>
      <c r="R300" s="153"/>
      <c r="S300" s="153"/>
      <c r="T300" s="153"/>
      <c r="U300" s="153"/>
      <c r="V300" s="153"/>
      <c r="W300" s="153"/>
      <c r="X300" s="153"/>
      <c r="Y300" s="153"/>
      <c r="Z300" s="153"/>
      <c r="AA300" s="153"/>
    </row>
    <row r="301" ht="39.75" customHeight="1">
      <c r="A301" s="153"/>
      <c r="B301" s="153"/>
      <c r="C301" s="153"/>
      <c r="D301" s="153"/>
      <c r="E301" s="251"/>
      <c r="F301" s="251"/>
      <c r="G301" s="153"/>
      <c r="H301" s="252"/>
      <c r="I301" s="153"/>
      <c r="J301" s="153"/>
      <c r="K301" s="252"/>
      <c r="L301" s="153"/>
      <c r="M301" s="252"/>
      <c r="N301" s="153"/>
      <c r="O301" s="153"/>
      <c r="P301" s="153"/>
      <c r="Q301" s="152"/>
      <c r="R301" s="153"/>
      <c r="S301" s="153"/>
      <c r="T301" s="153"/>
      <c r="U301" s="153"/>
      <c r="V301" s="153"/>
      <c r="W301" s="153"/>
      <c r="X301" s="153"/>
      <c r="Y301" s="153"/>
      <c r="Z301" s="153"/>
      <c r="AA301" s="153"/>
    </row>
    <row r="302" ht="39.75" customHeight="1">
      <c r="A302" s="153"/>
      <c r="B302" s="153"/>
      <c r="C302" s="153"/>
      <c r="D302" s="153"/>
      <c r="E302" s="251"/>
      <c r="F302" s="251"/>
      <c r="G302" s="153"/>
      <c r="H302" s="252"/>
      <c r="I302" s="153"/>
      <c r="J302" s="153"/>
      <c r="K302" s="252"/>
      <c r="L302" s="153"/>
      <c r="M302" s="252"/>
      <c r="N302" s="153"/>
      <c r="O302" s="153"/>
      <c r="P302" s="153"/>
      <c r="Q302" s="152"/>
      <c r="R302" s="153"/>
      <c r="S302" s="153"/>
      <c r="T302" s="153"/>
      <c r="U302" s="153"/>
      <c r="V302" s="153"/>
      <c r="W302" s="153"/>
      <c r="X302" s="153"/>
      <c r="Y302" s="153"/>
      <c r="Z302" s="153"/>
      <c r="AA302" s="153"/>
    </row>
    <row r="303" ht="39.75" customHeight="1">
      <c r="A303" s="153"/>
      <c r="B303" s="153"/>
      <c r="C303" s="153"/>
      <c r="D303" s="153"/>
      <c r="E303" s="251"/>
      <c r="F303" s="251"/>
      <c r="G303" s="153"/>
      <c r="H303" s="252"/>
      <c r="I303" s="153"/>
      <c r="J303" s="153"/>
      <c r="K303" s="252"/>
      <c r="L303" s="153"/>
      <c r="M303" s="252"/>
      <c r="N303" s="153"/>
      <c r="O303" s="153"/>
      <c r="P303" s="153"/>
      <c r="Q303" s="152"/>
      <c r="R303" s="153"/>
      <c r="S303" s="153"/>
      <c r="T303" s="153"/>
      <c r="U303" s="153"/>
      <c r="V303" s="153"/>
      <c r="W303" s="153"/>
      <c r="X303" s="153"/>
      <c r="Y303" s="153"/>
      <c r="Z303" s="153"/>
      <c r="AA303" s="153"/>
    </row>
    <row r="304" ht="39.75" customHeight="1">
      <c r="A304" s="153"/>
      <c r="B304" s="153"/>
      <c r="C304" s="153"/>
      <c r="D304" s="153"/>
      <c r="E304" s="251"/>
      <c r="F304" s="251"/>
      <c r="G304" s="153"/>
      <c r="H304" s="252"/>
      <c r="I304" s="153"/>
      <c r="J304" s="153"/>
      <c r="K304" s="252"/>
      <c r="L304" s="153"/>
      <c r="M304" s="252"/>
      <c r="N304" s="153"/>
      <c r="O304" s="153"/>
      <c r="P304" s="153"/>
      <c r="Q304" s="152"/>
      <c r="R304" s="153"/>
      <c r="S304" s="153"/>
      <c r="T304" s="153"/>
      <c r="U304" s="153"/>
      <c r="V304" s="153"/>
      <c r="W304" s="153"/>
      <c r="X304" s="153"/>
      <c r="Y304" s="153"/>
      <c r="Z304" s="153"/>
      <c r="AA304" s="153"/>
    </row>
    <row r="305" ht="39.75" customHeight="1">
      <c r="A305" s="153"/>
      <c r="B305" s="153"/>
      <c r="C305" s="153"/>
      <c r="D305" s="153"/>
      <c r="E305" s="251"/>
      <c r="F305" s="251"/>
      <c r="G305" s="153"/>
      <c r="H305" s="252"/>
      <c r="I305" s="153"/>
      <c r="J305" s="153"/>
      <c r="K305" s="252"/>
      <c r="L305" s="153"/>
      <c r="M305" s="252"/>
      <c r="N305" s="153"/>
      <c r="O305" s="153"/>
      <c r="P305" s="153"/>
      <c r="Q305" s="152"/>
      <c r="R305" s="153"/>
      <c r="S305" s="153"/>
      <c r="T305" s="153"/>
      <c r="U305" s="153"/>
      <c r="V305" s="153"/>
      <c r="W305" s="153"/>
      <c r="X305" s="153"/>
      <c r="Y305" s="153"/>
      <c r="Z305" s="153"/>
      <c r="AA305" s="153"/>
    </row>
    <row r="306" ht="39.75" customHeight="1">
      <c r="A306" s="153"/>
      <c r="B306" s="153"/>
      <c r="C306" s="153"/>
      <c r="D306" s="153"/>
      <c r="E306" s="251"/>
      <c r="F306" s="251"/>
      <c r="G306" s="153"/>
      <c r="H306" s="252"/>
      <c r="I306" s="153"/>
      <c r="J306" s="153"/>
      <c r="K306" s="252"/>
      <c r="L306" s="153"/>
      <c r="M306" s="252"/>
      <c r="N306" s="153"/>
      <c r="O306" s="153"/>
      <c r="P306" s="153"/>
      <c r="Q306" s="152"/>
      <c r="R306" s="153"/>
      <c r="S306" s="153"/>
      <c r="T306" s="153"/>
      <c r="U306" s="153"/>
      <c r="V306" s="153"/>
      <c r="W306" s="153"/>
      <c r="X306" s="153"/>
      <c r="Y306" s="153"/>
      <c r="Z306" s="153"/>
      <c r="AA306" s="153"/>
    </row>
    <row r="307" ht="39.75" customHeight="1">
      <c r="A307" s="153"/>
      <c r="B307" s="153"/>
      <c r="C307" s="153"/>
      <c r="D307" s="153"/>
      <c r="E307" s="251"/>
      <c r="F307" s="251"/>
      <c r="G307" s="153"/>
      <c r="H307" s="252"/>
      <c r="I307" s="153"/>
      <c r="J307" s="153"/>
      <c r="K307" s="252"/>
      <c r="L307" s="153"/>
      <c r="M307" s="252"/>
      <c r="N307" s="153"/>
      <c r="O307" s="153"/>
      <c r="P307" s="153"/>
      <c r="Q307" s="152"/>
      <c r="R307" s="153"/>
      <c r="S307" s="153"/>
      <c r="T307" s="153"/>
      <c r="U307" s="153"/>
      <c r="V307" s="153"/>
      <c r="W307" s="153"/>
      <c r="X307" s="153"/>
      <c r="Y307" s="153"/>
      <c r="Z307" s="153"/>
      <c r="AA307" s="153"/>
    </row>
    <row r="308" ht="39.75" customHeight="1">
      <c r="A308" s="153"/>
      <c r="B308" s="153"/>
      <c r="C308" s="153"/>
      <c r="D308" s="153"/>
      <c r="E308" s="251"/>
      <c r="F308" s="251"/>
      <c r="G308" s="153"/>
      <c r="H308" s="252"/>
      <c r="I308" s="153"/>
      <c r="J308" s="153"/>
      <c r="K308" s="252"/>
      <c r="L308" s="153"/>
      <c r="M308" s="252"/>
      <c r="N308" s="153"/>
      <c r="O308" s="153"/>
      <c r="P308" s="153"/>
      <c r="Q308" s="152"/>
      <c r="R308" s="153"/>
      <c r="S308" s="153"/>
      <c r="T308" s="153"/>
      <c r="U308" s="153"/>
      <c r="V308" s="153"/>
      <c r="W308" s="153"/>
      <c r="X308" s="153"/>
      <c r="Y308" s="153"/>
      <c r="Z308" s="153"/>
      <c r="AA308" s="153"/>
    </row>
    <row r="309" ht="39.75" customHeight="1">
      <c r="A309" s="153"/>
      <c r="B309" s="153"/>
      <c r="C309" s="153"/>
      <c r="D309" s="153"/>
      <c r="E309" s="251"/>
      <c r="F309" s="251"/>
      <c r="G309" s="153"/>
      <c r="H309" s="252"/>
      <c r="I309" s="153"/>
      <c r="J309" s="153"/>
      <c r="K309" s="252"/>
      <c r="L309" s="153"/>
      <c r="M309" s="252"/>
      <c r="N309" s="153"/>
      <c r="O309" s="153"/>
      <c r="P309" s="153"/>
      <c r="Q309" s="152"/>
      <c r="R309" s="153"/>
      <c r="S309" s="153"/>
      <c r="T309" s="153"/>
      <c r="U309" s="153"/>
      <c r="V309" s="153"/>
      <c r="W309" s="153"/>
      <c r="X309" s="153"/>
      <c r="Y309" s="153"/>
      <c r="Z309" s="153"/>
      <c r="AA309" s="153"/>
    </row>
    <row r="310" ht="39.75" customHeight="1">
      <c r="A310" s="153"/>
      <c r="B310" s="153"/>
      <c r="C310" s="153"/>
      <c r="D310" s="153"/>
      <c r="E310" s="251"/>
      <c r="F310" s="251"/>
      <c r="G310" s="153"/>
      <c r="H310" s="252"/>
      <c r="I310" s="153"/>
      <c r="J310" s="153"/>
      <c r="K310" s="252"/>
      <c r="L310" s="153"/>
      <c r="M310" s="252"/>
      <c r="N310" s="153"/>
      <c r="O310" s="153"/>
      <c r="P310" s="153"/>
      <c r="Q310" s="152"/>
      <c r="R310" s="153"/>
      <c r="S310" s="153"/>
      <c r="T310" s="153"/>
      <c r="U310" s="153"/>
      <c r="V310" s="153"/>
      <c r="W310" s="153"/>
      <c r="X310" s="153"/>
      <c r="Y310" s="153"/>
      <c r="Z310" s="153"/>
      <c r="AA310" s="153"/>
    </row>
    <row r="311" ht="39.75" customHeight="1">
      <c r="A311" s="153"/>
      <c r="B311" s="153"/>
      <c r="C311" s="153"/>
      <c r="D311" s="153"/>
      <c r="E311" s="251"/>
      <c r="F311" s="251"/>
      <c r="G311" s="153"/>
      <c r="H311" s="252"/>
      <c r="I311" s="153"/>
      <c r="J311" s="153"/>
      <c r="K311" s="252"/>
      <c r="L311" s="153"/>
      <c r="M311" s="252"/>
      <c r="N311" s="153"/>
      <c r="O311" s="153"/>
      <c r="P311" s="153"/>
      <c r="Q311" s="152"/>
      <c r="R311" s="153"/>
      <c r="S311" s="153"/>
      <c r="T311" s="153"/>
      <c r="U311" s="153"/>
      <c r="V311" s="153"/>
      <c r="W311" s="153"/>
      <c r="X311" s="153"/>
      <c r="Y311" s="153"/>
      <c r="Z311" s="153"/>
      <c r="AA311" s="153"/>
    </row>
    <row r="312" ht="39.75" customHeight="1">
      <c r="A312" s="153"/>
      <c r="B312" s="153"/>
      <c r="C312" s="153"/>
      <c r="D312" s="153"/>
      <c r="E312" s="251"/>
      <c r="F312" s="251"/>
      <c r="G312" s="153"/>
      <c r="H312" s="252"/>
      <c r="I312" s="153"/>
      <c r="J312" s="153"/>
      <c r="K312" s="252"/>
      <c r="L312" s="153"/>
      <c r="M312" s="252"/>
      <c r="N312" s="153"/>
      <c r="O312" s="153"/>
      <c r="P312" s="153"/>
      <c r="Q312" s="152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</row>
    <row r="313" ht="39.75" customHeight="1">
      <c r="A313" s="153"/>
      <c r="B313" s="153"/>
      <c r="C313" s="153"/>
      <c r="D313" s="153"/>
      <c r="E313" s="251"/>
      <c r="F313" s="251"/>
      <c r="G313" s="153"/>
      <c r="H313" s="252"/>
      <c r="I313" s="153"/>
      <c r="J313" s="153"/>
      <c r="K313" s="252"/>
      <c r="L313" s="153"/>
      <c r="M313" s="252"/>
      <c r="N313" s="153"/>
      <c r="O313" s="153"/>
      <c r="P313" s="153"/>
      <c r="Q313" s="152"/>
      <c r="R313" s="153"/>
      <c r="S313" s="153"/>
      <c r="T313" s="153"/>
      <c r="U313" s="153"/>
      <c r="V313" s="153"/>
      <c r="W313" s="153"/>
      <c r="X313" s="153"/>
      <c r="Y313" s="153"/>
      <c r="Z313" s="153"/>
      <c r="AA313" s="153"/>
    </row>
    <row r="314" ht="39.75" customHeight="1">
      <c r="A314" s="153"/>
      <c r="B314" s="153"/>
      <c r="C314" s="153"/>
      <c r="D314" s="153"/>
      <c r="E314" s="251"/>
      <c r="F314" s="251"/>
      <c r="G314" s="153"/>
      <c r="H314" s="252"/>
      <c r="I314" s="153"/>
      <c r="J314" s="153"/>
      <c r="K314" s="252"/>
      <c r="L314" s="153"/>
      <c r="M314" s="252"/>
      <c r="N314" s="153"/>
      <c r="O314" s="153"/>
      <c r="P314" s="153"/>
      <c r="Q314" s="152"/>
      <c r="R314" s="153"/>
      <c r="S314" s="153"/>
      <c r="T314" s="153"/>
      <c r="U314" s="153"/>
      <c r="V314" s="153"/>
      <c r="W314" s="153"/>
      <c r="X314" s="153"/>
      <c r="Y314" s="153"/>
      <c r="Z314" s="153"/>
      <c r="AA314" s="153"/>
    </row>
    <row r="315" ht="39.75" customHeight="1">
      <c r="A315" s="153"/>
      <c r="B315" s="153"/>
      <c r="C315" s="153"/>
      <c r="D315" s="153"/>
      <c r="E315" s="251"/>
      <c r="F315" s="251"/>
      <c r="G315" s="153"/>
      <c r="H315" s="252"/>
      <c r="I315" s="153"/>
      <c r="J315" s="153"/>
      <c r="K315" s="252"/>
      <c r="L315" s="153"/>
      <c r="M315" s="252"/>
      <c r="N315" s="153"/>
      <c r="O315" s="153"/>
      <c r="P315" s="153"/>
      <c r="Q315" s="152"/>
      <c r="R315" s="153"/>
      <c r="S315" s="153"/>
      <c r="T315" s="153"/>
      <c r="U315" s="153"/>
      <c r="V315" s="153"/>
      <c r="W315" s="153"/>
      <c r="X315" s="153"/>
      <c r="Y315" s="153"/>
      <c r="Z315" s="153"/>
      <c r="AA315" s="153"/>
    </row>
    <row r="316" ht="39.75" customHeight="1">
      <c r="A316" s="153"/>
      <c r="B316" s="153"/>
      <c r="C316" s="153"/>
      <c r="D316" s="153"/>
      <c r="E316" s="251"/>
      <c r="F316" s="251"/>
      <c r="G316" s="153"/>
      <c r="H316" s="252"/>
      <c r="I316" s="153"/>
      <c r="J316" s="153"/>
      <c r="K316" s="252"/>
      <c r="L316" s="153"/>
      <c r="M316" s="252"/>
      <c r="N316" s="153"/>
      <c r="O316" s="153"/>
      <c r="P316" s="153"/>
      <c r="Q316" s="152"/>
      <c r="R316" s="153"/>
      <c r="S316" s="153"/>
      <c r="T316" s="153"/>
      <c r="U316" s="153"/>
      <c r="V316" s="153"/>
      <c r="W316" s="153"/>
      <c r="X316" s="153"/>
      <c r="Y316" s="153"/>
      <c r="Z316" s="153"/>
      <c r="AA316" s="153"/>
    </row>
    <row r="317" ht="39.75" customHeight="1">
      <c r="A317" s="153"/>
      <c r="B317" s="153"/>
      <c r="C317" s="153"/>
      <c r="D317" s="153"/>
      <c r="E317" s="251"/>
      <c r="F317" s="251"/>
      <c r="G317" s="153"/>
      <c r="H317" s="252"/>
      <c r="I317" s="153"/>
      <c r="J317" s="153"/>
      <c r="K317" s="252"/>
      <c r="L317" s="153"/>
      <c r="M317" s="252"/>
      <c r="N317" s="153"/>
      <c r="O317" s="153"/>
      <c r="P317" s="153"/>
      <c r="Q317" s="152"/>
      <c r="R317" s="153"/>
      <c r="S317" s="153"/>
      <c r="T317" s="153"/>
      <c r="U317" s="153"/>
      <c r="V317" s="153"/>
      <c r="W317" s="153"/>
      <c r="X317" s="153"/>
      <c r="Y317" s="153"/>
      <c r="Z317" s="153"/>
      <c r="AA317" s="153"/>
    </row>
    <row r="318" ht="39.75" customHeight="1">
      <c r="A318" s="153"/>
      <c r="B318" s="153"/>
      <c r="C318" s="153"/>
      <c r="D318" s="153"/>
      <c r="E318" s="251"/>
      <c r="F318" s="251"/>
      <c r="G318" s="153"/>
      <c r="H318" s="252"/>
      <c r="I318" s="153"/>
      <c r="J318" s="153"/>
      <c r="K318" s="252"/>
      <c r="L318" s="153"/>
      <c r="M318" s="252"/>
      <c r="N318" s="153"/>
      <c r="O318" s="153"/>
      <c r="P318" s="153"/>
      <c r="Q318" s="152"/>
      <c r="R318" s="153"/>
      <c r="S318" s="153"/>
      <c r="T318" s="153"/>
      <c r="U318" s="153"/>
      <c r="V318" s="153"/>
      <c r="W318" s="153"/>
      <c r="X318" s="153"/>
      <c r="Y318" s="153"/>
      <c r="Z318" s="153"/>
      <c r="AA318" s="153"/>
    </row>
    <row r="319" ht="39.75" customHeight="1">
      <c r="A319" s="153"/>
      <c r="B319" s="153"/>
      <c r="C319" s="153"/>
      <c r="D319" s="153"/>
      <c r="E319" s="251"/>
      <c r="F319" s="251"/>
      <c r="G319" s="153"/>
      <c r="H319" s="252"/>
      <c r="I319" s="153"/>
      <c r="J319" s="153"/>
      <c r="K319" s="252"/>
      <c r="L319" s="153"/>
      <c r="M319" s="252"/>
      <c r="N319" s="153"/>
      <c r="O319" s="153"/>
      <c r="P319" s="153"/>
      <c r="Q319" s="152"/>
      <c r="R319" s="153"/>
      <c r="S319" s="153"/>
      <c r="T319" s="153"/>
      <c r="U319" s="153"/>
      <c r="V319" s="153"/>
      <c r="W319" s="153"/>
      <c r="X319" s="153"/>
      <c r="Y319" s="153"/>
      <c r="Z319" s="153"/>
      <c r="AA319" s="153"/>
    </row>
    <row r="320" ht="39.75" customHeight="1">
      <c r="A320" s="153"/>
      <c r="B320" s="153"/>
      <c r="C320" s="153"/>
      <c r="D320" s="153"/>
      <c r="E320" s="251"/>
      <c r="F320" s="251"/>
      <c r="G320" s="153"/>
      <c r="H320" s="252"/>
      <c r="I320" s="153"/>
      <c r="J320" s="153"/>
      <c r="K320" s="252"/>
      <c r="L320" s="153"/>
      <c r="M320" s="252"/>
      <c r="N320" s="153"/>
      <c r="O320" s="153"/>
      <c r="P320" s="153"/>
      <c r="Q320" s="152"/>
      <c r="R320" s="153"/>
      <c r="S320" s="153"/>
      <c r="T320" s="153"/>
      <c r="U320" s="153"/>
      <c r="V320" s="153"/>
      <c r="W320" s="153"/>
      <c r="X320" s="153"/>
      <c r="Y320" s="153"/>
      <c r="Z320" s="153"/>
      <c r="AA320" s="153"/>
    </row>
    <row r="321" ht="39.75" customHeight="1">
      <c r="A321" s="153"/>
      <c r="B321" s="153"/>
      <c r="C321" s="153"/>
      <c r="D321" s="153"/>
      <c r="E321" s="251"/>
      <c r="F321" s="251"/>
      <c r="G321" s="153"/>
      <c r="H321" s="252"/>
      <c r="I321" s="153"/>
      <c r="J321" s="153"/>
      <c r="K321" s="252"/>
      <c r="L321" s="153"/>
      <c r="M321" s="252"/>
      <c r="N321" s="153"/>
      <c r="O321" s="153"/>
      <c r="P321" s="153"/>
      <c r="Q321" s="152"/>
      <c r="R321" s="153"/>
      <c r="S321" s="153"/>
      <c r="T321" s="153"/>
      <c r="U321" s="153"/>
      <c r="V321" s="153"/>
      <c r="W321" s="153"/>
      <c r="X321" s="153"/>
      <c r="Y321" s="153"/>
      <c r="Z321" s="153"/>
      <c r="AA321" s="153"/>
    </row>
    <row r="322" ht="39.75" customHeight="1">
      <c r="A322" s="153"/>
      <c r="B322" s="153"/>
      <c r="C322" s="153"/>
      <c r="D322" s="153"/>
      <c r="E322" s="251"/>
      <c r="F322" s="251"/>
      <c r="G322" s="153"/>
      <c r="H322" s="252"/>
      <c r="I322" s="153"/>
      <c r="J322" s="153"/>
      <c r="K322" s="252"/>
      <c r="L322" s="153"/>
      <c r="M322" s="252"/>
      <c r="N322" s="153"/>
      <c r="O322" s="153"/>
      <c r="P322" s="153"/>
      <c r="Q322" s="152"/>
      <c r="R322" s="153"/>
      <c r="S322" s="153"/>
      <c r="T322" s="153"/>
      <c r="U322" s="153"/>
      <c r="V322" s="153"/>
      <c r="W322" s="153"/>
      <c r="X322" s="153"/>
      <c r="Y322" s="153"/>
      <c r="Z322" s="153"/>
      <c r="AA322" s="153"/>
    </row>
    <row r="323" ht="39.75" customHeight="1">
      <c r="A323" s="153"/>
      <c r="B323" s="153"/>
      <c r="C323" s="153"/>
      <c r="D323" s="153"/>
      <c r="E323" s="251"/>
      <c r="F323" s="251"/>
      <c r="G323" s="153"/>
      <c r="H323" s="252"/>
      <c r="I323" s="153"/>
      <c r="J323" s="153"/>
      <c r="K323" s="252"/>
      <c r="L323" s="153"/>
      <c r="M323" s="252"/>
      <c r="N323" s="153"/>
      <c r="O323" s="153"/>
      <c r="P323" s="153"/>
      <c r="Q323" s="152"/>
      <c r="R323" s="153"/>
      <c r="S323" s="153"/>
      <c r="T323" s="153"/>
      <c r="U323" s="153"/>
      <c r="V323" s="153"/>
      <c r="W323" s="153"/>
      <c r="X323" s="153"/>
      <c r="Y323" s="153"/>
      <c r="Z323" s="153"/>
      <c r="AA323" s="153"/>
    </row>
    <row r="324" ht="39.75" customHeight="1">
      <c r="A324" s="153"/>
      <c r="B324" s="153"/>
      <c r="C324" s="153"/>
      <c r="D324" s="153"/>
      <c r="E324" s="251"/>
      <c r="F324" s="251"/>
      <c r="G324" s="153"/>
      <c r="H324" s="252"/>
      <c r="I324" s="153"/>
      <c r="J324" s="153"/>
      <c r="K324" s="252"/>
      <c r="L324" s="153"/>
      <c r="M324" s="252"/>
      <c r="N324" s="153"/>
      <c r="O324" s="153"/>
      <c r="P324" s="153"/>
      <c r="Q324" s="152"/>
      <c r="R324" s="153"/>
      <c r="S324" s="153"/>
      <c r="T324" s="153"/>
      <c r="U324" s="153"/>
      <c r="V324" s="153"/>
      <c r="W324" s="153"/>
      <c r="X324" s="153"/>
      <c r="Y324" s="153"/>
      <c r="Z324" s="153"/>
      <c r="AA324" s="153"/>
    </row>
    <row r="325" ht="39.75" customHeight="1">
      <c r="A325" s="153"/>
      <c r="B325" s="153"/>
      <c r="C325" s="153"/>
      <c r="D325" s="153"/>
      <c r="E325" s="251"/>
      <c r="F325" s="251"/>
      <c r="G325" s="153"/>
      <c r="H325" s="252"/>
      <c r="I325" s="153"/>
      <c r="J325" s="153"/>
      <c r="K325" s="252"/>
      <c r="L325" s="153"/>
      <c r="M325" s="252"/>
      <c r="N325" s="153"/>
      <c r="O325" s="153"/>
      <c r="P325" s="153"/>
      <c r="Q325" s="152"/>
      <c r="R325" s="153"/>
      <c r="S325" s="153"/>
      <c r="T325" s="153"/>
      <c r="U325" s="153"/>
      <c r="V325" s="153"/>
      <c r="W325" s="153"/>
      <c r="X325" s="153"/>
      <c r="Y325" s="153"/>
      <c r="Z325" s="153"/>
      <c r="AA325" s="153"/>
    </row>
    <row r="326" ht="39.75" customHeight="1">
      <c r="A326" s="153"/>
      <c r="B326" s="153"/>
      <c r="C326" s="153"/>
      <c r="D326" s="153"/>
      <c r="E326" s="251"/>
      <c r="F326" s="251"/>
      <c r="G326" s="153"/>
      <c r="H326" s="252"/>
      <c r="I326" s="153"/>
      <c r="J326" s="153"/>
      <c r="K326" s="252"/>
      <c r="L326" s="153"/>
      <c r="M326" s="252"/>
      <c r="N326" s="153"/>
      <c r="O326" s="153"/>
      <c r="P326" s="153"/>
      <c r="Q326" s="152"/>
      <c r="R326" s="153"/>
      <c r="S326" s="153"/>
      <c r="T326" s="153"/>
      <c r="U326" s="153"/>
      <c r="V326" s="153"/>
      <c r="W326" s="153"/>
      <c r="X326" s="153"/>
      <c r="Y326" s="153"/>
      <c r="Z326" s="153"/>
      <c r="AA326" s="153"/>
    </row>
    <row r="327" ht="39.75" customHeight="1">
      <c r="A327" s="153"/>
      <c r="B327" s="153"/>
      <c r="C327" s="153"/>
      <c r="D327" s="153"/>
      <c r="E327" s="251"/>
      <c r="F327" s="251"/>
      <c r="G327" s="153"/>
      <c r="H327" s="252"/>
      <c r="I327" s="153"/>
      <c r="J327" s="153"/>
      <c r="K327" s="252"/>
      <c r="L327" s="153"/>
      <c r="M327" s="252"/>
      <c r="N327" s="153"/>
      <c r="O327" s="153"/>
      <c r="P327" s="153"/>
      <c r="Q327" s="152"/>
      <c r="R327" s="153"/>
      <c r="S327" s="153"/>
      <c r="T327" s="153"/>
      <c r="U327" s="153"/>
      <c r="V327" s="153"/>
      <c r="W327" s="153"/>
      <c r="X327" s="153"/>
      <c r="Y327" s="153"/>
      <c r="Z327" s="153"/>
      <c r="AA327" s="153"/>
    </row>
    <row r="328" ht="39.75" customHeight="1">
      <c r="A328" s="153"/>
      <c r="B328" s="153"/>
      <c r="C328" s="153"/>
      <c r="D328" s="153"/>
      <c r="E328" s="251"/>
      <c r="F328" s="251"/>
      <c r="G328" s="153"/>
      <c r="H328" s="252"/>
      <c r="I328" s="153"/>
      <c r="J328" s="153"/>
      <c r="K328" s="252"/>
      <c r="L328" s="153"/>
      <c r="M328" s="252"/>
      <c r="N328" s="153"/>
      <c r="O328" s="153"/>
      <c r="P328" s="153"/>
      <c r="Q328" s="152"/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</row>
    <row r="329" ht="39.75" customHeight="1">
      <c r="A329" s="153"/>
      <c r="B329" s="153"/>
      <c r="C329" s="153"/>
      <c r="D329" s="153"/>
      <c r="E329" s="251"/>
      <c r="F329" s="251"/>
      <c r="G329" s="153"/>
      <c r="H329" s="252"/>
      <c r="I329" s="153"/>
      <c r="J329" s="153"/>
      <c r="K329" s="252"/>
      <c r="L329" s="153"/>
      <c r="M329" s="252"/>
      <c r="N329" s="153"/>
      <c r="O329" s="153"/>
      <c r="P329" s="153"/>
      <c r="Q329" s="152"/>
      <c r="R329" s="153"/>
      <c r="S329" s="153"/>
      <c r="T329" s="153"/>
      <c r="U329" s="153"/>
      <c r="V329" s="153"/>
      <c r="W329" s="153"/>
      <c r="X329" s="153"/>
      <c r="Y329" s="153"/>
      <c r="Z329" s="153"/>
      <c r="AA329" s="153"/>
    </row>
    <row r="330" ht="39.75" customHeight="1">
      <c r="A330" s="153"/>
      <c r="B330" s="153"/>
      <c r="C330" s="153"/>
      <c r="D330" s="153"/>
      <c r="E330" s="251"/>
      <c r="F330" s="251"/>
      <c r="G330" s="153"/>
      <c r="H330" s="252"/>
      <c r="I330" s="153"/>
      <c r="J330" s="153"/>
      <c r="K330" s="252"/>
      <c r="L330" s="153"/>
      <c r="M330" s="252"/>
      <c r="N330" s="153"/>
      <c r="O330" s="153"/>
      <c r="P330" s="153"/>
      <c r="Q330" s="152"/>
      <c r="R330" s="153"/>
      <c r="S330" s="153"/>
      <c r="T330" s="153"/>
      <c r="U330" s="153"/>
      <c r="V330" s="153"/>
      <c r="W330" s="153"/>
      <c r="X330" s="153"/>
      <c r="Y330" s="153"/>
      <c r="Z330" s="153"/>
      <c r="AA330" s="153"/>
    </row>
    <row r="331" ht="39.75" customHeight="1">
      <c r="A331" s="153"/>
      <c r="B331" s="153"/>
      <c r="C331" s="153"/>
      <c r="D331" s="153"/>
      <c r="E331" s="251"/>
      <c r="F331" s="251"/>
      <c r="G331" s="153"/>
      <c r="H331" s="252"/>
      <c r="I331" s="153"/>
      <c r="J331" s="153"/>
      <c r="K331" s="252"/>
      <c r="L331" s="153"/>
      <c r="M331" s="252"/>
      <c r="N331" s="153"/>
      <c r="O331" s="153"/>
      <c r="P331" s="153"/>
      <c r="Q331" s="152"/>
      <c r="R331" s="153"/>
      <c r="S331" s="153"/>
      <c r="T331" s="153"/>
      <c r="U331" s="153"/>
      <c r="V331" s="153"/>
      <c r="W331" s="153"/>
      <c r="X331" s="153"/>
      <c r="Y331" s="153"/>
      <c r="Z331" s="153"/>
      <c r="AA331" s="153"/>
    </row>
    <row r="332" ht="39.75" customHeight="1">
      <c r="A332" s="153"/>
      <c r="B332" s="153"/>
      <c r="C332" s="153"/>
      <c r="D332" s="153"/>
      <c r="E332" s="251"/>
      <c r="F332" s="251"/>
      <c r="G332" s="153"/>
      <c r="H332" s="252"/>
      <c r="I332" s="153"/>
      <c r="J332" s="153"/>
      <c r="K332" s="252"/>
      <c r="L332" s="153"/>
      <c r="M332" s="252"/>
      <c r="N332" s="153"/>
      <c r="O332" s="153"/>
      <c r="P332" s="153"/>
      <c r="Q332" s="152"/>
      <c r="R332" s="153"/>
      <c r="S332" s="153"/>
      <c r="T332" s="153"/>
      <c r="U332" s="153"/>
      <c r="V332" s="153"/>
      <c r="W332" s="153"/>
      <c r="X332" s="153"/>
      <c r="Y332" s="153"/>
      <c r="Z332" s="153"/>
      <c r="AA332" s="153"/>
    </row>
    <row r="333" ht="39.75" customHeight="1">
      <c r="A333" s="153"/>
      <c r="B333" s="153"/>
      <c r="C333" s="153"/>
      <c r="D333" s="153"/>
      <c r="E333" s="251"/>
      <c r="F333" s="251"/>
      <c r="G333" s="153"/>
      <c r="H333" s="252"/>
      <c r="I333" s="153"/>
      <c r="J333" s="153"/>
      <c r="K333" s="252"/>
      <c r="L333" s="153"/>
      <c r="M333" s="252"/>
      <c r="N333" s="153"/>
      <c r="O333" s="153"/>
      <c r="P333" s="153"/>
      <c r="Q333" s="152"/>
      <c r="R333" s="153"/>
      <c r="S333" s="153"/>
      <c r="T333" s="153"/>
      <c r="U333" s="153"/>
      <c r="V333" s="153"/>
      <c r="W333" s="153"/>
      <c r="X333" s="153"/>
      <c r="Y333" s="153"/>
      <c r="Z333" s="153"/>
      <c r="AA333" s="153"/>
    </row>
    <row r="334" ht="39.75" customHeight="1">
      <c r="A334" s="153"/>
      <c r="B334" s="153"/>
      <c r="C334" s="153"/>
      <c r="D334" s="153"/>
      <c r="E334" s="251"/>
      <c r="F334" s="251"/>
      <c r="G334" s="153"/>
      <c r="H334" s="252"/>
      <c r="I334" s="153"/>
      <c r="J334" s="153"/>
      <c r="K334" s="252"/>
      <c r="L334" s="153"/>
      <c r="M334" s="252"/>
      <c r="N334" s="153"/>
      <c r="O334" s="153"/>
      <c r="P334" s="153"/>
      <c r="Q334" s="152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</row>
    <row r="335" ht="39.75" customHeight="1">
      <c r="A335" s="153"/>
      <c r="B335" s="153"/>
      <c r="C335" s="153"/>
      <c r="D335" s="153"/>
      <c r="E335" s="251"/>
      <c r="F335" s="251"/>
      <c r="G335" s="153"/>
      <c r="H335" s="252"/>
      <c r="I335" s="153"/>
      <c r="J335" s="153"/>
      <c r="K335" s="252"/>
      <c r="L335" s="153"/>
      <c r="M335" s="252"/>
      <c r="N335" s="153"/>
      <c r="O335" s="153"/>
      <c r="P335" s="153"/>
      <c r="Q335" s="152"/>
      <c r="R335" s="153"/>
      <c r="S335" s="153"/>
      <c r="T335" s="153"/>
      <c r="U335" s="153"/>
      <c r="V335" s="153"/>
      <c r="W335" s="153"/>
      <c r="X335" s="153"/>
      <c r="Y335" s="153"/>
      <c r="Z335" s="153"/>
      <c r="AA335" s="153"/>
    </row>
    <row r="336" ht="39.75" customHeight="1">
      <c r="A336" s="153"/>
      <c r="B336" s="153"/>
      <c r="C336" s="153"/>
      <c r="D336" s="153"/>
      <c r="E336" s="251"/>
      <c r="F336" s="251"/>
      <c r="G336" s="153"/>
      <c r="H336" s="252"/>
      <c r="I336" s="153"/>
      <c r="J336" s="153"/>
      <c r="K336" s="252"/>
      <c r="L336" s="153"/>
      <c r="M336" s="252"/>
      <c r="N336" s="153"/>
      <c r="O336" s="153"/>
      <c r="P336" s="153"/>
      <c r="Q336" s="152"/>
      <c r="R336" s="153"/>
      <c r="S336" s="153"/>
      <c r="T336" s="153"/>
      <c r="U336" s="153"/>
      <c r="V336" s="153"/>
      <c r="W336" s="153"/>
      <c r="X336" s="153"/>
      <c r="Y336" s="153"/>
      <c r="Z336" s="153"/>
      <c r="AA336" s="153"/>
    </row>
    <row r="337" ht="39.75" customHeight="1">
      <c r="A337" s="153"/>
      <c r="B337" s="153"/>
      <c r="C337" s="153"/>
      <c r="D337" s="153"/>
      <c r="E337" s="251"/>
      <c r="F337" s="251"/>
      <c r="G337" s="153"/>
      <c r="H337" s="252"/>
      <c r="I337" s="153"/>
      <c r="J337" s="153"/>
      <c r="K337" s="252"/>
      <c r="L337" s="153"/>
      <c r="M337" s="252"/>
      <c r="N337" s="153"/>
      <c r="O337" s="153"/>
      <c r="P337" s="153"/>
      <c r="Q337" s="152"/>
      <c r="R337" s="153"/>
      <c r="S337" s="153"/>
      <c r="T337" s="153"/>
      <c r="U337" s="153"/>
      <c r="V337" s="153"/>
      <c r="W337" s="153"/>
      <c r="X337" s="153"/>
      <c r="Y337" s="153"/>
      <c r="Z337" s="153"/>
      <c r="AA337" s="153"/>
    </row>
    <row r="338" ht="39.75" customHeight="1">
      <c r="A338" s="153"/>
      <c r="B338" s="153"/>
      <c r="C338" s="153"/>
      <c r="D338" s="153"/>
      <c r="E338" s="251"/>
      <c r="F338" s="251"/>
      <c r="G338" s="153"/>
      <c r="H338" s="252"/>
      <c r="I338" s="153"/>
      <c r="J338" s="153"/>
      <c r="K338" s="252"/>
      <c r="L338" s="153"/>
      <c r="M338" s="252"/>
      <c r="N338" s="153"/>
      <c r="O338" s="153"/>
      <c r="P338" s="153"/>
      <c r="Q338" s="152"/>
      <c r="R338" s="153"/>
      <c r="S338" s="153"/>
      <c r="T338" s="153"/>
      <c r="U338" s="153"/>
      <c r="V338" s="153"/>
      <c r="W338" s="153"/>
      <c r="X338" s="153"/>
      <c r="Y338" s="153"/>
      <c r="Z338" s="153"/>
      <c r="AA338" s="153"/>
    </row>
    <row r="339" ht="39.75" customHeight="1">
      <c r="A339" s="153"/>
      <c r="B339" s="153"/>
      <c r="C339" s="153"/>
      <c r="D339" s="153"/>
      <c r="E339" s="251"/>
      <c r="F339" s="251"/>
      <c r="G339" s="153"/>
      <c r="H339" s="252"/>
      <c r="I339" s="153"/>
      <c r="J339" s="153"/>
      <c r="K339" s="252"/>
      <c r="L339" s="153"/>
      <c r="M339" s="252"/>
      <c r="N339" s="153"/>
      <c r="O339" s="153"/>
      <c r="P339" s="153"/>
      <c r="Q339" s="152"/>
      <c r="R339" s="153"/>
      <c r="S339" s="153"/>
      <c r="T339" s="153"/>
      <c r="U339" s="153"/>
      <c r="V339" s="153"/>
      <c r="W339" s="153"/>
      <c r="X339" s="153"/>
      <c r="Y339" s="153"/>
      <c r="Z339" s="153"/>
      <c r="AA339" s="153"/>
    </row>
    <row r="340" ht="39.75" customHeight="1">
      <c r="A340" s="153"/>
      <c r="B340" s="153"/>
      <c r="C340" s="153"/>
      <c r="D340" s="153"/>
      <c r="E340" s="251"/>
      <c r="F340" s="251"/>
      <c r="G340" s="153"/>
      <c r="H340" s="252"/>
      <c r="I340" s="153"/>
      <c r="J340" s="153"/>
      <c r="K340" s="252"/>
      <c r="L340" s="153"/>
      <c r="M340" s="252"/>
      <c r="N340" s="153"/>
      <c r="O340" s="153"/>
      <c r="P340" s="153"/>
      <c r="Q340" s="152"/>
      <c r="R340" s="153"/>
      <c r="S340" s="153"/>
      <c r="T340" s="153"/>
      <c r="U340" s="153"/>
      <c r="V340" s="153"/>
      <c r="W340" s="153"/>
      <c r="X340" s="153"/>
      <c r="Y340" s="153"/>
      <c r="Z340" s="153"/>
      <c r="AA340" s="153"/>
    </row>
    <row r="341" ht="39.75" customHeight="1">
      <c r="A341" s="153"/>
      <c r="B341" s="153"/>
      <c r="C341" s="153"/>
      <c r="D341" s="153"/>
      <c r="E341" s="251"/>
      <c r="F341" s="251"/>
      <c r="G341" s="153"/>
      <c r="H341" s="252"/>
      <c r="I341" s="153"/>
      <c r="J341" s="153"/>
      <c r="K341" s="252"/>
      <c r="L341" s="153"/>
      <c r="M341" s="252"/>
      <c r="N341" s="153"/>
      <c r="O341" s="153"/>
      <c r="P341" s="153"/>
      <c r="Q341" s="152"/>
      <c r="R341" s="153"/>
      <c r="S341" s="153"/>
      <c r="T341" s="153"/>
      <c r="U341" s="153"/>
      <c r="V341" s="153"/>
      <c r="W341" s="153"/>
      <c r="X341" s="153"/>
      <c r="Y341" s="153"/>
      <c r="Z341" s="153"/>
      <c r="AA341" s="153"/>
    </row>
    <row r="342" ht="39.75" customHeight="1">
      <c r="A342" s="153"/>
      <c r="B342" s="153"/>
      <c r="C342" s="153"/>
      <c r="D342" s="153"/>
      <c r="E342" s="251"/>
      <c r="F342" s="251"/>
      <c r="G342" s="153"/>
      <c r="H342" s="252"/>
      <c r="I342" s="153"/>
      <c r="J342" s="153"/>
      <c r="K342" s="252"/>
      <c r="L342" s="153"/>
      <c r="M342" s="252"/>
      <c r="N342" s="153"/>
      <c r="O342" s="153"/>
      <c r="P342" s="153"/>
      <c r="Q342" s="152"/>
      <c r="R342" s="153"/>
      <c r="S342" s="153"/>
      <c r="T342" s="153"/>
      <c r="U342" s="153"/>
      <c r="V342" s="153"/>
      <c r="W342" s="153"/>
      <c r="X342" s="153"/>
      <c r="Y342" s="153"/>
      <c r="Z342" s="153"/>
      <c r="AA342" s="153"/>
    </row>
    <row r="343" ht="39.75" customHeight="1">
      <c r="A343" s="153"/>
      <c r="B343" s="153"/>
      <c r="C343" s="153"/>
      <c r="D343" s="153"/>
      <c r="E343" s="251"/>
      <c r="F343" s="251"/>
      <c r="G343" s="153"/>
      <c r="H343" s="252"/>
      <c r="I343" s="153"/>
      <c r="J343" s="153"/>
      <c r="K343" s="252"/>
      <c r="L343" s="153"/>
      <c r="M343" s="252"/>
      <c r="N343" s="153"/>
      <c r="O343" s="153"/>
      <c r="P343" s="153"/>
      <c r="Q343" s="152"/>
      <c r="R343" s="153"/>
      <c r="S343" s="153"/>
      <c r="T343" s="153"/>
      <c r="U343" s="153"/>
      <c r="V343" s="153"/>
      <c r="W343" s="153"/>
      <c r="X343" s="153"/>
      <c r="Y343" s="153"/>
      <c r="Z343" s="153"/>
      <c r="AA343" s="153"/>
    </row>
    <row r="344" ht="39.75" customHeight="1">
      <c r="A344" s="153"/>
      <c r="B344" s="153"/>
      <c r="C344" s="153"/>
      <c r="D344" s="153"/>
      <c r="E344" s="251"/>
      <c r="F344" s="251"/>
      <c r="G344" s="153"/>
      <c r="H344" s="252"/>
      <c r="I344" s="153"/>
      <c r="J344" s="153"/>
      <c r="K344" s="252"/>
      <c r="L344" s="153"/>
      <c r="M344" s="252"/>
      <c r="N344" s="153"/>
      <c r="O344" s="153"/>
      <c r="P344" s="153"/>
      <c r="Q344" s="152"/>
      <c r="R344" s="153"/>
      <c r="S344" s="153"/>
      <c r="T344" s="153"/>
      <c r="U344" s="153"/>
      <c r="V344" s="153"/>
      <c r="W344" s="153"/>
      <c r="X344" s="153"/>
      <c r="Y344" s="153"/>
      <c r="Z344" s="153"/>
      <c r="AA344" s="153"/>
    </row>
    <row r="345" ht="39.75" customHeight="1">
      <c r="A345" s="153"/>
      <c r="B345" s="153"/>
      <c r="C345" s="153"/>
      <c r="D345" s="153"/>
      <c r="E345" s="251"/>
      <c r="F345" s="251"/>
      <c r="G345" s="153"/>
      <c r="H345" s="252"/>
      <c r="I345" s="153"/>
      <c r="J345" s="153"/>
      <c r="K345" s="252"/>
      <c r="L345" s="153"/>
      <c r="M345" s="252"/>
      <c r="N345" s="153"/>
      <c r="O345" s="153"/>
      <c r="P345" s="153"/>
      <c r="Q345" s="152"/>
      <c r="R345" s="153"/>
      <c r="S345" s="153"/>
      <c r="T345" s="153"/>
      <c r="U345" s="153"/>
      <c r="V345" s="153"/>
      <c r="W345" s="153"/>
      <c r="X345" s="153"/>
      <c r="Y345" s="153"/>
      <c r="Z345" s="153"/>
      <c r="AA345" s="153"/>
    </row>
    <row r="346" ht="39.75" customHeight="1">
      <c r="A346" s="153"/>
      <c r="B346" s="153"/>
      <c r="C346" s="153"/>
      <c r="D346" s="153"/>
      <c r="E346" s="251"/>
      <c r="F346" s="251"/>
      <c r="G346" s="153"/>
      <c r="H346" s="252"/>
      <c r="I346" s="153"/>
      <c r="J346" s="153"/>
      <c r="K346" s="252"/>
      <c r="L346" s="153"/>
      <c r="M346" s="252"/>
      <c r="N346" s="153"/>
      <c r="O346" s="153"/>
      <c r="P346" s="153"/>
      <c r="Q346" s="152"/>
      <c r="R346" s="153"/>
      <c r="S346" s="153"/>
      <c r="T346" s="153"/>
      <c r="U346" s="153"/>
      <c r="V346" s="153"/>
      <c r="W346" s="153"/>
      <c r="X346" s="153"/>
      <c r="Y346" s="153"/>
      <c r="Z346" s="153"/>
      <c r="AA346" s="153"/>
    </row>
    <row r="347" ht="39.75" customHeight="1">
      <c r="A347" s="153"/>
      <c r="B347" s="153"/>
      <c r="C347" s="153"/>
      <c r="D347" s="153"/>
      <c r="E347" s="251"/>
      <c r="F347" s="251"/>
      <c r="G347" s="153"/>
      <c r="H347" s="252"/>
      <c r="I347" s="153"/>
      <c r="J347" s="153"/>
      <c r="K347" s="252"/>
      <c r="L347" s="153"/>
      <c r="M347" s="252"/>
      <c r="N347" s="153"/>
      <c r="O347" s="153"/>
      <c r="P347" s="153"/>
      <c r="Q347" s="152"/>
      <c r="R347" s="153"/>
      <c r="S347" s="153"/>
      <c r="T347" s="153"/>
      <c r="U347" s="153"/>
      <c r="V347" s="153"/>
      <c r="W347" s="153"/>
      <c r="X347" s="153"/>
      <c r="Y347" s="153"/>
      <c r="Z347" s="153"/>
      <c r="AA347" s="153"/>
    </row>
    <row r="348" ht="39.75" customHeight="1">
      <c r="A348" s="153"/>
      <c r="B348" s="153"/>
      <c r="C348" s="153"/>
      <c r="D348" s="153"/>
      <c r="E348" s="251"/>
      <c r="F348" s="251"/>
      <c r="G348" s="153"/>
      <c r="H348" s="252"/>
      <c r="I348" s="153"/>
      <c r="J348" s="153"/>
      <c r="K348" s="252"/>
      <c r="L348" s="153"/>
      <c r="M348" s="252"/>
      <c r="N348" s="153"/>
      <c r="O348" s="153"/>
      <c r="P348" s="153"/>
      <c r="Q348" s="152"/>
      <c r="R348" s="153"/>
      <c r="S348" s="153"/>
      <c r="T348" s="153"/>
      <c r="U348" s="153"/>
      <c r="V348" s="153"/>
      <c r="W348" s="153"/>
      <c r="X348" s="153"/>
      <c r="Y348" s="153"/>
      <c r="Z348" s="153"/>
      <c r="AA348" s="153"/>
    </row>
    <row r="349" ht="39.75" customHeight="1">
      <c r="A349" s="153"/>
      <c r="B349" s="153"/>
      <c r="C349" s="153"/>
      <c r="D349" s="153"/>
      <c r="E349" s="251"/>
      <c r="F349" s="251"/>
      <c r="G349" s="153"/>
      <c r="H349" s="252"/>
      <c r="I349" s="153"/>
      <c r="J349" s="153"/>
      <c r="K349" s="252"/>
      <c r="L349" s="153"/>
      <c r="M349" s="252"/>
      <c r="N349" s="153"/>
      <c r="O349" s="153"/>
      <c r="P349" s="153"/>
      <c r="Q349" s="152"/>
      <c r="R349" s="153"/>
      <c r="S349" s="153"/>
      <c r="T349" s="153"/>
      <c r="U349" s="153"/>
      <c r="V349" s="153"/>
      <c r="W349" s="153"/>
      <c r="X349" s="153"/>
      <c r="Y349" s="153"/>
      <c r="Z349" s="153"/>
      <c r="AA349" s="153"/>
    </row>
    <row r="350" ht="39.75" customHeight="1">
      <c r="A350" s="153"/>
      <c r="B350" s="153"/>
      <c r="C350" s="153"/>
      <c r="D350" s="153"/>
      <c r="E350" s="251"/>
      <c r="F350" s="251"/>
      <c r="G350" s="153"/>
      <c r="H350" s="252"/>
      <c r="I350" s="153"/>
      <c r="J350" s="153"/>
      <c r="K350" s="252"/>
      <c r="L350" s="153"/>
      <c r="M350" s="252"/>
      <c r="N350" s="153"/>
      <c r="O350" s="153"/>
      <c r="P350" s="153"/>
      <c r="Q350" s="152"/>
      <c r="R350" s="153"/>
      <c r="S350" s="153"/>
      <c r="T350" s="153"/>
      <c r="U350" s="153"/>
      <c r="V350" s="153"/>
      <c r="W350" s="153"/>
      <c r="X350" s="153"/>
      <c r="Y350" s="153"/>
      <c r="Z350" s="153"/>
      <c r="AA350" s="153"/>
    </row>
    <row r="351" ht="39.75" customHeight="1">
      <c r="A351" s="153"/>
      <c r="B351" s="153"/>
      <c r="C351" s="153"/>
      <c r="D351" s="153"/>
      <c r="E351" s="251"/>
      <c r="F351" s="251"/>
      <c r="G351" s="153"/>
      <c r="H351" s="252"/>
      <c r="I351" s="153"/>
      <c r="J351" s="153"/>
      <c r="K351" s="252"/>
      <c r="L351" s="153"/>
      <c r="M351" s="252"/>
      <c r="N351" s="153"/>
      <c r="O351" s="153"/>
      <c r="P351" s="153"/>
      <c r="Q351" s="152"/>
      <c r="R351" s="153"/>
      <c r="S351" s="153"/>
      <c r="T351" s="153"/>
      <c r="U351" s="153"/>
      <c r="V351" s="153"/>
      <c r="W351" s="153"/>
      <c r="X351" s="153"/>
      <c r="Y351" s="153"/>
      <c r="Z351" s="153"/>
      <c r="AA351" s="153"/>
    </row>
    <row r="352" ht="39.75" customHeight="1">
      <c r="A352" s="153"/>
      <c r="B352" s="153"/>
      <c r="C352" s="153"/>
      <c r="D352" s="153"/>
      <c r="E352" s="251"/>
      <c r="F352" s="251"/>
      <c r="G352" s="153"/>
      <c r="H352" s="252"/>
      <c r="I352" s="153"/>
      <c r="J352" s="153"/>
      <c r="K352" s="252"/>
      <c r="L352" s="153"/>
      <c r="M352" s="252"/>
      <c r="N352" s="153"/>
      <c r="O352" s="153"/>
      <c r="P352" s="153"/>
      <c r="Q352" s="152"/>
      <c r="R352" s="153"/>
      <c r="S352" s="153"/>
      <c r="T352" s="153"/>
      <c r="U352" s="153"/>
      <c r="V352" s="153"/>
      <c r="W352" s="153"/>
      <c r="X352" s="153"/>
      <c r="Y352" s="153"/>
      <c r="Z352" s="153"/>
      <c r="AA352" s="153"/>
    </row>
    <row r="353" ht="39.75" customHeight="1">
      <c r="A353" s="153"/>
      <c r="B353" s="153"/>
      <c r="C353" s="153"/>
      <c r="D353" s="153"/>
      <c r="E353" s="251"/>
      <c r="F353" s="251"/>
      <c r="G353" s="153"/>
      <c r="H353" s="252"/>
      <c r="I353" s="153"/>
      <c r="J353" s="153"/>
      <c r="K353" s="252"/>
      <c r="L353" s="153"/>
      <c r="M353" s="252"/>
      <c r="N353" s="153"/>
      <c r="O353" s="153"/>
      <c r="P353" s="153"/>
      <c r="Q353" s="152"/>
      <c r="R353" s="153"/>
      <c r="S353" s="153"/>
      <c r="T353" s="153"/>
      <c r="U353" s="153"/>
      <c r="V353" s="153"/>
      <c r="W353" s="153"/>
      <c r="X353" s="153"/>
      <c r="Y353" s="153"/>
      <c r="Z353" s="153"/>
      <c r="AA353" s="153"/>
    </row>
    <row r="354" ht="39.75" customHeight="1">
      <c r="A354" s="153"/>
      <c r="B354" s="153"/>
      <c r="C354" s="153"/>
      <c r="D354" s="153"/>
      <c r="E354" s="251"/>
      <c r="F354" s="251"/>
      <c r="G354" s="153"/>
      <c r="H354" s="252"/>
      <c r="I354" s="153"/>
      <c r="J354" s="153"/>
      <c r="K354" s="252"/>
      <c r="L354" s="153"/>
      <c r="M354" s="252"/>
      <c r="N354" s="153"/>
      <c r="O354" s="153"/>
      <c r="P354" s="153"/>
      <c r="Q354" s="152"/>
      <c r="R354" s="153"/>
      <c r="S354" s="153"/>
      <c r="T354" s="153"/>
      <c r="U354" s="153"/>
      <c r="V354" s="153"/>
      <c r="W354" s="153"/>
      <c r="X354" s="153"/>
      <c r="Y354" s="153"/>
      <c r="Z354" s="153"/>
      <c r="AA354" s="153"/>
    </row>
    <row r="355" ht="39.75" customHeight="1">
      <c r="A355" s="153"/>
      <c r="B355" s="153"/>
      <c r="C355" s="153"/>
      <c r="D355" s="153"/>
      <c r="E355" s="251"/>
      <c r="F355" s="251"/>
      <c r="G355" s="153"/>
      <c r="H355" s="252"/>
      <c r="I355" s="153"/>
      <c r="J355" s="153"/>
      <c r="K355" s="252"/>
      <c r="L355" s="153"/>
      <c r="M355" s="252"/>
      <c r="N355" s="153"/>
      <c r="O355" s="153"/>
      <c r="P355" s="153"/>
      <c r="Q355" s="152"/>
      <c r="R355" s="153"/>
      <c r="S355" s="153"/>
      <c r="T355" s="153"/>
      <c r="U355" s="153"/>
      <c r="V355" s="153"/>
      <c r="W355" s="153"/>
      <c r="X355" s="153"/>
      <c r="Y355" s="153"/>
      <c r="Z355" s="153"/>
      <c r="AA355" s="153"/>
    </row>
    <row r="356" ht="39.75" customHeight="1">
      <c r="A356" s="153"/>
      <c r="B356" s="153"/>
      <c r="C356" s="153"/>
      <c r="D356" s="153"/>
      <c r="E356" s="251"/>
      <c r="F356" s="251"/>
      <c r="G356" s="153"/>
      <c r="H356" s="252"/>
      <c r="I356" s="153"/>
      <c r="J356" s="153"/>
      <c r="K356" s="252"/>
      <c r="L356" s="153"/>
      <c r="M356" s="252"/>
      <c r="N356" s="153"/>
      <c r="O356" s="153"/>
      <c r="P356" s="153"/>
      <c r="Q356" s="152"/>
      <c r="R356" s="153"/>
      <c r="S356" s="153"/>
      <c r="T356" s="153"/>
      <c r="U356" s="153"/>
      <c r="V356" s="153"/>
      <c r="W356" s="153"/>
      <c r="X356" s="153"/>
      <c r="Y356" s="153"/>
      <c r="Z356" s="153"/>
      <c r="AA356" s="153"/>
    </row>
    <row r="357" ht="39.75" customHeight="1">
      <c r="A357" s="153"/>
      <c r="B357" s="153"/>
      <c r="C357" s="153"/>
      <c r="D357" s="153"/>
      <c r="E357" s="251"/>
      <c r="F357" s="251"/>
      <c r="G357" s="153"/>
      <c r="H357" s="252"/>
      <c r="I357" s="153"/>
      <c r="J357" s="153"/>
      <c r="K357" s="252"/>
      <c r="L357" s="153"/>
      <c r="M357" s="252"/>
      <c r="N357" s="153"/>
      <c r="O357" s="153"/>
      <c r="P357" s="153"/>
      <c r="Q357" s="152"/>
      <c r="R357" s="153"/>
      <c r="S357" s="153"/>
      <c r="T357" s="153"/>
      <c r="U357" s="153"/>
      <c r="V357" s="153"/>
      <c r="W357" s="153"/>
      <c r="X357" s="153"/>
      <c r="Y357" s="153"/>
      <c r="Z357" s="153"/>
      <c r="AA357" s="153"/>
    </row>
    <row r="358" ht="39.75" customHeight="1">
      <c r="A358" s="153"/>
      <c r="B358" s="153"/>
      <c r="C358" s="153"/>
      <c r="D358" s="153"/>
      <c r="E358" s="251"/>
      <c r="F358" s="251"/>
      <c r="G358" s="153"/>
      <c r="H358" s="252"/>
      <c r="I358" s="153"/>
      <c r="J358" s="153"/>
      <c r="K358" s="252"/>
      <c r="L358" s="153"/>
      <c r="M358" s="252"/>
      <c r="N358" s="153"/>
      <c r="O358" s="153"/>
      <c r="P358" s="153"/>
      <c r="Q358" s="152"/>
      <c r="R358" s="153"/>
      <c r="S358" s="153"/>
      <c r="T358" s="153"/>
      <c r="U358" s="153"/>
      <c r="V358" s="153"/>
      <c r="W358" s="153"/>
      <c r="X358" s="153"/>
      <c r="Y358" s="153"/>
      <c r="Z358" s="153"/>
      <c r="AA358" s="153"/>
    </row>
    <row r="359" ht="39.75" customHeight="1">
      <c r="A359" s="153"/>
      <c r="B359" s="153"/>
      <c r="C359" s="153"/>
      <c r="D359" s="153"/>
      <c r="E359" s="251"/>
      <c r="F359" s="251"/>
      <c r="G359" s="153"/>
      <c r="H359" s="252"/>
      <c r="I359" s="153"/>
      <c r="J359" s="153"/>
      <c r="K359" s="252"/>
      <c r="L359" s="153"/>
      <c r="M359" s="252"/>
      <c r="N359" s="153"/>
      <c r="O359" s="153"/>
      <c r="P359" s="153"/>
      <c r="Q359" s="152"/>
      <c r="R359" s="153"/>
      <c r="S359" s="153"/>
      <c r="T359" s="153"/>
      <c r="U359" s="153"/>
      <c r="V359" s="153"/>
      <c r="W359" s="153"/>
      <c r="X359" s="153"/>
      <c r="Y359" s="153"/>
      <c r="Z359" s="153"/>
      <c r="AA359" s="153"/>
    </row>
    <row r="360" ht="39.75" customHeight="1">
      <c r="A360" s="153"/>
      <c r="B360" s="153"/>
      <c r="C360" s="153"/>
      <c r="D360" s="153"/>
      <c r="E360" s="251"/>
      <c r="F360" s="251"/>
      <c r="G360" s="153"/>
      <c r="H360" s="252"/>
      <c r="I360" s="153"/>
      <c r="J360" s="153"/>
      <c r="K360" s="252"/>
      <c r="L360" s="153"/>
      <c r="M360" s="252"/>
      <c r="N360" s="153"/>
      <c r="O360" s="153"/>
      <c r="P360" s="153"/>
      <c r="Q360" s="152"/>
      <c r="R360" s="153"/>
      <c r="S360" s="153"/>
      <c r="T360" s="153"/>
      <c r="U360" s="153"/>
      <c r="V360" s="153"/>
      <c r="W360" s="153"/>
      <c r="X360" s="153"/>
      <c r="Y360" s="153"/>
      <c r="Z360" s="153"/>
      <c r="AA360" s="153"/>
    </row>
    <row r="361" ht="39.75" customHeight="1">
      <c r="A361" s="153"/>
      <c r="B361" s="153"/>
      <c r="C361" s="153"/>
      <c r="D361" s="153"/>
      <c r="E361" s="251"/>
      <c r="F361" s="251"/>
      <c r="G361" s="153"/>
      <c r="H361" s="252"/>
      <c r="I361" s="153"/>
      <c r="J361" s="153"/>
      <c r="K361" s="252"/>
      <c r="L361" s="153"/>
      <c r="M361" s="252"/>
      <c r="N361" s="153"/>
      <c r="O361" s="153"/>
      <c r="P361" s="153"/>
      <c r="Q361" s="152"/>
      <c r="R361" s="153"/>
      <c r="S361" s="153"/>
      <c r="T361" s="153"/>
      <c r="U361" s="153"/>
      <c r="V361" s="153"/>
      <c r="W361" s="153"/>
      <c r="X361" s="153"/>
      <c r="Y361" s="153"/>
      <c r="Z361" s="153"/>
      <c r="AA361" s="153"/>
    </row>
    <row r="362" ht="39.75" customHeight="1">
      <c r="A362" s="153"/>
      <c r="B362" s="153"/>
      <c r="C362" s="153"/>
      <c r="D362" s="153"/>
      <c r="E362" s="251"/>
      <c r="F362" s="251"/>
      <c r="G362" s="153"/>
      <c r="H362" s="252"/>
      <c r="I362" s="153"/>
      <c r="J362" s="153"/>
      <c r="K362" s="252"/>
      <c r="L362" s="153"/>
      <c r="M362" s="252"/>
      <c r="N362" s="153"/>
      <c r="O362" s="153"/>
      <c r="P362" s="153"/>
      <c r="Q362" s="152"/>
      <c r="R362" s="153"/>
      <c r="S362" s="153"/>
      <c r="T362" s="153"/>
      <c r="U362" s="153"/>
      <c r="V362" s="153"/>
      <c r="W362" s="153"/>
      <c r="X362" s="153"/>
      <c r="Y362" s="153"/>
      <c r="Z362" s="153"/>
      <c r="AA362" s="153"/>
    </row>
    <row r="363" ht="39.75" customHeight="1">
      <c r="A363" s="153"/>
      <c r="B363" s="153"/>
      <c r="C363" s="153"/>
      <c r="D363" s="153"/>
      <c r="E363" s="251"/>
      <c r="F363" s="251"/>
      <c r="G363" s="153"/>
      <c r="H363" s="252"/>
      <c r="I363" s="153"/>
      <c r="J363" s="153"/>
      <c r="K363" s="252"/>
      <c r="L363" s="153"/>
      <c r="M363" s="252"/>
      <c r="N363" s="153"/>
      <c r="O363" s="153"/>
      <c r="P363" s="153"/>
      <c r="Q363" s="152"/>
      <c r="R363" s="153"/>
      <c r="S363" s="153"/>
      <c r="T363" s="153"/>
      <c r="U363" s="153"/>
      <c r="V363" s="153"/>
      <c r="W363" s="153"/>
      <c r="X363" s="153"/>
      <c r="Y363" s="153"/>
      <c r="Z363" s="153"/>
      <c r="AA363" s="153"/>
    </row>
    <row r="364" ht="39.75" customHeight="1">
      <c r="A364" s="153"/>
      <c r="B364" s="153"/>
      <c r="C364" s="153"/>
      <c r="D364" s="153"/>
      <c r="E364" s="251"/>
      <c r="F364" s="251"/>
      <c r="G364" s="153"/>
      <c r="H364" s="252"/>
      <c r="I364" s="153"/>
      <c r="J364" s="153"/>
      <c r="K364" s="252"/>
      <c r="L364" s="153"/>
      <c r="M364" s="252"/>
      <c r="N364" s="153"/>
      <c r="O364" s="153"/>
      <c r="P364" s="153"/>
      <c r="Q364" s="152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</row>
    <row r="365" ht="39.75" customHeight="1">
      <c r="A365" s="153"/>
      <c r="B365" s="153"/>
      <c r="C365" s="153"/>
      <c r="D365" s="153"/>
      <c r="E365" s="251"/>
      <c r="F365" s="251"/>
      <c r="G365" s="153"/>
      <c r="H365" s="252"/>
      <c r="I365" s="153"/>
      <c r="J365" s="153"/>
      <c r="K365" s="252"/>
      <c r="L365" s="153"/>
      <c r="M365" s="252"/>
      <c r="N365" s="153"/>
      <c r="O365" s="153"/>
      <c r="P365" s="153"/>
      <c r="Q365" s="152"/>
      <c r="R365" s="153"/>
      <c r="S365" s="153"/>
      <c r="T365" s="153"/>
      <c r="U365" s="153"/>
      <c r="V365" s="153"/>
      <c r="W365" s="153"/>
      <c r="X365" s="153"/>
      <c r="Y365" s="153"/>
      <c r="Z365" s="153"/>
      <c r="AA365" s="153"/>
    </row>
    <row r="366" ht="39.75" customHeight="1">
      <c r="A366" s="153"/>
      <c r="B366" s="153"/>
      <c r="C366" s="153"/>
      <c r="D366" s="153"/>
      <c r="E366" s="251"/>
      <c r="F366" s="251"/>
      <c r="G366" s="153"/>
      <c r="H366" s="252"/>
      <c r="I366" s="153"/>
      <c r="J366" s="153"/>
      <c r="K366" s="252"/>
      <c r="L366" s="153"/>
      <c r="M366" s="252"/>
      <c r="N366" s="153"/>
      <c r="O366" s="153"/>
      <c r="P366" s="153"/>
      <c r="Q366" s="152"/>
      <c r="R366" s="153"/>
      <c r="S366" s="153"/>
      <c r="T366" s="153"/>
      <c r="U366" s="153"/>
      <c r="V366" s="153"/>
      <c r="W366" s="153"/>
      <c r="X366" s="153"/>
      <c r="Y366" s="153"/>
      <c r="Z366" s="153"/>
      <c r="AA366" s="153"/>
    </row>
    <row r="367" ht="39.75" customHeight="1">
      <c r="A367" s="153"/>
      <c r="B367" s="153"/>
      <c r="C367" s="153"/>
      <c r="D367" s="153"/>
      <c r="E367" s="251"/>
      <c r="F367" s="251"/>
      <c r="G367" s="153"/>
      <c r="H367" s="252"/>
      <c r="I367" s="153"/>
      <c r="J367" s="153"/>
      <c r="K367" s="252"/>
      <c r="L367" s="153"/>
      <c r="M367" s="252"/>
      <c r="N367" s="153"/>
      <c r="O367" s="153"/>
      <c r="P367" s="153"/>
      <c r="Q367" s="152"/>
      <c r="R367" s="153"/>
      <c r="S367" s="153"/>
      <c r="T367" s="153"/>
      <c r="U367" s="153"/>
      <c r="V367" s="153"/>
      <c r="W367" s="153"/>
      <c r="X367" s="153"/>
      <c r="Y367" s="153"/>
      <c r="Z367" s="153"/>
      <c r="AA367" s="153"/>
    </row>
    <row r="368" ht="39.75" customHeight="1">
      <c r="A368" s="153"/>
      <c r="B368" s="153"/>
      <c r="C368" s="153"/>
      <c r="D368" s="153"/>
      <c r="E368" s="251"/>
      <c r="F368" s="251"/>
      <c r="G368" s="153"/>
      <c r="H368" s="252"/>
      <c r="I368" s="153"/>
      <c r="J368" s="153"/>
      <c r="K368" s="252"/>
      <c r="L368" s="153"/>
      <c r="M368" s="252"/>
      <c r="N368" s="153"/>
      <c r="O368" s="153"/>
      <c r="P368" s="153"/>
      <c r="Q368" s="152"/>
      <c r="R368" s="153"/>
      <c r="S368" s="153"/>
      <c r="T368" s="153"/>
      <c r="U368" s="153"/>
      <c r="V368" s="153"/>
      <c r="W368" s="153"/>
      <c r="X368" s="153"/>
      <c r="Y368" s="153"/>
      <c r="Z368" s="153"/>
      <c r="AA368" s="153"/>
    </row>
    <row r="369" ht="39.75" customHeight="1">
      <c r="A369" s="153"/>
      <c r="B369" s="153"/>
      <c r="C369" s="153"/>
      <c r="D369" s="153"/>
      <c r="E369" s="251"/>
      <c r="F369" s="251"/>
      <c r="G369" s="153"/>
      <c r="H369" s="252"/>
      <c r="I369" s="153"/>
      <c r="J369" s="153"/>
      <c r="K369" s="252"/>
      <c r="L369" s="153"/>
      <c r="M369" s="252"/>
      <c r="N369" s="153"/>
      <c r="O369" s="153"/>
      <c r="P369" s="153"/>
      <c r="Q369" s="152"/>
      <c r="R369" s="153"/>
      <c r="S369" s="153"/>
      <c r="T369" s="153"/>
      <c r="U369" s="153"/>
      <c r="V369" s="153"/>
      <c r="W369" s="153"/>
      <c r="X369" s="153"/>
      <c r="Y369" s="153"/>
      <c r="Z369" s="153"/>
      <c r="AA369" s="153"/>
    </row>
    <row r="370" ht="39.75" customHeight="1">
      <c r="A370" s="153"/>
      <c r="B370" s="153"/>
      <c r="C370" s="153"/>
      <c r="D370" s="153"/>
      <c r="E370" s="251"/>
      <c r="F370" s="251"/>
      <c r="G370" s="153"/>
      <c r="H370" s="252"/>
      <c r="I370" s="153"/>
      <c r="J370" s="153"/>
      <c r="K370" s="252"/>
      <c r="L370" s="153"/>
      <c r="M370" s="252"/>
      <c r="N370" s="153"/>
      <c r="O370" s="153"/>
      <c r="P370" s="153"/>
      <c r="Q370" s="152"/>
      <c r="R370" s="153"/>
      <c r="S370" s="153"/>
      <c r="T370" s="153"/>
      <c r="U370" s="153"/>
      <c r="V370" s="153"/>
      <c r="W370" s="153"/>
      <c r="X370" s="153"/>
      <c r="Y370" s="153"/>
      <c r="Z370" s="153"/>
      <c r="AA370" s="153"/>
    </row>
    <row r="371" ht="39.75" customHeight="1">
      <c r="A371" s="153"/>
      <c r="B371" s="153"/>
      <c r="C371" s="153"/>
      <c r="D371" s="153"/>
      <c r="E371" s="251"/>
      <c r="F371" s="251"/>
      <c r="G371" s="153"/>
      <c r="H371" s="252"/>
      <c r="I371" s="153"/>
      <c r="J371" s="153"/>
      <c r="K371" s="252"/>
      <c r="L371" s="153"/>
      <c r="M371" s="252"/>
      <c r="N371" s="153"/>
      <c r="O371" s="153"/>
      <c r="P371" s="153"/>
      <c r="Q371" s="152"/>
      <c r="R371" s="153"/>
      <c r="S371" s="153"/>
      <c r="T371" s="153"/>
      <c r="U371" s="153"/>
      <c r="V371" s="153"/>
      <c r="W371" s="153"/>
      <c r="X371" s="153"/>
      <c r="Y371" s="153"/>
      <c r="Z371" s="153"/>
      <c r="AA371" s="153"/>
    </row>
    <row r="372" ht="39.75" customHeight="1">
      <c r="A372" s="153"/>
      <c r="B372" s="153"/>
      <c r="C372" s="153"/>
      <c r="D372" s="153"/>
      <c r="E372" s="251"/>
      <c r="F372" s="251"/>
      <c r="G372" s="153"/>
      <c r="H372" s="252"/>
      <c r="I372" s="153"/>
      <c r="J372" s="153"/>
      <c r="K372" s="252"/>
      <c r="L372" s="153"/>
      <c r="M372" s="252"/>
      <c r="N372" s="153"/>
      <c r="O372" s="153"/>
      <c r="P372" s="153"/>
      <c r="Q372" s="152"/>
      <c r="R372" s="153"/>
      <c r="S372" s="153"/>
      <c r="T372" s="153"/>
      <c r="U372" s="153"/>
      <c r="V372" s="153"/>
      <c r="W372" s="153"/>
      <c r="X372" s="153"/>
      <c r="Y372" s="153"/>
      <c r="Z372" s="153"/>
      <c r="AA372" s="153"/>
    </row>
    <row r="373" ht="39.75" customHeight="1">
      <c r="A373" s="153"/>
      <c r="B373" s="153"/>
      <c r="C373" s="153"/>
      <c r="D373" s="153"/>
      <c r="E373" s="251"/>
      <c r="F373" s="251"/>
      <c r="G373" s="153"/>
      <c r="H373" s="252"/>
      <c r="I373" s="153"/>
      <c r="J373" s="153"/>
      <c r="K373" s="252"/>
      <c r="L373" s="153"/>
      <c r="M373" s="252"/>
      <c r="N373" s="153"/>
      <c r="O373" s="153"/>
      <c r="P373" s="153"/>
      <c r="Q373" s="152"/>
      <c r="R373" s="153"/>
      <c r="S373" s="153"/>
      <c r="T373" s="153"/>
      <c r="U373" s="153"/>
      <c r="V373" s="153"/>
      <c r="W373" s="153"/>
      <c r="X373" s="153"/>
      <c r="Y373" s="153"/>
      <c r="Z373" s="153"/>
      <c r="AA373" s="153"/>
    </row>
    <row r="374" ht="39.75" customHeight="1">
      <c r="A374" s="153"/>
      <c r="B374" s="153"/>
      <c r="C374" s="153"/>
      <c r="D374" s="153"/>
      <c r="E374" s="251"/>
      <c r="F374" s="251"/>
      <c r="G374" s="153"/>
      <c r="H374" s="252"/>
      <c r="I374" s="153"/>
      <c r="J374" s="153"/>
      <c r="K374" s="252"/>
      <c r="L374" s="153"/>
      <c r="M374" s="252"/>
      <c r="N374" s="153"/>
      <c r="O374" s="153"/>
      <c r="P374" s="153"/>
      <c r="Q374" s="152"/>
      <c r="R374" s="153"/>
      <c r="S374" s="153"/>
      <c r="T374" s="153"/>
      <c r="U374" s="153"/>
      <c r="V374" s="153"/>
      <c r="W374" s="153"/>
      <c r="X374" s="153"/>
      <c r="Y374" s="153"/>
      <c r="Z374" s="153"/>
      <c r="AA374" s="153"/>
    </row>
    <row r="375" ht="39.75" customHeight="1">
      <c r="A375" s="153"/>
      <c r="B375" s="153"/>
      <c r="C375" s="153"/>
      <c r="D375" s="153"/>
      <c r="E375" s="251"/>
      <c r="F375" s="251"/>
      <c r="G375" s="153"/>
      <c r="H375" s="252"/>
      <c r="I375" s="153"/>
      <c r="J375" s="153"/>
      <c r="K375" s="252"/>
      <c r="L375" s="153"/>
      <c r="M375" s="252"/>
      <c r="N375" s="153"/>
      <c r="O375" s="153"/>
      <c r="P375" s="153"/>
      <c r="Q375" s="152"/>
      <c r="R375" s="153"/>
      <c r="S375" s="153"/>
      <c r="T375" s="153"/>
      <c r="U375" s="153"/>
      <c r="V375" s="153"/>
      <c r="W375" s="153"/>
      <c r="X375" s="153"/>
      <c r="Y375" s="153"/>
      <c r="Z375" s="153"/>
      <c r="AA375" s="153"/>
    </row>
    <row r="376" ht="39.75" customHeight="1">
      <c r="A376" s="153"/>
      <c r="B376" s="153"/>
      <c r="C376" s="153"/>
      <c r="D376" s="153"/>
      <c r="E376" s="251"/>
      <c r="F376" s="251"/>
      <c r="G376" s="153"/>
      <c r="H376" s="252"/>
      <c r="I376" s="153"/>
      <c r="J376" s="153"/>
      <c r="K376" s="252"/>
      <c r="L376" s="153"/>
      <c r="M376" s="252"/>
      <c r="N376" s="153"/>
      <c r="O376" s="153"/>
      <c r="P376" s="153"/>
      <c r="Q376" s="152"/>
      <c r="R376" s="153"/>
      <c r="S376" s="153"/>
      <c r="T376" s="153"/>
      <c r="U376" s="153"/>
      <c r="V376" s="153"/>
      <c r="W376" s="153"/>
      <c r="X376" s="153"/>
      <c r="Y376" s="153"/>
      <c r="Z376" s="153"/>
      <c r="AA376" s="153"/>
    </row>
    <row r="377" ht="39.75" customHeight="1">
      <c r="A377" s="153"/>
      <c r="B377" s="153"/>
      <c r="C377" s="153"/>
      <c r="D377" s="153"/>
      <c r="E377" s="251"/>
      <c r="F377" s="251"/>
      <c r="G377" s="153"/>
      <c r="H377" s="252"/>
      <c r="I377" s="153"/>
      <c r="J377" s="153"/>
      <c r="K377" s="252"/>
      <c r="L377" s="153"/>
      <c r="M377" s="252"/>
      <c r="N377" s="153"/>
      <c r="O377" s="153"/>
      <c r="P377" s="153"/>
      <c r="Q377" s="152"/>
      <c r="R377" s="153"/>
      <c r="S377" s="153"/>
      <c r="T377" s="153"/>
      <c r="U377" s="153"/>
      <c r="V377" s="153"/>
      <c r="W377" s="153"/>
      <c r="X377" s="153"/>
      <c r="Y377" s="153"/>
      <c r="Z377" s="153"/>
      <c r="AA377" s="153"/>
    </row>
    <row r="378" ht="39.75" customHeight="1">
      <c r="A378" s="153"/>
      <c r="B378" s="153"/>
      <c r="C378" s="153"/>
      <c r="D378" s="153"/>
      <c r="E378" s="251"/>
      <c r="F378" s="251"/>
      <c r="G378" s="153"/>
      <c r="H378" s="252"/>
      <c r="I378" s="153"/>
      <c r="J378" s="153"/>
      <c r="K378" s="252"/>
      <c r="L378" s="153"/>
      <c r="M378" s="252"/>
      <c r="N378" s="153"/>
      <c r="O378" s="153"/>
      <c r="P378" s="153"/>
      <c r="Q378" s="152"/>
      <c r="R378" s="153"/>
      <c r="S378" s="153"/>
      <c r="T378" s="153"/>
      <c r="U378" s="153"/>
      <c r="V378" s="153"/>
      <c r="W378" s="153"/>
      <c r="X378" s="153"/>
      <c r="Y378" s="153"/>
      <c r="Z378" s="153"/>
      <c r="AA378" s="153"/>
    </row>
    <row r="379" ht="39.75" customHeight="1">
      <c r="A379" s="153"/>
      <c r="B379" s="153"/>
      <c r="C379" s="153"/>
      <c r="D379" s="153"/>
      <c r="E379" s="251"/>
      <c r="F379" s="251"/>
      <c r="G379" s="153"/>
      <c r="H379" s="252"/>
      <c r="I379" s="153"/>
      <c r="J379" s="153"/>
      <c r="K379" s="252"/>
      <c r="L379" s="153"/>
      <c r="M379" s="252"/>
      <c r="N379" s="153"/>
      <c r="O379" s="153"/>
      <c r="P379" s="153"/>
      <c r="Q379" s="152"/>
      <c r="R379" s="153"/>
      <c r="S379" s="153"/>
      <c r="T379" s="153"/>
      <c r="U379" s="153"/>
      <c r="V379" s="153"/>
      <c r="W379" s="153"/>
      <c r="X379" s="153"/>
      <c r="Y379" s="153"/>
      <c r="Z379" s="153"/>
      <c r="AA379" s="153"/>
    </row>
    <row r="380" ht="39.75" customHeight="1">
      <c r="A380" s="153"/>
      <c r="B380" s="153"/>
      <c r="C380" s="153"/>
      <c r="D380" s="153"/>
      <c r="E380" s="251"/>
      <c r="F380" s="251"/>
      <c r="G380" s="153"/>
      <c r="H380" s="252"/>
      <c r="I380" s="153"/>
      <c r="J380" s="153"/>
      <c r="K380" s="252"/>
      <c r="L380" s="153"/>
      <c r="M380" s="252"/>
      <c r="N380" s="153"/>
      <c r="O380" s="153"/>
      <c r="P380" s="153"/>
      <c r="Q380" s="152"/>
      <c r="R380" s="153"/>
      <c r="S380" s="153"/>
      <c r="T380" s="153"/>
      <c r="U380" s="153"/>
      <c r="V380" s="153"/>
      <c r="W380" s="153"/>
      <c r="X380" s="153"/>
      <c r="Y380" s="153"/>
      <c r="Z380" s="153"/>
      <c r="AA380" s="153"/>
    </row>
    <row r="381" ht="39.75" customHeight="1">
      <c r="A381" s="153"/>
      <c r="B381" s="153"/>
      <c r="C381" s="153"/>
      <c r="D381" s="153"/>
      <c r="E381" s="251"/>
      <c r="F381" s="251"/>
      <c r="G381" s="153"/>
      <c r="H381" s="252"/>
      <c r="I381" s="153"/>
      <c r="J381" s="153"/>
      <c r="K381" s="252"/>
      <c r="L381" s="153"/>
      <c r="M381" s="252"/>
      <c r="N381" s="153"/>
      <c r="O381" s="153"/>
      <c r="P381" s="153"/>
      <c r="Q381" s="152"/>
      <c r="R381" s="153"/>
      <c r="S381" s="153"/>
      <c r="T381" s="153"/>
      <c r="U381" s="153"/>
      <c r="V381" s="153"/>
      <c r="W381" s="153"/>
      <c r="X381" s="153"/>
      <c r="Y381" s="153"/>
      <c r="Z381" s="153"/>
      <c r="AA381" s="153"/>
    </row>
    <row r="382" ht="39.75" customHeight="1">
      <c r="A382" s="153"/>
      <c r="B382" s="153"/>
      <c r="C382" s="153"/>
      <c r="D382" s="153"/>
      <c r="E382" s="251"/>
      <c r="F382" s="251"/>
      <c r="G382" s="153"/>
      <c r="H382" s="252"/>
      <c r="I382" s="153"/>
      <c r="J382" s="153"/>
      <c r="K382" s="252"/>
      <c r="L382" s="153"/>
      <c r="M382" s="252"/>
      <c r="N382" s="153"/>
      <c r="O382" s="153"/>
      <c r="P382" s="153"/>
      <c r="Q382" s="152"/>
      <c r="R382" s="153"/>
      <c r="S382" s="153"/>
      <c r="T382" s="153"/>
      <c r="U382" s="153"/>
      <c r="V382" s="153"/>
      <c r="W382" s="153"/>
      <c r="X382" s="153"/>
      <c r="Y382" s="153"/>
      <c r="Z382" s="153"/>
      <c r="AA382" s="153"/>
    </row>
    <row r="383" ht="39.75" customHeight="1">
      <c r="A383" s="153"/>
      <c r="B383" s="153"/>
      <c r="C383" s="153"/>
      <c r="D383" s="153"/>
      <c r="E383" s="251"/>
      <c r="F383" s="251"/>
      <c r="G383" s="153"/>
      <c r="H383" s="252"/>
      <c r="I383" s="153"/>
      <c r="J383" s="153"/>
      <c r="K383" s="252"/>
      <c r="L383" s="153"/>
      <c r="M383" s="252"/>
      <c r="N383" s="153"/>
      <c r="O383" s="153"/>
      <c r="P383" s="153"/>
      <c r="Q383" s="152"/>
      <c r="R383" s="153"/>
      <c r="S383" s="153"/>
      <c r="T383" s="153"/>
      <c r="U383" s="153"/>
      <c r="V383" s="153"/>
      <c r="W383" s="153"/>
      <c r="X383" s="153"/>
      <c r="Y383" s="153"/>
      <c r="Z383" s="153"/>
      <c r="AA383" s="153"/>
    </row>
    <row r="384" ht="39.75" customHeight="1">
      <c r="A384" s="153"/>
      <c r="B384" s="153"/>
      <c r="C384" s="153"/>
      <c r="D384" s="153"/>
      <c r="E384" s="251"/>
      <c r="F384" s="251"/>
      <c r="G384" s="153"/>
      <c r="H384" s="252"/>
      <c r="I384" s="153"/>
      <c r="J384" s="153"/>
      <c r="K384" s="252"/>
      <c r="L384" s="153"/>
      <c r="M384" s="252"/>
      <c r="N384" s="153"/>
      <c r="O384" s="153"/>
      <c r="P384" s="153"/>
      <c r="Q384" s="152"/>
      <c r="R384" s="153"/>
      <c r="S384" s="153"/>
      <c r="T384" s="153"/>
      <c r="U384" s="153"/>
      <c r="V384" s="153"/>
      <c r="W384" s="153"/>
      <c r="X384" s="153"/>
      <c r="Y384" s="153"/>
      <c r="Z384" s="153"/>
      <c r="AA384" s="153"/>
    </row>
    <row r="385" ht="39.75" customHeight="1">
      <c r="A385" s="153"/>
      <c r="B385" s="153"/>
      <c r="C385" s="153"/>
      <c r="D385" s="153"/>
      <c r="E385" s="251"/>
      <c r="F385" s="251"/>
      <c r="G385" s="153"/>
      <c r="H385" s="252"/>
      <c r="I385" s="153"/>
      <c r="J385" s="153"/>
      <c r="K385" s="252"/>
      <c r="L385" s="153"/>
      <c r="M385" s="252"/>
      <c r="N385" s="153"/>
      <c r="O385" s="153"/>
      <c r="P385" s="153"/>
      <c r="Q385" s="152"/>
      <c r="R385" s="153"/>
      <c r="S385" s="153"/>
      <c r="T385" s="153"/>
      <c r="U385" s="153"/>
      <c r="V385" s="153"/>
      <c r="W385" s="153"/>
      <c r="X385" s="153"/>
      <c r="Y385" s="153"/>
      <c r="Z385" s="153"/>
      <c r="AA385" s="153"/>
    </row>
    <row r="386" ht="39.75" customHeight="1">
      <c r="A386" s="153"/>
      <c r="B386" s="153"/>
      <c r="C386" s="153"/>
      <c r="D386" s="153"/>
      <c r="E386" s="251"/>
      <c r="F386" s="251"/>
      <c r="G386" s="153"/>
      <c r="H386" s="252"/>
      <c r="I386" s="153"/>
      <c r="J386" s="153"/>
      <c r="K386" s="252"/>
      <c r="L386" s="153"/>
      <c r="M386" s="252"/>
      <c r="N386" s="153"/>
      <c r="O386" s="153"/>
      <c r="P386" s="153"/>
      <c r="Q386" s="152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</row>
    <row r="387" ht="39.75" customHeight="1">
      <c r="A387" s="153"/>
      <c r="B387" s="153"/>
      <c r="C387" s="153"/>
      <c r="D387" s="153"/>
      <c r="E387" s="251"/>
      <c r="F387" s="251"/>
      <c r="G387" s="153"/>
      <c r="H387" s="252"/>
      <c r="I387" s="153"/>
      <c r="J387" s="153"/>
      <c r="K387" s="252"/>
      <c r="L387" s="153"/>
      <c r="M387" s="252"/>
      <c r="N387" s="153"/>
      <c r="O387" s="153"/>
      <c r="P387" s="153"/>
      <c r="Q387" s="152"/>
      <c r="R387" s="153"/>
      <c r="S387" s="153"/>
      <c r="T387" s="153"/>
      <c r="U387" s="153"/>
      <c r="V387" s="153"/>
      <c r="W387" s="153"/>
      <c r="X387" s="153"/>
      <c r="Y387" s="153"/>
      <c r="Z387" s="153"/>
      <c r="AA387" s="153"/>
    </row>
    <row r="388" ht="39.75" customHeight="1">
      <c r="A388" s="153"/>
      <c r="B388" s="153"/>
      <c r="C388" s="153"/>
      <c r="D388" s="153"/>
      <c r="E388" s="251"/>
      <c r="F388" s="251"/>
      <c r="G388" s="153"/>
      <c r="H388" s="252"/>
      <c r="I388" s="153"/>
      <c r="J388" s="153"/>
      <c r="K388" s="252"/>
      <c r="L388" s="153"/>
      <c r="M388" s="252"/>
      <c r="N388" s="153"/>
      <c r="O388" s="153"/>
      <c r="P388" s="153"/>
      <c r="Q388" s="152"/>
      <c r="R388" s="153"/>
      <c r="S388" s="153"/>
      <c r="T388" s="153"/>
      <c r="U388" s="153"/>
      <c r="V388" s="153"/>
      <c r="W388" s="153"/>
      <c r="X388" s="153"/>
      <c r="Y388" s="153"/>
      <c r="Z388" s="153"/>
      <c r="AA388" s="153"/>
    </row>
    <row r="389" ht="39.75" customHeight="1">
      <c r="A389" s="153"/>
      <c r="B389" s="153"/>
      <c r="C389" s="153"/>
      <c r="D389" s="153"/>
      <c r="E389" s="251"/>
      <c r="F389" s="251"/>
      <c r="G389" s="153"/>
      <c r="H389" s="252"/>
      <c r="I389" s="153"/>
      <c r="J389" s="153"/>
      <c r="K389" s="252"/>
      <c r="L389" s="153"/>
      <c r="M389" s="252"/>
      <c r="N389" s="153"/>
      <c r="O389" s="153"/>
      <c r="P389" s="153"/>
      <c r="Q389" s="152"/>
      <c r="R389" s="153"/>
      <c r="S389" s="153"/>
      <c r="T389" s="153"/>
      <c r="U389" s="153"/>
      <c r="V389" s="153"/>
      <c r="W389" s="153"/>
      <c r="X389" s="153"/>
      <c r="Y389" s="153"/>
      <c r="Z389" s="153"/>
      <c r="AA389" s="153"/>
    </row>
    <row r="390" ht="39.75" customHeight="1">
      <c r="A390" s="153"/>
      <c r="B390" s="153"/>
      <c r="C390" s="153"/>
      <c r="D390" s="153"/>
      <c r="E390" s="251"/>
      <c r="F390" s="251"/>
      <c r="G390" s="153"/>
      <c r="H390" s="252"/>
      <c r="I390" s="153"/>
      <c r="J390" s="153"/>
      <c r="K390" s="252"/>
      <c r="L390" s="153"/>
      <c r="M390" s="252"/>
      <c r="N390" s="153"/>
      <c r="O390" s="153"/>
      <c r="P390" s="153"/>
      <c r="Q390" s="152"/>
      <c r="R390" s="153"/>
      <c r="S390" s="153"/>
      <c r="T390" s="153"/>
      <c r="U390" s="153"/>
      <c r="V390" s="153"/>
      <c r="W390" s="153"/>
      <c r="X390" s="153"/>
      <c r="Y390" s="153"/>
      <c r="Z390" s="153"/>
      <c r="AA390" s="153"/>
    </row>
    <row r="391" ht="39.75" customHeight="1">
      <c r="A391" s="153"/>
      <c r="B391" s="153"/>
      <c r="C391" s="153"/>
      <c r="D391" s="153"/>
      <c r="E391" s="251"/>
      <c r="F391" s="251"/>
      <c r="G391" s="153"/>
      <c r="H391" s="252"/>
      <c r="I391" s="153"/>
      <c r="J391" s="153"/>
      <c r="K391" s="252"/>
      <c r="L391" s="153"/>
      <c r="M391" s="252"/>
      <c r="N391" s="153"/>
      <c r="O391" s="153"/>
      <c r="P391" s="153"/>
      <c r="Q391" s="152"/>
      <c r="R391" s="153"/>
      <c r="S391" s="153"/>
      <c r="T391" s="153"/>
      <c r="U391" s="153"/>
      <c r="V391" s="153"/>
      <c r="W391" s="153"/>
      <c r="X391" s="153"/>
      <c r="Y391" s="153"/>
      <c r="Z391" s="153"/>
      <c r="AA391" s="153"/>
    </row>
    <row r="392" ht="39.75" customHeight="1">
      <c r="A392" s="153"/>
      <c r="B392" s="153"/>
      <c r="C392" s="153"/>
      <c r="D392" s="153"/>
      <c r="E392" s="251"/>
      <c r="F392" s="251"/>
      <c r="G392" s="153"/>
      <c r="H392" s="252"/>
      <c r="I392" s="153"/>
      <c r="J392" s="153"/>
      <c r="K392" s="252"/>
      <c r="L392" s="153"/>
      <c r="M392" s="252"/>
      <c r="N392" s="153"/>
      <c r="O392" s="153"/>
      <c r="P392" s="153"/>
      <c r="Q392" s="152"/>
      <c r="R392" s="153"/>
      <c r="S392" s="153"/>
      <c r="T392" s="153"/>
      <c r="U392" s="153"/>
      <c r="V392" s="153"/>
      <c r="W392" s="153"/>
      <c r="X392" s="153"/>
      <c r="Y392" s="153"/>
      <c r="Z392" s="153"/>
      <c r="AA392" s="153"/>
    </row>
    <row r="393" ht="39.75" customHeight="1">
      <c r="A393" s="153"/>
      <c r="B393" s="153"/>
      <c r="C393" s="153"/>
      <c r="D393" s="153"/>
      <c r="E393" s="251"/>
      <c r="F393" s="251"/>
      <c r="G393" s="153"/>
      <c r="H393" s="252"/>
      <c r="I393" s="153"/>
      <c r="J393" s="153"/>
      <c r="K393" s="252"/>
      <c r="L393" s="153"/>
      <c r="M393" s="252"/>
      <c r="N393" s="153"/>
      <c r="O393" s="153"/>
      <c r="P393" s="153"/>
      <c r="Q393" s="152"/>
      <c r="R393" s="153"/>
      <c r="S393" s="153"/>
      <c r="T393" s="153"/>
      <c r="U393" s="153"/>
      <c r="V393" s="153"/>
      <c r="W393" s="153"/>
      <c r="X393" s="153"/>
      <c r="Y393" s="153"/>
      <c r="Z393" s="153"/>
      <c r="AA393" s="153"/>
    </row>
    <row r="394" ht="39.75" customHeight="1">
      <c r="A394" s="153"/>
      <c r="B394" s="153"/>
      <c r="C394" s="153"/>
      <c r="D394" s="153"/>
      <c r="E394" s="251"/>
      <c r="F394" s="251"/>
      <c r="G394" s="153"/>
      <c r="H394" s="252"/>
      <c r="I394" s="153"/>
      <c r="J394" s="153"/>
      <c r="K394" s="252"/>
      <c r="L394" s="153"/>
      <c r="M394" s="252"/>
      <c r="N394" s="153"/>
      <c r="O394" s="153"/>
      <c r="P394" s="153"/>
      <c r="Q394" s="152"/>
      <c r="R394" s="153"/>
      <c r="S394" s="153"/>
      <c r="T394" s="153"/>
      <c r="U394" s="153"/>
      <c r="V394" s="153"/>
      <c r="W394" s="153"/>
      <c r="X394" s="153"/>
      <c r="Y394" s="153"/>
      <c r="Z394" s="153"/>
      <c r="AA394" s="153"/>
    </row>
    <row r="395" ht="39.75" customHeight="1">
      <c r="A395" s="153"/>
      <c r="B395" s="153"/>
      <c r="C395" s="153"/>
      <c r="D395" s="153"/>
      <c r="E395" s="251"/>
      <c r="F395" s="251"/>
      <c r="G395" s="153"/>
      <c r="H395" s="252"/>
      <c r="I395" s="153"/>
      <c r="J395" s="153"/>
      <c r="K395" s="252"/>
      <c r="L395" s="153"/>
      <c r="M395" s="252"/>
      <c r="N395" s="153"/>
      <c r="O395" s="153"/>
      <c r="P395" s="153"/>
      <c r="Q395" s="152"/>
      <c r="R395" s="153"/>
      <c r="S395" s="153"/>
      <c r="T395" s="153"/>
      <c r="U395" s="153"/>
      <c r="V395" s="153"/>
      <c r="W395" s="153"/>
      <c r="X395" s="153"/>
      <c r="Y395" s="153"/>
      <c r="Z395" s="153"/>
      <c r="AA395" s="153"/>
    </row>
    <row r="396" ht="39.75" customHeight="1">
      <c r="A396" s="153"/>
      <c r="B396" s="153"/>
      <c r="C396" s="153"/>
      <c r="D396" s="153"/>
      <c r="E396" s="251"/>
      <c r="F396" s="251"/>
      <c r="G396" s="153"/>
      <c r="H396" s="252"/>
      <c r="I396" s="153"/>
      <c r="J396" s="153"/>
      <c r="K396" s="252"/>
      <c r="L396" s="153"/>
      <c r="M396" s="252"/>
      <c r="N396" s="153"/>
      <c r="O396" s="153"/>
      <c r="P396" s="153"/>
      <c r="Q396" s="152"/>
      <c r="R396" s="153"/>
      <c r="S396" s="153"/>
      <c r="T396" s="153"/>
      <c r="U396" s="153"/>
      <c r="V396" s="153"/>
      <c r="W396" s="153"/>
      <c r="X396" s="153"/>
      <c r="Y396" s="153"/>
      <c r="Z396" s="153"/>
      <c r="AA396" s="153"/>
    </row>
    <row r="397" ht="39.75" customHeight="1">
      <c r="A397" s="153"/>
      <c r="B397" s="153"/>
      <c r="C397" s="153"/>
      <c r="D397" s="153"/>
      <c r="E397" s="251"/>
      <c r="F397" s="251"/>
      <c r="G397" s="153"/>
      <c r="H397" s="252"/>
      <c r="I397" s="153"/>
      <c r="J397" s="153"/>
      <c r="K397" s="252"/>
      <c r="L397" s="153"/>
      <c r="M397" s="252"/>
      <c r="N397" s="153"/>
      <c r="O397" s="153"/>
      <c r="P397" s="153"/>
      <c r="Q397" s="152"/>
      <c r="R397" s="153"/>
      <c r="S397" s="153"/>
      <c r="T397" s="153"/>
      <c r="U397" s="153"/>
      <c r="V397" s="153"/>
      <c r="W397" s="153"/>
      <c r="X397" s="153"/>
      <c r="Y397" s="153"/>
      <c r="Z397" s="153"/>
      <c r="AA397" s="153"/>
    </row>
    <row r="398" ht="39.75" customHeight="1">
      <c r="A398" s="153"/>
      <c r="B398" s="153"/>
      <c r="C398" s="153"/>
      <c r="D398" s="153"/>
      <c r="E398" s="251"/>
      <c r="F398" s="251"/>
      <c r="G398" s="153"/>
      <c r="H398" s="252"/>
      <c r="I398" s="153"/>
      <c r="J398" s="153"/>
      <c r="K398" s="252"/>
      <c r="L398" s="153"/>
      <c r="M398" s="252"/>
      <c r="N398" s="153"/>
      <c r="O398" s="153"/>
      <c r="P398" s="153"/>
      <c r="Q398" s="152"/>
      <c r="R398" s="153"/>
      <c r="S398" s="153"/>
      <c r="T398" s="153"/>
      <c r="U398" s="153"/>
      <c r="V398" s="153"/>
      <c r="W398" s="153"/>
      <c r="X398" s="153"/>
      <c r="Y398" s="153"/>
      <c r="Z398" s="153"/>
      <c r="AA398" s="153"/>
    </row>
    <row r="399" ht="39.75" customHeight="1">
      <c r="A399" s="153"/>
      <c r="B399" s="153"/>
      <c r="C399" s="153"/>
      <c r="D399" s="153"/>
      <c r="E399" s="251"/>
      <c r="F399" s="251"/>
      <c r="G399" s="153"/>
      <c r="H399" s="252"/>
      <c r="I399" s="153"/>
      <c r="J399" s="153"/>
      <c r="K399" s="252"/>
      <c r="L399" s="153"/>
      <c r="M399" s="252"/>
      <c r="N399" s="153"/>
      <c r="O399" s="153"/>
      <c r="P399" s="153"/>
      <c r="Q399" s="152"/>
      <c r="R399" s="153"/>
      <c r="S399" s="153"/>
      <c r="T399" s="153"/>
      <c r="U399" s="153"/>
      <c r="V399" s="153"/>
      <c r="W399" s="153"/>
      <c r="X399" s="153"/>
      <c r="Y399" s="153"/>
      <c r="Z399" s="153"/>
      <c r="AA399" s="153"/>
    </row>
    <row r="400" ht="39.75" customHeight="1">
      <c r="A400" s="153"/>
      <c r="B400" s="153"/>
      <c r="C400" s="153"/>
      <c r="D400" s="153"/>
      <c r="E400" s="251"/>
      <c r="F400" s="251"/>
      <c r="G400" s="153"/>
      <c r="H400" s="252"/>
      <c r="I400" s="153"/>
      <c r="J400" s="153"/>
      <c r="K400" s="252"/>
      <c r="L400" s="153"/>
      <c r="M400" s="252"/>
      <c r="N400" s="153"/>
      <c r="O400" s="153"/>
      <c r="P400" s="153"/>
      <c r="Q400" s="152"/>
      <c r="R400" s="153"/>
      <c r="S400" s="153"/>
      <c r="T400" s="153"/>
      <c r="U400" s="153"/>
      <c r="V400" s="153"/>
      <c r="W400" s="153"/>
      <c r="X400" s="153"/>
      <c r="Y400" s="153"/>
      <c r="Z400" s="153"/>
      <c r="AA400" s="153"/>
    </row>
    <row r="401" ht="39.75" customHeight="1">
      <c r="A401" s="153"/>
      <c r="B401" s="153"/>
      <c r="C401" s="153"/>
      <c r="D401" s="153"/>
      <c r="E401" s="251"/>
      <c r="F401" s="251"/>
      <c r="G401" s="153"/>
      <c r="H401" s="252"/>
      <c r="I401" s="153"/>
      <c r="J401" s="153"/>
      <c r="K401" s="252"/>
      <c r="L401" s="153"/>
      <c r="M401" s="252"/>
      <c r="N401" s="153"/>
      <c r="O401" s="153"/>
      <c r="P401" s="153"/>
      <c r="Q401" s="152"/>
      <c r="R401" s="153"/>
      <c r="S401" s="153"/>
      <c r="T401" s="153"/>
      <c r="U401" s="153"/>
      <c r="V401" s="153"/>
      <c r="W401" s="153"/>
      <c r="X401" s="153"/>
      <c r="Y401" s="153"/>
      <c r="Z401" s="153"/>
      <c r="AA401" s="153"/>
    </row>
    <row r="402" ht="39.75" customHeight="1">
      <c r="A402" s="153"/>
      <c r="B402" s="153"/>
      <c r="C402" s="153"/>
      <c r="D402" s="153"/>
      <c r="E402" s="251"/>
      <c r="F402" s="251"/>
      <c r="G402" s="153"/>
      <c r="H402" s="252"/>
      <c r="I402" s="153"/>
      <c r="J402" s="153"/>
      <c r="K402" s="252"/>
      <c r="L402" s="153"/>
      <c r="M402" s="252"/>
      <c r="N402" s="153"/>
      <c r="O402" s="153"/>
      <c r="P402" s="153"/>
      <c r="Q402" s="152"/>
      <c r="R402" s="153"/>
      <c r="S402" s="153"/>
      <c r="T402" s="153"/>
      <c r="U402" s="153"/>
      <c r="V402" s="153"/>
      <c r="W402" s="153"/>
      <c r="X402" s="153"/>
      <c r="Y402" s="153"/>
      <c r="Z402" s="153"/>
      <c r="AA402" s="153"/>
    </row>
    <row r="403" ht="39.75" customHeight="1">
      <c r="A403" s="153"/>
      <c r="B403" s="153"/>
      <c r="C403" s="153"/>
      <c r="D403" s="153"/>
      <c r="E403" s="251"/>
      <c r="F403" s="251"/>
      <c r="G403" s="153"/>
      <c r="H403" s="252"/>
      <c r="I403" s="153"/>
      <c r="J403" s="153"/>
      <c r="K403" s="252"/>
      <c r="L403" s="153"/>
      <c r="M403" s="252"/>
      <c r="N403" s="153"/>
      <c r="O403" s="153"/>
      <c r="P403" s="153"/>
      <c r="Q403" s="152"/>
      <c r="R403" s="153"/>
      <c r="S403" s="153"/>
      <c r="T403" s="153"/>
      <c r="U403" s="153"/>
      <c r="V403" s="153"/>
      <c r="W403" s="153"/>
      <c r="X403" s="153"/>
      <c r="Y403" s="153"/>
      <c r="Z403" s="153"/>
      <c r="AA403" s="153"/>
    </row>
    <row r="404" ht="39.75" customHeight="1">
      <c r="A404" s="153"/>
      <c r="B404" s="153"/>
      <c r="C404" s="153"/>
      <c r="D404" s="153"/>
      <c r="E404" s="251"/>
      <c r="F404" s="251"/>
      <c r="G404" s="153"/>
      <c r="H404" s="252"/>
      <c r="I404" s="153"/>
      <c r="J404" s="153"/>
      <c r="K404" s="252"/>
      <c r="L404" s="153"/>
      <c r="M404" s="252"/>
      <c r="N404" s="153"/>
      <c r="O404" s="153"/>
      <c r="P404" s="153"/>
      <c r="Q404" s="152"/>
      <c r="R404" s="153"/>
      <c r="S404" s="153"/>
      <c r="T404" s="153"/>
      <c r="U404" s="153"/>
      <c r="V404" s="153"/>
      <c r="W404" s="153"/>
      <c r="X404" s="153"/>
      <c r="Y404" s="153"/>
      <c r="Z404" s="153"/>
      <c r="AA404" s="153"/>
    </row>
    <row r="405" ht="39.75" customHeight="1">
      <c r="A405" s="153"/>
      <c r="B405" s="153"/>
      <c r="C405" s="153"/>
      <c r="D405" s="153"/>
      <c r="E405" s="251"/>
      <c r="F405" s="251"/>
      <c r="G405" s="153"/>
      <c r="H405" s="252"/>
      <c r="I405" s="153"/>
      <c r="J405" s="153"/>
      <c r="K405" s="252"/>
      <c r="L405" s="153"/>
      <c r="M405" s="252"/>
      <c r="N405" s="153"/>
      <c r="O405" s="153"/>
      <c r="P405" s="153"/>
      <c r="Q405" s="152"/>
      <c r="R405" s="153"/>
      <c r="S405" s="153"/>
      <c r="T405" s="153"/>
      <c r="U405" s="153"/>
      <c r="V405" s="153"/>
      <c r="W405" s="153"/>
      <c r="X405" s="153"/>
      <c r="Y405" s="153"/>
      <c r="Z405" s="153"/>
      <c r="AA405" s="153"/>
    </row>
    <row r="406" ht="39.75" customHeight="1">
      <c r="A406" s="153"/>
      <c r="B406" s="153"/>
      <c r="C406" s="153"/>
      <c r="D406" s="153"/>
      <c r="E406" s="251"/>
      <c r="F406" s="251"/>
      <c r="G406" s="153"/>
      <c r="H406" s="252"/>
      <c r="I406" s="153"/>
      <c r="J406" s="153"/>
      <c r="K406" s="252"/>
      <c r="L406" s="153"/>
      <c r="M406" s="252"/>
      <c r="N406" s="153"/>
      <c r="O406" s="153"/>
      <c r="P406" s="153"/>
      <c r="Q406" s="152"/>
      <c r="R406" s="153"/>
      <c r="S406" s="153"/>
      <c r="T406" s="153"/>
      <c r="U406" s="153"/>
      <c r="V406" s="153"/>
      <c r="W406" s="153"/>
      <c r="X406" s="153"/>
      <c r="Y406" s="153"/>
      <c r="Z406" s="153"/>
      <c r="AA406" s="153"/>
    </row>
    <row r="407" ht="39.75" customHeight="1">
      <c r="A407" s="153"/>
      <c r="B407" s="153"/>
      <c r="C407" s="153"/>
      <c r="D407" s="153"/>
      <c r="E407" s="251"/>
      <c r="F407" s="251"/>
      <c r="G407" s="153"/>
      <c r="H407" s="252"/>
      <c r="I407" s="153"/>
      <c r="J407" s="153"/>
      <c r="K407" s="252"/>
      <c r="L407" s="153"/>
      <c r="M407" s="252"/>
      <c r="N407" s="153"/>
      <c r="O407" s="153"/>
      <c r="P407" s="153"/>
      <c r="Q407" s="152"/>
      <c r="R407" s="153"/>
      <c r="S407" s="153"/>
      <c r="T407" s="153"/>
      <c r="U407" s="153"/>
      <c r="V407" s="153"/>
      <c r="W407" s="153"/>
      <c r="X407" s="153"/>
      <c r="Y407" s="153"/>
      <c r="Z407" s="153"/>
      <c r="AA407" s="153"/>
    </row>
    <row r="408" ht="39.75" customHeight="1">
      <c r="A408" s="153"/>
      <c r="B408" s="153"/>
      <c r="C408" s="153"/>
      <c r="D408" s="153"/>
      <c r="E408" s="251"/>
      <c r="F408" s="251"/>
      <c r="G408" s="153"/>
      <c r="H408" s="252"/>
      <c r="I408" s="153"/>
      <c r="J408" s="153"/>
      <c r="K408" s="252"/>
      <c r="L408" s="153"/>
      <c r="M408" s="252"/>
      <c r="N408" s="153"/>
      <c r="O408" s="153"/>
      <c r="P408" s="153"/>
      <c r="Q408" s="152"/>
      <c r="R408" s="153"/>
      <c r="S408" s="153"/>
      <c r="T408" s="153"/>
      <c r="U408" s="153"/>
      <c r="V408" s="153"/>
      <c r="W408" s="153"/>
      <c r="X408" s="153"/>
      <c r="Y408" s="153"/>
      <c r="Z408" s="153"/>
      <c r="AA408" s="153"/>
    </row>
    <row r="409" ht="39.75" customHeight="1">
      <c r="A409" s="153"/>
      <c r="B409" s="153"/>
      <c r="C409" s="153"/>
      <c r="D409" s="153"/>
      <c r="E409" s="251"/>
      <c r="F409" s="251"/>
      <c r="G409" s="153"/>
      <c r="H409" s="252"/>
      <c r="I409" s="153"/>
      <c r="J409" s="153"/>
      <c r="K409" s="252"/>
      <c r="L409" s="153"/>
      <c r="M409" s="252"/>
      <c r="N409" s="153"/>
      <c r="O409" s="153"/>
      <c r="P409" s="153"/>
      <c r="Q409" s="152"/>
      <c r="R409" s="153"/>
      <c r="S409" s="153"/>
      <c r="T409" s="153"/>
      <c r="U409" s="153"/>
      <c r="V409" s="153"/>
      <c r="W409" s="153"/>
      <c r="X409" s="153"/>
      <c r="Y409" s="153"/>
      <c r="Z409" s="153"/>
      <c r="AA409" s="153"/>
    </row>
    <row r="410" ht="39.75" customHeight="1">
      <c r="A410" s="153"/>
      <c r="B410" s="153"/>
      <c r="C410" s="153"/>
      <c r="D410" s="153"/>
      <c r="E410" s="251"/>
      <c r="F410" s="251"/>
      <c r="G410" s="153"/>
      <c r="H410" s="252"/>
      <c r="I410" s="153"/>
      <c r="J410" s="153"/>
      <c r="K410" s="252"/>
      <c r="L410" s="153"/>
      <c r="M410" s="252"/>
      <c r="N410" s="153"/>
      <c r="O410" s="153"/>
      <c r="P410" s="153"/>
      <c r="Q410" s="152"/>
      <c r="R410" s="153"/>
      <c r="S410" s="153"/>
      <c r="T410" s="153"/>
      <c r="U410" s="153"/>
      <c r="V410" s="153"/>
      <c r="W410" s="153"/>
      <c r="X410" s="153"/>
      <c r="Y410" s="153"/>
      <c r="Z410" s="153"/>
      <c r="AA410" s="153"/>
    </row>
    <row r="411" ht="39.75" customHeight="1">
      <c r="A411" s="153"/>
      <c r="B411" s="153"/>
      <c r="C411" s="153"/>
      <c r="D411" s="153"/>
      <c r="E411" s="251"/>
      <c r="F411" s="251"/>
      <c r="G411" s="153"/>
      <c r="H411" s="252"/>
      <c r="I411" s="153"/>
      <c r="J411" s="153"/>
      <c r="K411" s="252"/>
      <c r="L411" s="153"/>
      <c r="M411" s="252"/>
      <c r="N411" s="153"/>
      <c r="O411" s="153"/>
      <c r="P411" s="153"/>
      <c r="Q411" s="152"/>
      <c r="R411" s="153"/>
      <c r="S411" s="153"/>
      <c r="T411" s="153"/>
      <c r="U411" s="153"/>
      <c r="V411" s="153"/>
      <c r="W411" s="153"/>
      <c r="X411" s="153"/>
      <c r="Y411" s="153"/>
      <c r="Z411" s="153"/>
      <c r="AA411" s="153"/>
    </row>
    <row r="412" ht="39.75" customHeight="1">
      <c r="A412" s="153"/>
      <c r="B412" s="153"/>
      <c r="C412" s="153"/>
      <c r="D412" s="153"/>
      <c r="E412" s="251"/>
      <c r="F412" s="251"/>
      <c r="G412" s="153"/>
      <c r="H412" s="252"/>
      <c r="I412" s="153"/>
      <c r="J412" s="153"/>
      <c r="K412" s="252"/>
      <c r="L412" s="153"/>
      <c r="M412" s="252"/>
      <c r="N412" s="153"/>
      <c r="O412" s="153"/>
      <c r="P412" s="153"/>
      <c r="Q412" s="152"/>
      <c r="R412" s="153"/>
      <c r="S412" s="153"/>
      <c r="T412" s="153"/>
      <c r="U412" s="153"/>
      <c r="V412" s="153"/>
      <c r="W412" s="153"/>
      <c r="X412" s="153"/>
      <c r="Y412" s="153"/>
      <c r="Z412" s="153"/>
      <c r="AA412" s="153"/>
    </row>
    <row r="413" ht="39.75" customHeight="1">
      <c r="A413" s="153"/>
      <c r="B413" s="153"/>
      <c r="C413" s="153"/>
      <c r="D413" s="153"/>
      <c r="E413" s="251"/>
      <c r="F413" s="251"/>
      <c r="G413" s="153"/>
      <c r="H413" s="252"/>
      <c r="I413" s="153"/>
      <c r="J413" s="153"/>
      <c r="K413" s="252"/>
      <c r="L413" s="153"/>
      <c r="M413" s="252"/>
      <c r="N413" s="153"/>
      <c r="O413" s="153"/>
      <c r="P413" s="153"/>
      <c r="Q413" s="152"/>
      <c r="R413" s="153"/>
      <c r="S413" s="153"/>
      <c r="T413" s="153"/>
      <c r="U413" s="153"/>
      <c r="V413" s="153"/>
      <c r="W413" s="153"/>
      <c r="X413" s="153"/>
      <c r="Y413" s="153"/>
      <c r="Z413" s="153"/>
      <c r="AA413" s="153"/>
    </row>
    <row r="414" ht="39.75" customHeight="1">
      <c r="A414" s="153"/>
      <c r="B414" s="153"/>
      <c r="C414" s="153"/>
      <c r="D414" s="153"/>
      <c r="E414" s="251"/>
      <c r="F414" s="251"/>
      <c r="G414" s="153"/>
      <c r="H414" s="252"/>
      <c r="I414" s="153"/>
      <c r="J414" s="153"/>
      <c r="K414" s="252"/>
      <c r="L414" s="153"/>
      <c r="M414" s="252"/>
      <c r="N414" s="153"/>
      <c r="O414" s="153"/>
      <c r="P414" s="153"/>
      <c r="Q414" s="152"/>
      <c r="R414" s="153"/>
      <c r="S414" s="153"/>
      <c r="T414" s="153"/>
      <c r="U414" s="153"/>
      <c r="V414" s="153"/>
      <c r="W414" s="153"/>
      <c r="X414" s="153"/>
      <c r="Y414" s="153"/>
      <c r="Z414" s="153"/>
      <c r="AA414" s="153"/>
    </row>
    <row r="415" ht="39.75" customHeight="1">
      <c r="A415" s="153"/>
      <c r="B415" s="153"/>
      <c r="C415" s="153"/>
      <c r="D415" s="153"/>
      <c r="E415" s="251"/>
      <c r="F415" s="251"/>
      <c r="G415" s="153"/>
      <c r="H415" s="252"/>
      <c r="I415" s="153"/>
      <c r="J415" s="153"/>
      <c r="K415" s="252"/>
      <c r="L415" s="153"/>
      <c r="M415" s="252"/>
      <c r="N415" s="153"/>
      <c r="O415" s="153"/>
      <c r="P415" s="153"/>
      <c r="Q415" s="152"/>
      <c r="R415" s="153"/>
      <c r="S415" s="153"/>
      <c r="T415" s="153"/>
      <c r="U415" s="153"/>
      <c r="V415" s="153"/>
      <c r="W415" s="153"/>
      <c r="X415" s="153"/>
      <c r="Y415" s="153"/>
      <c r="Z415" s="153"/>
      <c r="AA415" s="153"/>
    </row>
    <row r="416" ht="39.75" customHeight="1">
      <c r="A416" s="153"/>
      <c r="B416" s="153"/>
      <c r="C416" s="153"/>
      <c r="D416" s="153"/>
      <c r="E416" s="251"/>
      <c r="F416" s="251"/>
      <c r="G416" s="153"/>
      <c r="H416" s="252"/>
      <c r="I416" s="153"/>
      <c r="J416" s="153"/>
      <c r="K416" s="252"/>
      <c r="L416" s="153"/>
      <c r="M416" s="252"/>
      <c r="N416" s="153"/>
      <c r="O416" s="153"/>
      <c r="P416" s="153"/>
      <c r="Q416" s="152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</row>
    <row r="417" ht="39.75" customHeight="1">
      <c r="A417" s="153"/>
      <c r="B417" s="153"/>
      <c r="C417" s="153"/>
      <c r="D417" s="153"/>
      <c r="E417" s="251"/>
      <c r="F417" s="251"/>
      <c r="G417" s="153"/>
      <c r="H417" s="252"/>
      <c r="I417" s="153"/>
      <c r="J417" s="153"/>
      <c r="K417" s="252"/>
      <c r="L417" s="153"/>
      <c r="M417" s="252"/>
      <c r="N417" s="153"/>
      <c r="O417" s="153"/>
      <c r="P417" s="153"/>
      <c r="Q417" s="152"/>
      <c r="R417" s="153"/>
      <c r="S417" s="153"/>
      <c r="T417" s="153"/>
      <c r="U417" s="153"/>
      <c r="V417" s="153"/>
      <c r="W417" s="153"/>
      <c r="X417" s="153"/>
      <c r="Y417" s="153"/>
      <c r="Z417" s="153"/>
      <c r="AA417" s="153"/>
    </row>
    <row r="418" ht="39.75" customHeight="1">
      <c r="A418" s="153"/>
      <c r="B418" s="153"/>
      <c r="C418" s="153"/>
      <c r="D418" s="153"/>
      <c r="E418" s="251"/>
      <c r="F418" s="251"/>
      <c r="G418" s="153"/>
      <c r="H418" s="252"/>
      <c r="I418" s="153"/>
      <c r="J418" s="153"/>
      <c r="K418" s="252"/>
      <c r="L418" s="153"/>
      <c r="M418" s="252"/>
      <c r="N418" s="153"/>
      <c r="O418" s="153"/>
      <c r="P418" s="153"/>
      <c r="Q418" s="152"/>
      <c r="R418" s="153"/>
      <c r="S418" s="153"/>
      <c r="T418" s="153"/>
      <c r="U418" s="153"/>
      <c r="V418" s="153"/>
      <c r="W418" s="153"/>
      <c r="X418" s="153"/>
      <c r="Y418" s="153"/>
      <c r="Z418" s="153"/>
      <c r="AA418" s="153"/>
    </row>
    <row r="419" ht="39.75" customHeight="1">
      <c r="A419" s="153"/>
      <c r="B419" s="153"/>
      <c r="C419" s="153"/>
      <c r="D419" s="153"/>
      <c r="E419" s="251"/>
      <c r="F419" s="251"/>
      <c r="G419" s="153"/>
      <c r="H419" s="252"/>
      <c r="I419" s="153"/>
      <c r="J419" s="153"/>
      <c r="K419" s="252"/>
      <c r="L419" s="153"/>
      <c r="M419" s="252"/>
      <c r="N419" s="153"/>
      <c r="O419" s="153"/>
      <c r="P419" s="153"/>
      <c r="Q419" s="152"/>
      <c r="R419" s="153"/>
      <c r="S419" s="153"/>
      <c r="T419" s="153"/>
      <c r="U419" s="153"/>
      <c r="V419" s="153"/>
      <c r="W419" s="153"/>
      <c r="X419" s="153"/>
      <c r="Y419" s="153"/>
      <c r="Z419" s="153"/>
      <c r="AA419" s="153"/>
    </row>
    <row r="420" ht="39.75" customHeight="1">
      <c r="A420" s="153"/>
      <c r="B420" s="153"/>
      <c r="C420" s="153"/>
      <c r="D420" s="153"/>
      <c r="E420" s="251"/>
      <c r="F420" s="251"/>
      <c r="G420" s="153"/>
      <c r="H420" s="252"/>
      <c r="I420" s="153"/>
      <c r="J420" s="153"/>
      <c r="K420" s="252"/>
      <c r="L420" s="153"/>
      <c r="M420" s="252"/>
      <c r="N420" s="153"/>
      <c r="O420" s="153"/>
      <c r="P420" s="153"/>
      <c r="Q420" s="152"/>
      <c r="R420" s="153"/>
      <c r="S420" s="153"/>
      <c r="T420" s="153"/>
      <c r="U420" s="153"/>
      <c r="V420" s="153"/>
      <c r="W420" s="153"/>
      <c r="X420" s="153"/>
      <c r="Y420" s="153"/>
      <c r="Z420" s="153"/>
      <c r="AA420" s="153"/>
    </row>
    <row r="421" ht="39.75" customHeight="1">
      <c r="A421" s="153"/>
      <c r="B421" s="153"/>
      <c r="C421" s="153"/>
      <c r="D421" s="153"/>
      <c r="E421" s="251"/>
      <c r="F421" s="251"/>
      <c r="G421" s="153"/>
      <c r="H421" s="252"/>
      <c r="I421" s="153"/>
      <c r="J421" s="153"/>
      <c r="K421" s="252"/>
      <c r="L421" s="153"/>
      <c r="M421" s="252"/>
      <c r="N421" s="153"/>
      <c r="O421" s="153"/>
      <c r="P421" s="153"/>
      <c r="Q421" s="152"/>
      <c r="R421" s="153"/>
      <c r="S421" s="153"/>
      <c r="T421" s="153"/>
      <c r="U421" s="153"/>
      <c r="V421" s="153"/>
      <c r="W421" s="153"/>
      <c r="X421" s="153"/>
      <c r="Y421" s="153"/>
      <c r="Z421" s="153"/>
      <c r="AA421" s="153"/>
    </row>
    <row r="422" ht="39.75" customHeight="1">
      <c r="A422" s="153"/>
      <c r="B422" s="153"/>
      <c r="C422" s="153"/>
      <c r="D422" s="153"/>
      <c r="E422" s="251"/>
      <c r="F422" s="251"/>
      <c r="G422" s="153"/>
      <c r="H422" s="252"/>
      <c r="I422" s="153"/>
      <c r="J422" s="153"/>
      <c r="K422" s="252"/>
      <c r="L422" s="153"/>
      <c r="M422" s="252"/>
      <c r="N422" s="153"/>
      <c r="O422" s="153"/>
      <c r="P422" s="153"/>
      <c r="Q422" s="152"/>
      <c r="R422" s="153"/>
      <c r="S422" s="153"/>
      <c r="T422" s="153"/>
      <c r="U422" s="153"/>
      <c r="V422" s="153"/>
      <c r="W422" s="153"/>
      <c r="X422" s="153"/>
      <c r="Y422" s="153"/>
      <c r="Z422" s="153"/>
      <c r="AA422" s="153"/>
    </row>
    <row r="423" ht="39.75" customHeight="1">
      <c r="A423" s="153"/>
      <c r="B423" s="153"/>
      <c r="C423" s="153"/>
      <c r="D423" s="153"/>
      <c r="E423" s="251"/>
      <c r="F423" s="251"/>
      <c r="G423" s="153"/>
      <c r="H423" s="252"/>
      <c r="I423" s="153"/>
      <c r="J423" s="153"/>
      <c r="K423" s="252"/>
      <c r="L423" s="153"/>
      <c r="M423" s="252"/>
      <c r="N423" s="153"/>
      <c r="O423" s="153"/>
      <c r="P423" s="153"/>
      <c r="Q423" s="152"/>
      <c r="R423" s="153"/>
      <c r="S423" s="153"/>
      <c r="T423" s="153"/>
      <c r="U423" s="153"/>
      <c r="V423" s="153"/>
      <c r="W423" s="153"/>
      <c r="X423" s="153"/>
      <c r="Y423" s="153"/>
      <c r="Z423" s="153"/>
      <c r="AA423" s="153"/>
    </row>
    <row r="424" ht="39.75" customHeight="1">
      <c r="A424" s="153"/>
      <c r="B424" s="153"/>
      <c r="C424" s="153"/>
      <c r="D424" s="153"/>
      <c r="E424" s="251"/>
      <c r="F424" s="251"/>
      <c r="G424" s="153"/>
      <c r="H424" s="252"/>
      <c r="I424" s="153"/>
      <c r="J424" s="153"/>
      <c r="K424" s="252"/>
      <c r="L424" s="153"/>
      <c r="M424" s="252"/>
      <c r="N424" s="153"/>
      <c r="O424" s="153"/>
      <c r="P424" s="153"/>
      <c r="Q424" s="152"/>
      <c r="R424" s="153"/>
      <c r="S424" s="153"/>
      <c r="T424" s="153"/>
      <c r="U424" s="153"/>
      <c r="V424" s="153"/>
      <c r="W424" s="153"/>
      <c r="X424" s="153"/>
      <c r="Y424" s="153"/>
      <c r="Z424" s="153"/>
      <c r="AA424" s="153"/>
    </row>
    <row r="425" ht="39.75" customHeight="1">
      <c r="A425" s="153"/>
      <c r="B425" s="153"/>
      <c r="C425" s="153"/>
      <c r="D425" s="153"/>
      <c r="E425" s="251"/>
      <c r="F425" s="251"/>
      <c r="G425" s="153"/>
      <c r="H425" s="252"/>
      <c r="I425" s="153"/>
      <c r="J425" s="153"/>
      <c r="K425" s="252"/>
      <c r="L425" s="153"/>
      <c r="M425" s="252"/>
      <c r="N425" s="153"/>
      <c r="O425" s="153"/>
      <c r="P425" s="153"/>
      <c r="Q425" s="152"/>
      <c r="R425" s="153"/>
      <c r="S425" s="153"/>
      <c r="T425" s="153"/>
      <c r="U425" s="153"/>
      <c r="V425" s="153"/>
      <c r="W425" s="153"/>
      <c r="X425" s="153"/>
      <c r="Y425" s="153"/>
      <c r="Z425" s="153"/>
      <c r="AA425" s="153"/>
    </row>
    <row r="426" ht="39.75" customHeight="1">
      <c r="A426" s="153"/>
      <c r="B426" s="153"/>
      <c r="C426" s="153"/>
      <c r="D426" s="153"/>
      <c r="E426" s="251"/>
      <c r="F426" s="251"/>
      <c r="G426" s="153"/>
      <c r="H426" s="252"/>
      <c r="I426" s="153"/>
      <c r="J426" s="153"/>
      <c r="K426" s="252"/>
      <c r="L426" s="153"/>
      <c r="M426" s="252"/>
      <c r="N426" s="153"/>
      <c r="O426" s="153"/>
      <c r="P426" s="153"/>
      <c r="Q426" s="152"/>
      <c r="R426" s="153"/>
      <c r="S426" s="153"/>
      <c r="T426" s="153"/>
      <c r="U426" s="153"/>
      <c r="V426" s="153"/>
      <c r="W426" s="153"/>
      <c r="X426" s="153"/>
      <c r="Y426" s="153"/>
      <c r="Z426" s="153"/>
      <c r="AA426" s="153"/>
    </row>
    <row r="427" ht="39.75" customHeight="1">
      <c r="A427" s="153"/>
      <c r="B427" s="153"/>
      <c r="C427" s="153"/>
      <c r="D427" s="153"/>
      <c r="E427" s="251"/>
      <c r="F427" s="251"/>
      <c r="G427" s="153"/>
      <c r="H427" s="252"/>
      <c r="I427" s="153"/>
      <c r="J427" s="153"/>
      <c r="K427" s="252"/>
      <c r="L427" s="153"/>
      <c r="M427" s="252"/>
      <c r="N427" s="153"/>
      <c r="O427" s="153"/>
      <c r="P427" s="153"/>
      <c r="Q427" s="152"/>
      <c r="R427" s="153"/>
      <c r="S427" s="153"/>
      <c r="T427" s="153"/>
      <c r="U427" s="153"/>
      <c r="V427" s="153"/>
      <c r="W427" s="153"/>
      <c r="X427" s="153"/>
      <c r="Y427" s="153"/>
      <c r="Z427" s="153"/>
      <c r="AA427" s="153"/>
    </row>
    <row r="428" ht="39.75" customHeight="1">
      <c r="A428" s="153"/>
      <c r="B428" s="153"/>
      <c r="C428" s="153"/>
      <c r="D428" s="153"/>
      <c r="E428" s="251"/>
      <c r="F428" s="251"/>
      <c r="G428" s="153"/>
      <c r="H428" s="252"/>
      <c r="I428" s="153"/>
      <c r="J428" s="153"/>
      <c r="K428" s="252"/>
      <c r="L428" s="153"/>
      <c r="M428" s="252"/>
      <c r="N428" s="153"/>
      <c r="O428" s="153"/>
      <c r="P428" s="153"/>
      <c r="Q428" s="152"/>
      <c r="R428" s="153"/>
      <c r="S428" s="153"/>
      <c r="T428" s="153"/>
      <c r="U428" s="153"/>
      <c r="V428" s="153"/>
      <c r="W428" s="153"/>
      <c r="X428" s="153"/>
      <c r="Y428" s="153"/>
      <c r="Z428" s="153"/>
      <c r="AA428" s="153"/>
    </row>
    <row r="429" ht="39.75" customHeight="1">
      <c r="A429" s="153"/>
      <c r="B429" s="153"/>
      <c r="C429" s="153"/>
      <c r="D429" s="153"/>
      <c r="E429" s="251"/>
      <c r="F429" s="251"/>
      <c r="G429" s="153"/>
      <c r="H429" s="252"/>
      <c r="I429" s="153"/>
      <c r="J429" s="153"/>
      <c r="K429" s="252"/>
      <c r="L429" s="153"/>
      <c r="M429" s="252"/>
      <c r="N429" s="153"/>
      <c r="O429" s="153"/>
      <c r="P429" s="153"/>
      <c r="Q429" s="152"/>
      <c r="R429" s="153"/>
      <c r="S429" s="153"/>
      <c r="T429" s="153"/>
      <c r="U429" s="153"/>
      <c r="V429" s="153"/>
      <c r="W429" s="153"/>
      <c r="X429" s="153"/>
      <c r="Y429" s="153"/>
      <c r="Z429" s="153"/>
      <c r="AA429" s="153"/>
    </row>
    <row r="430" ht="39.75" customHeight="1">
      <c r="A430" s="153"/>
      <c r="B430" s="153"/>
      <c r="C430" s="153"/>
      <c r="D430" s="153"/>
      <c r="E430" s="251"/>
      <c r="F430" s="251"/>
      <c r="G430" s="153"/>
      <c r="H430" s="252"/>
      <c r="I430" s="153"/>
      <c r="J430" s="153"/>
      <c r="K430" s="252"/>
      <c r="L430" s="153"/>
      <c r="M430" s="252"/>
      <c r="N430" s="153"/>
      <c r="O430" s="153"/>
      <c r="P430" s="153"/>
      <c r="Q430" s="152"/>
      <c r="R430" s="153"/>
      <c r="S430" s="153"/>
      <c r="T430" s="153"/>
      <c r="U430" s="153"/>
      <c r="V430" s="153"/>
      <c r="W430" s="153"/>
      <c r="X430" s="153"/>
      <c r="Y430" s="153"/>
      <c r="Z430" s="153"/>
      <c r="AA430" s="153"/>
    </row>
    <row r="431" ht="39.75" customHeight="1">
      <c r="A431" s="153"/>
      <c r="B431" s="153"/>
      <c r="C431" s="153"/>
      <c r="D431" s="153"/>
      <c r="E431" s="251"/>
      <c r="F431" s="251"/>
      <c r="G431" s="153"/>
      <c r="H431" s="252"/>
      <c r="I431" s="153"/>
      <c r="J431" s="153"/>
      <c r="K431" s="252"/>
      <c r="L431" s="153"/>
      <c r="M431" s="252"/>
      <c r="N431" s="153"/>
      <c r="O431" s="153"/>
      <c r="P431" s="153"/>
      <c r="Q431" s="152"/>
      <c r="R431" s="153"/>
      <c r="S431" s="153"/>
      <c r="T431" s="153"/>
      <c r="U431" s="153"/>
      <c r="V431" s="153"/>
      <c r="W431" s="153"/>
      <c r="X431" s="153"/>
      <c r="Y431" s="153"/>
      <c r="Z431" s="153"/>
      <c r="AA431" s="153"/>
    </row>
    <row r="432" ht="39.75" customHeight="1">
      <c r="A432" s="153"/>
      <c r="B432" s="153"/>
      <c r="C432" s="153"/>
      <c r="D432" s="153"/>
      <c r="E432" s="251"/>
      <c r="F432" s="251"/>
      <c r="G432" s="153"/>
      <c r="H432" s="252"/>
      <c r="I432" s="153"/>
      <c r="J432" s="153"/>
      <c r="K432" s="252"/>
      <c r="L432" s="153"/>
      <c r="M432" s="252"/>
      <c r="N432" s="153"/>
      <c r="O432" s="153"/>
      <c r="P432" s="153"/>
      <c r="Q432" s="152"/>
      <c r="R432" s="153"/>
      <c r="S432" s="153"/>
      <c r="T432" s="153"/>
      <c r="U432" s="153"/>
      <c r="V432" s="153"/>
      <c r="W432" s="153"/>
      <c r="X432" s="153"/>
      <c r="Y432" s="153"/>
      <c r="Z432" s="153"/>
      <c r="AA432" s="153"/>
    </row>
    <row r="433" ht="39.75" customHeight="1">
      <c r="A433" s="153"/>
      <c r="B433" s="153"/>
      <c r="C433" s="153"/>
      <c r="D433" s="153"/>
      <c r="E433" s="251"/>
      <c r="F433" s="251"/>
      <c r="G433" s="153"/>
      <c r="H433" s="252"/>
      <c r="I433" s="153"/>
      <c r="J433" s="153"/>
      <c r="K433" s="252"/>
      <c r="L433" s="153"/>
      <c r="M433" s="252"/>
      <c r="N433" s="153"/>
      <c r="O433" s="153"/>
      <c r="P433" s="153"/>
      <c r="Q433" s="152"/>
      <c r="R433" s="153"/>
      <c r="S433" s="153"/>
      <c r="T433" s="153"/>
      <c r="U433" s="153"/>
      <c r="V433" s="153"/>
      <c r="W433" s="153"/>
      <c r="X433" s="153"/>
      <c r="Y433" s="153"/>
      <c r="Z433" s="153"/>
      <c r="AA433" s="153"/>
    </row>
    <row r="434" ht="39.75" customHeight="1">
      <c r="A434" s="153"/>
      <c r="B434" s="153"/>
      <c r="C434" s="153"/>
      <c r="D434" s="153"/>
      <c r="E434" s="251"/>
      <c r="F434" s="251"/>
      <c r="G434" s="153"/>
      <c r="H434" s="252"/>
      <c r="I434" s="153"/>
      <c r="J434" s="153"/>
      <c r="K434" s="252"/>
      <c r="L434" s="153"/>
      <c r="M434" s="252"/>
      <c r="N434" s="153"/>
      <c r="O434" s="153"/>
      <c r="P434" s="153"/>
      <c r="Q434" s="152"/>
      <c r="R434" s="153"/>
      <c r="S434" s="153"/>
      <c r="T434" s="153"/>
      <c r="U434" s="153"/>
      <c r="V434" s="153"/>
      <c r="W434" s="153"/>
      <c r="X434" s="153"/>
      <c r="Y434" s="153"/>
      <c r="Z434" s="153"/>
      <c r="AA434" s="153"/>
    </row>
    <row r="435" ht="39.75" customHeight="1">
      <c r="A435" s="153"/>
      <c r="B435" s="153"/>
      <c r="C435" s="153"/>
      <c r="D435" s="153"/>
      <c r="E435" s="251"/>
      <c r="F435" s="251"/>
      <c r="G435" s="153"/>
      <c r="H435" s="252"/>
      <c r="I435" s="153"/>
      <c r="J435" s="153"/>
      <c r="K435" s="252"/>
      <c r="L435" s="153"/>
      <c r="M435" s="252"/>
      <c r="N435" s="153"/>
      <c r="O435" s="153"/>
      <c r="P435" s="153"/>
      <c r="Q435" s="152"/>
      <c r="R435" s="153"/>
      <c r="S435" s="153"/>
      <c r="T435" s="153"/>
      <c r="U435" s="153"/>
      <c r="V435" s="153"/>
      <c r="W435" s="153"/>
      <c r="X435" s="153"/>
      <c r="Y435" s="153"/>
      <c r="Z435" s="153"/>
      <c r="AA435" s="153"/>
    </row>
    <row r="436" ht="39.75" customHeight="1">
      <c r="A436" s="153"/>
      <c r="B436" s="153"/>
      <c r="C436" s="153"/>
      <c r="D436" s="153"/>
      <c r="E436" s="251"/>
      <c r="F436" s="251"/>
      <c r="G436" s="153"/>
      <c r="H436" s="252"/>
      <c r="I436" s="153"/>
      <c r="J436" s="153"/>
      <c r="K436" s="252"/>
      <c r="L436" s="153"/>
      <c r="M436" s="252"/>
      <c r="N436" s="153"/>
      <c r="O436" s="153"/>
      <c r="P436" s="153"/>
      <c r="Q436" s="152"/>
      <c r="R436" s="153"/>
      <c r="S436" s="153"/>
      <c r="T436" s="153"/>
      <c r="U436" s="153"/>
      <c r="V436" s="153"/>
      <c r="W436" s="153"/>
      <c r="X436" s="153"/>
      <c r="Y436" s="153"/>
      <c r="Z436" s="153"/>
      <c r="AA436" s="153"/>
    </row>
    <row r="437" ht="39.75" customHeight="1">
      <c r="A437" s="153"/>
      <c r="B437" s="153"/>
      <c r="C437" s="153"/>
      <c r="D437" s="153"/>
      <c r="E437" s="251"/>
      <c r="F437" s="251"/>
      <c r="G437" s="153"/>
      <c r="H437" s="252"/>
      <c r="I437" s="153"/>
      <c r="J437" s="153"/>
      <c r="K437" s="252"/>
      <c r="L437" s="153"/>
      <c r="M437" s="252"/>
      <c r="N437" s="153"/>
      <c r="O437" s="153"/>
      <c r="P437" s="153"/>
      <c r="Q437" s="152"/>
      <c r="R437" s="153"/>
      <c r="S437" s="153"/>
      <c r="T437" s="153"/>
      <c r="U437" s="153"/>
      <c r="V437" s="153"/>
      <c r="W437" s="153"/>
      <c r="X437" s="153"/>
      <c r="Y437" s="153"/>
      <c r="Z437" s="153"/>
      <c r="AA437" s="153"/>
    </row>
    <row r="438" ht="39.75" customHeight="1">
      <c r="A438" s="153"/>
      <c r="B438" s="153"/>
      <c r="C438" s="153"/>
      <c r="D438" s="153"/>
      <c r="E438" s="251"/>
      <c r="F438" s="251"/>
      <c r="G438" s="153"/>
      <c r="H438" s="252"/>
      <c r="I438" s="153"/>
      <c r="J438" s="153"/>
      <c r="K438" s="252"/>
      <c r="L438" s="153"/>
      <c r="M438" s="252"/>
      <c r="N438" s="153"/>
      <c r="O438" s="153"/>
      <c r="P438" s="153"/>
      <c r="Q438" s="152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</row>
    <row r="439" ht="39.75" customHeight="1">
      <c r="A439" s="153"/>
      <c r="B439" s="153"/>
      <c r="C439" s="153"/>
      <c r="D439" s="153"/>
      <c r="E439" s="251"/>
      <c r="F439" s="251"/>
      <c r="G439" s="153"/>
      <c r="H439" s="252"/>
      <c r="I439" s="153"/>
      <c r="J439" s="153"/>
      <c r="K439" s="252"/>
      <c r="L439" s="153"/>
      <c r="M439" s="252"/>
      <c r="N439" s="153"/>
      <c r="O439" s="153"/>
      <c r="P439" s="153"/>
      <c r="Q439" s="152"/>
      <c r="R439" s="153"/>
      <c r="S439" s="153"/>
      <c r="T439" s="153"/>
      <c r="U439" s="153"/>
      <c r="V439" s="153"/>
      <c r="W439" s="153"/>
      <c r="X439" s="153"/>
      <c r="Y439" s="153"/>
      <c r="Z439" s="153"/>
      <c r="AA439" s="153"/>
    </row>
    <row r="440" ht="39.75" customHeight="1">
      <c r="A440" s="153"/>
      <c r="B440" s="153"/>
      <c r="C440" s="153"/>
      <c r="D440" s="153"/>
      <c r="E440" s="251"/>
      <c r="F440" s="251"/>
      <c r="G440" s="153"/>
      <c r="H440" s="252"/>
      <c r="I440" s="153"/>
      <c r="J440" s="153"/>
      <c r="K440" s="252"/>
      <c r="L440" s="153"/>
      <c r="M440" s="252"/>
      <c r="N440" s="153"/>
      <c r="O440" s="153"/>
      <c r="P440" s="153"/>
      <c r="Q440" s="152"/>
      <c r="R440" s="153"/>
      <c r="S440" s="153"/>
      <c r="T440" s="153"/>
      <c r="U440" s="153"/>
      <c r="V440" s="153"/>
      <c r="W440" s="153"/>
      <c r="X440" s="153"/>
      <c r="Y440" s="153"/>
      <c r="Z440" s="153"/>
      <c r="AA440" s="153"/>
    </row>
    <row r="441" ht="39.75" customHeight="1">
      <c r="A441" s="153"/>
      <c r="B441" s="153"/>
      <c r="C441" s="153"/>
      <c r="D441" s="153"/>
      <c r="E441" s="251"/>
      <c r="F441" s="251"/>
      <c r="G441" s="153"/>
      <c r="H441" s="252"/>
      <c r="I441" s="153"/>
      <c r="J441" s="153"/>
      <c r="K441" s="252"/>
      <c r="L441" s="153"/>
      <c r="M441" s="252"/>
      <c r="N441" s="153"/>
      <c r="O441" s="153"/>
      <c r="P441" s="153"/>
      <c r="Q441" s="152"/>
      <c r="R441" s="153"/>
      <c r="S441" s="153"/>
      <c r="T441" s="153"/>
      <c r="U441" s="153"/>
      <c r="V441" s="153"/>
      <c r="W441" s="153"/>
      <c r="X441" s="153"/>
      <c r="Y441" s="153"/>
      <c r="Z441" s="153"/>
      <c r="AA441" s="153"/>
    </row>
    <row r="442" ht="39.75" customHeight="1">
      <c r="A442" s="153"/>
      <c r="B442" s="153"/>
      <c r="C442" s="153"/>
      <c r="D442" s="153"/>
      <c r="E442" s="251"/>
      <c r="F442" s="251"/>
      <c r="G442" s="153"/>
      <c r="H442" s="252"/>
      <c r="I442" s="153"/>
      <c r="J442" s="153"/>
      <c r="K442" s="252"/>
      <c r="L442" s="153"/>
      <c r="M442" s="252"/>
      <c r="N442" s="153"/>
      <c r="O442" s="153"/>
      <c r="P442" s="153"/>
      <c r="Q442" s="152"/>
      <c r="R442" s="153"/>
      <c r="S442" s="153"/>
      <c r="T442" s="153"/>
      <c r="U442" s="153"/>
      <c r="V442" s="153"/>
      <c r="W442" s="153"/>
      <c r="X442" s="153"/>
      <c r="Y442" s="153"/>
      <c r="Z442" s="153"/>
      <c r="AA442" s="153"/>
    </row>
    <row r="443" ht="39.75" customHeight="1">
      <c r="A443" s="153"/>
      <c r="B443" s="153"/>
      <c r="C443" s="153"/>
      <c r="D443" s="153"/>
      <c r="E443" s="251"/>
      <c r="F443" s="251"/>
      <c r="G443" s="153"/>
      <c r="H443" s="252"/>
      <c r="I443" s="153"/>
      <c r="J443" s="153"/>
      <c r="K443" s="252"/>
      <c r="L443" s="153"/>
      <c r="M443" s="252"/>
      <c r="N443" s="153"/>
      <c r="O443" s="153"/>
      <c r="P443" s="153"/>
      <c r="Q443" s="152"/>
      <c r="R443" s="153"/>
      <c r="S443" s="153"/>
      <c r="T443" s="153"/>
      <c r="U443" s="153"/>
      <c r="V443" s="153"/>
      <c r="W443" s="153"/>
      <c r="X443" s="153"/>
      <c r="Y443" s="153"/>
      <c r="Z443" s="153"/>
      <c r="AA443" s="153"/>
    </row>
    <row r="444" ht="39.75" customHeight="1">
      <c r="A444" s="153"/>
      <c r="B444" s="153"/>
      <c r="C444" s="153"/>
      <c r="D444" s="153"/>
      <c r="E444" s="251"/>
      <c r="F444" s="251"/>
      <c r="G444" s="153"/>
      <c r="H444" s="252"/>
      <c r="I444" s="153"/>
      <c r="J444" s="153"/>
      <c r="K444" s="252"/>
      <c r="L444" s="153"/>
      <c r="M444" s="252"/>
      <c r="N444" s="153"/>
      <c r="O444" s="153"/>
      <c r="P444" s="153"/>
      <c r="Q444" s="152"/>
      <c r="R444" s="153"/>
      <c r="S444" s="153"/>
      <c r="T444" s="153"/>
      <c r="U444" s="153"/>
      <c r="V444" s="153"/>
      <c r="W444" s="153"/>
      <c r="X444" s="153"/>
      <c r="Y444" s="153"/>
      <c r="Z444" s="153"/>
      <c r="AA444" s="153"/>
    </row>
    <row r="445" ht="39.75" customHeight="1">
      <c r="A445" s="153"/>
      <c r="B445" s="153"/>
      <c r="C445" s="153"/>
      <c r="D445" s="153"/>
      <c r="E445" s="251"/>
      <c r="F445" s="251"/>
      <c r="G445" s="153"/>
      <c r="H445" s="252"/>
      <c r="I445" s="153"/>
      <c r="J445" s="153"/>
      <c r="K445" s="252"/>
      <c r="L445" s="153"/>
      <c r="M445" s="252"/>
      <c r="N445" s="153"/>
      <c r="O445" s="153"/>
      <c r="P445" s="153"/>
      <c r="Q445" s="152"/>
      <c r="R445" s="153"/>
      <c r="S445" s="153"/>
      <c r="T445" s="153"/>
      <c r="U445" s="153"/>
      <c r="V445" s="153"/>
      <c r="W445" s="153"/>
      <c r="X445" s="153"/>
      <c r="Y445" s="153"/>
      <c r="Z445" s="153"/>
      <c r="AA445" s="153"/>
    </row>
    <row r="446" ht="39.75" customHeight="1">
      <c r="A446" s="153"/>
      <c r="B446" s="153"/>
      <c r="C446" s="153"/>
      <c r="D446" s="153"/>
      <c r="E446" s="251"/>
      <c r="F446" s="251"/>
      <c r="G446" s="153"/>
      <c r="H446" s="252"/>
      <c r="I446" s="153"/>
      <c r="J446" s="153"/>
      <c r="K446" s="252"/>
      <c r="L446" s="153"/>
      <c r="M446" s="252"/>
      <c r="N446" s="153"/>
      <c r="O446" s="153"/>
      <c r="P446" s="153"/>
      <c r="Q446" s="152"/>
      <c r="R446" s="153"/>
      <c r="S446" s="153"/>
      <c r="T446" s="153"/>
      <c r="U446" s="153"/>
      <c r="V446" s="153"/>
      <c r="W446" s="153"/>
      <c r="X446" s="153"/>
      <c r="Y446" s="153"/>
      <c r="Z446" s="153"/>
      <c r="AA446" s="153"/>
    </row>
    <row r="447" ht="39.75" customHeight="1">
      <c r="A447" s="153"/>
      <c r="B447" s="153"/>
      <c r="C447" s="153"/>
      <c r="D447" s="153"/>
      <c r="E447" s="251"/>
      <c r="F447" s="251"/>
      <c r="G447" s="153"/>
      <c r="H447" s="252"/>
      <c r="I447" s="153"/>
      <c r="J447" s="153"/>
      <c r="K447" s="252"/>
      <c r="L447" s="153"/>
      <c r="M447" s="252"/>
      <c r="N447" s="153"/>
      <c r="O447" s="153"/>
      <c r="P447" s="153"/>
      <c r="Q447" s="152"/>
      <c r="R447" s="153"/>
      <c r="S447" s="153"/>
      <c r="T447" s="153"/>
      <c r="U447" s="153"/>
      <c r="V447" s="153"/>
      <c r="W447" s="153"/>
      <c r="X447" s="153"/>
      <c r="Y447" s="153"/>
      <c r="Z447" s="153"/>
      <c r="AA447" s="153"/>
    </row>
    <row r="448" ht="39.75" customHeight="1">
      <c r="A448" s="153"/>
      <c r="B448" s="153"/>
      <c r="C448" s="153"/>
      <c r="D448" s="153"/>
      <c r="E448" s="251"/>
      <c r="F448" s="251"/>
      <c r="G448" s="153"/>
      <c r="H448" s="252"/>
      <c r="I448" s="153"/>
      <c r="J448" s="153"/>
      <c r="K448" s="252"/>
      <c r="L448" s="153"/>
      <c r="M448" s="252"/>
      <c r="N448" s="153"/>
      <c r="O448" s="153"/>
      <c r="P448" s="153"/>
      <c r="Q448" s="152"/>
      <c r="R448" s="153"/>
      <c r="S448" s="153"/>
      <c r="T448" s="153"/>
      <c r="U448" s="153"/>
      <c r="V448" s="153"/>
      <c r="W448" s="153"/>
      <c r="X448" s="153"/>
      <c r="Y448" s="153"/>
      <c r="Z448" s="153"/>
      <c r="AA448" s="153"/>
    </row>
    <row r="449" ht="39.75" customHeight="1">
      <c r="A449" s="153"/>
      <c r="B449" s="153"/>
      <c r="C449" s="153"/>
      <c r="D449" s="153"/>
      <c r="E449" s="251"/>
      <c r="F449" s="251"/>
      <c r="G449" s="153"/>
      <c r="H449" s="252"/>
      <c r="I449" s="153"/>
      <c r="J449" s="153"/>
      <c r="K449" s="252"/>
      <c r="L449" s="153"/>
      <c r="M449" s="252"/>
      <c r="N449" s="153"/>
      <c r="O449" s="153"/>
      <c r="P449" s="153"/>
      <c r="Q449" s="152"/>
      <c r="R449" s="153"/>
      <c r="S449" s="153"/>
      <c r="T449" s="153"/>
      <c r="U449" s="153"/>
      <c r="V449" s="153"/>
      <c r="W449" s="153"/>
      <c r="X449" s="153"/>
      <c r="Y449" s="153"/>
      <c r="Z449" s="153"/>
      <c r="AA449" s="153"/>
    </row>
    <row r="450" ht="39.75" customHeight="1">
      <c r="A450" s="153"/>
      <c r="B450" s="153"/>
      <c r="C450" s="153"/>
      <c r="D450" s="153"/>
      <c r="E450" s="251"/>
      <c r="F450" s="251"/>
      <c r="G450" s="153"/>
      <c r="H450" s="252"/>
      <c r="I450" s="153"/>
      <c r="J450" s="153"/>
      <c r="K450" s="252"/>
      <c r="L450" s="153"/>
      <c r="M450" s="252"/>
      <c r="N450" s="153"/>
      <c r="O450" s="153"/>
      <c r="P450" s="153"/>
      <c r="Q450" s="152"/>
      <c r="R450" s="153"/>
      <c r="S450" s="153"/>
      <c r="T450" s="153"/>
      <c r="U450" s="153"/>
      <c r="V450" s="153"/>
      <c r="W450" s="153"/>
      <c r="X450" s="153"/>
      <c r="Y450" s="153"/>
      <c r="Z450" s="153"/>
      <c r="AA450" s="153"/>
    </row>
    <row r="451" ht="39.75" customHeight="1">
      <c r="A451" s="153"/>
      <c r="B451" s="153"/>
      <c r="C451" s="153"/>
      <c r="D451" s="153"/>
      <c r="E451" s="251"/>
      <c r="F451" s="251"/>
      <c r="G451" s="153"/>
      <c r="H451" s="252"/>
      <c r="I451" s="153"/>
      <c r="J451" s="153"/>
      <c r="K451" s="252"/>
      <c r="L451" s="153"/>
      <c r="M451" s="252"/>
      <c r="N451" s="153"/>
      <c r="O451" s="153"/>
      <c r="P451" s="153"/>
      <c r="Q451" s="152"/>
      <c r="R451" s="153"/>
      <c r="S451" s="153"/>
      <c r="T451" s="153"/>
      <c r="U451" s="153"/>
      <c r="V451" s="153"/>
      <c r="W451" s="153"/>
      <c r="X451" s="153"/>
      <c r="Y451" s="153"/>
      <c r="Z451" s="153"/>
      <c r="AA451" s="153"/>
    </row>
    <row r="452" ht="39.75" customHeight="1">
      <c r="A452" s="153"/>
      <c r="B452" s="153"/>
      <c r="C452" s="153"/>
      <c r="D452" s="153"/>
      <c r="E452" s="251"/>
      <c r="F452" s="251"/>
      <c r="G452" s="153"/>
      <c r="H452" s="252"/>
      <c r="I452" s="153"/>
      <c r="J452" s="153"/>
      <c r="K452" s="252"/>
      <c r="L452" s="153"/>
      <c r="M452" s="252"/>
      <c r="N452" s="153"/>
      <c r="O452" s="153"/>
      <c r="P452" s="153"/>
      <c r="Q452" s="152"/>
      <c r="R452" s="153"/>
      <c r="S452" s="153"/>
      <c r="T452" s="153"/>
      <c r="U452" s="153"/>
      <c r="V452" s="153"/>
      <c r="W452" s="153"/>
      <c r="X452" s="153"/>
      <c r="Y452" s="153"/>
      <c r="Z452" s="153"/>
      <c r="AA452" s="153"/>
    </row>
    <row r="453" ht="39.75" customHeight="1">
      <c r="A453" s="153"/>
      <c r="B453" s="153"/>
      <c r="C453" s="153"/>
      <c r="D453" s="153"/>
      <c r="E453" s="251"/>
      <c r="F453" s="251"/>
      <c r="G453" s="153"/>
      <c r="H453" s="252"/>
      <c r="I453" s="153"/>
      <c r="J453" s="153"/>
      <c r="K453" s="252"/>
      <c r="L453" s="153"/>
      <c r="M453" s="252"/>
      <c r="N453" s="153"/>
      <c r="O453" s="153"/>
      <c r="P453" s="153"/>
      <c r="Q453" s="152"/>
      <c r="R453" s="153"/>
      <c r="S453" s="153"/>
      <c r="T453" s="153"/>
      <c r="U453" s="153"/>
      <c r="V453" s="153"/>
      <c r="W453" s="153"/>
      <c r="X453" s="153"/>
      <c r="Y453" s="153"/>
      <c r="Z453" s="153"/>
      <c r="AA453" s="153"/>
    </row>
    <row r="454" ht="39.75" customHeight="1">
      <c r="A454" s="153"/>
      <c r="B454" s="153"/>
      <c r="C454" s="153"/>
      <c r="D454" s="153"/>
      <c r="E454" s="251"/>
      <c r="F454" s="251"/>
      <c r="G454" s="153"/>
      <c r="H454" s="252"/>
      <c r="I454" s="153"/>
      <c r="J454" s="153"/>
      <c r="K454" s="252"/>
      <c r="L454" s="153"/>
      <c r="M454" s="252"/>
      <c r="N454" s="153"/>
      <c r="O454" s="153"/>
      <c r="P454" s="153"/>
      <c r="Q454" s="152"/>
      <c r="R454" s="153"/>
      <c r="S454" s="153"/>
      <c r="T454" s="153"/>
      <c r="U454" s="153"/>
      <c r="V454" s="153"/>
      <c r="W454" s="153"/>
      <c r="X454" s="153"/>
      <c r="Y454" s="153"/>
      <c r="Z454" s="153"/>
      <c r="AA454" s="153"/>
    </row>
    <row r="455" ht="39.75" customHeight="1">
      <c r="A455" s="153"/>
      <c r="B455" s="153"/>
      <c r="C455" s="153"/>
      <c r="D455" s="153"/>
      <c r="E455" s="251"/>
      <c r="F455" s="251"/>
      <c r="G455" s="153"/>
      <c r="H455" s="252"/>
      <c r="I455" s="153"/>
      <c r="J455" s="153"/>
      <c r="K455" s="252"/>
      <c r="L455" s="153"/>
      <c r="M455" s="252"/>
      <c r="N455" s="153"/>
      <c r="O455" s="153"/>
      <c r="P455" s="153"/>
      <c r="Q455" s="152"/>
      <c r="R455" s="153"/>
      <c r="S455" s="153"/>
      <c r="T455" s="153"/>
      <c r="U455" s="153"/>
      <c r="V455" s="153"/>
      <c r="W455" s="153"/>
      <c r="X455" s="153"/>
      <c r="Y455" s="153"/>
      <c r="Z455" s="153"/>
      <c r="AA455" s="153"/>
    </row>
    <row r="456" ht="39.75" customHeight="1">
      <c r="A456" s="153"/>
      <c r="B456" s="153"/>
      <c r="C456" s="153"/>
      <c r="D456" s="153"/>
      <c r="E456" s="251"/>
      <c r="F456" s="251"/>
      <c r="G456" s="153"/>
      <c r="H456" s="252"/>
      <c r="I456" s="153"/>
      <c r="J456" s="153"/>
      <c r="K456" s="252"/>
      <c r="L456" s="153"/>
      <c r="M456" s="252"/>
      <c r="N456" s="153"/>
      <c r="O456" s="153"/>
      <c r="P456" s="153"/>
      <c r="Q456" s="152"/>
      <c r="R456" s="153"/>
      <c r="S456" s="153"/>
      <c r="T456" s="153"/>
      <c r="U456" s="153"/>
      <c r="V456" s="153"/>
      <c r="W456" s="153"/>
      <c r="X456" s="153"/>
      <c r="Y456" s="153"/>
      <c r="Z456" s="153"/>
      <c r="AA456" s="153"/>
    </row>
    <row r="457" ht="39.75" customHeight="1">
      <c r="A457" s="153"/>
      <c r="B457" s="153"/>
      <c r="C457" s="153"/>
      <c r="D457" s="153"/>
      <c r="E457" s="251"/>
      <c r="F457" s="251"/>
      <c r="G457" s="153"/>
      <c r="H457" s="252"/>
      <c r="I457" s="153"/>
      <c r="J457" s="153"/>
      <c r="K457" s="252"/>
      <c r="L457" s="153"/>
      <c r="M457" s="252"/>
      <c r="N457" s="153"/>
      <c r="O457" s="153"/>
      <c r="P457" s="153"/>
      <c r="Q457" s="152"/>
      <c r="R457" s="153"/>
      <c r="S457" s="153"/>
      <c r="T457" s="153"/>
      <c r="U457" s="153"/>
      <c r="V457" s="153"/>
      <c r="W457" s="153"/>
      <c r="X457" s="153"/>
      <c r="Y457" s="153"/>
      <c r="Z457" s="153"/>
      <c r="AA457" s="153"/>
    </row>
    <row r="458" ht="39.75" customHeight="1">
      <c r="A458" s="153"/>
      <c r="B458" s="153"/>
      <c r="C458" s="153"/>
      <c r="D458" s="153"/>
      <c r="E458" s="251"/>
      <c r="F458" s="251"/>
      <c r="G458" s="153"/>
      <c r="H458" s="252"/>
      <c r="I458" s="153"/>
      <c r="J458" s="153"/>
      <c r="K458" s="252"/>
      <c r="L458" s="153"/>
      <c r="M458" s="252"/>
      <c r="N458" s="153"/>
      <c r="O458" s="153"/>
      <c r="P458" s="153"/>
      <c r="Q458" s="152"/>
      <c r="R458" s="153"/>
      <c r="S458" s="153"/>
      <c r="T458" s="153"/>
      <c r="U458" s="153"/>
      <c r="V458" s="153"/>
      <c r="W458" s="153"/>
      <c r="X458" s="153"/>
      <c r="Y458" s="153"/>
      <c r="Z458" s="153"/>
      <c r="AA458" s="153"/>
    </row>
    <row r="459" ht="39.75" customHeight="1">
      <c r="A459" s="153"/>
      <c r="B459" s="153"/>
      <c r="C459" s="153"/>
      <c r="D459" s="153"/>
      <c r="E459" s="251"/>
      <c r="F459" s="251"/>
      <c r="G459" s="153"/>
      <c r="H459" s="252"/>
      <c r="I459" s="153"/>
      <c r="J459" s="153"/>
      <c r="K459" s="252"/>
      <c r="L459" s="153"/>
      <c r="M459" s="252"/>
      <c r="N459" s="153"/>
      <c r="O459" s="153"/>
      <c r="P459" s="153"/>
      <c r="Q459" s="152"/>
      <c r="R459" s="153"/>
      <c r="S459" s="153"/>
      <c r="T459" s="153"/>
      <c r="U459" s="153"/>
      <c r="V459" s="153"/>
      <c r="W459" s="153"/>
      <c r="X459" s="153"/>
      <c r="Y459" s="153"/>
      <c r="Z459" s="153"/>
      <c r="AA459" s="153"/>
    </row>
    <row r="460" ht="39.75" customHeight="1">
      <c r="A460" s="153"/>
      <c r="B460" s="153"/>
      <c r="C460" s="153"/>
      <c r="D460" s="153"/>
      <c r="E460" s="251"/>
      <c r="F460" s="251"/>
      <c r="G460" s="153"/>
      <c r="H460" s="252"/>
      <c r="I460" s="153"/>
      <c r="J460" s="153"/>
      <c r="K460" s="252"/>
      <c r="L460" s="153"/>
      <c r="M460" s="252"/>
      <c r="N460" s="153"/>
      <c r="O460" s="153"/>
      <c r="P460" s="153"/>
      <c r="Q460" s="152"/>
      <c r="R460" s="153"/>
      <c r="S460" s="153"/>
      <c r="T460" s="153"/>
      <c r="U460" s="153"/>
      <c r="V460" s="153"/>
      <c r="W460" s="153"/>
      <c r="X460" s="153"/>
      <c r="Y460" s="153"/>
      <c r="Z460" s="153"/>
      <c r="AA460" s="153"/>
    </row>
    <row r="461" ht="39.75" customHeight="1">
      <c r="A461" s="153"/>
      <c r="B461" s="153"/>
      <c r="C461" s="153"/>
      <c r="D461" s="153"/>
      <c r="E461" s="251"/>
      <c r="F461" s="251"/>
      <c r="G461" s="153"/>
      <c r="H461" s="252"/>
      <c r="I461" s="153"/>
      <c r="J461" s="153"/>
      <c r="K461" s="252"/>
      <c r="L461" s="153"/>
      <c r="M461" s="252"/>
      <c r="N461" s="153"/>
      <c r="O461" s="153"/>
      <c r="P461" s="153"/>
      <c r="Q461" s="152"/>
      <c r="R461" s="153"/>
      <c r="S461" s="153"/>
      <c r="T461" s="153"/>
      <c r="U461" s="153"/>
      <c r="V461" s="153"/>
      <c r="W461" s="153"/>
      <c r="X461" s="153"/>
      <c r="Y461" s="153"/>
      <c r="Z461" s="153"/>
      <c r="AA461" s="153"/>
    </row>
    <row r="462" ht="39.75" customHeight="1">
      <c r="A462" s="153"/>
      <c r="B462" s="153"/>
      <c r="C462" s="153"/>
      <c r="D462" s="153"/>
      <c r="E462" s="251"/>
      <c r="F462" s="251"/>
      <c r="G462" s="153"/>
      <c r="H462" s="252"/>
      <c r="I462" s="153"/>
      <c r="J462" s="153"/>
      <c r="K462" s="252"/>
      <c r="L462" s="153"/>
      <c r="M462" s="252"/>
      <c r="N462" s="153"/>
      <c r="O462" s="153"/>
      <c r="P462" s="153"/>
      <c r="Q462" s="152"/>
      <c r="R462" s="153"/>
      <c r="S462" s="153"/>
      <c r="T462" s="153"/>
      <c r="U462" s="153"/>
      <c r="V462" s="153"/>
      <c r="W462" s="153"/>
      <c r="X462" s="153"/>
      <c r="Y462" s="153"/>
      <c r="Z462" s="153"/>
      <c r="AA462" s="153"/>
    </row>
    <row r="463" ht="39.75" customHeight="1">
      <c r="A463" s="153"/>
      <c r="B463" s="153"/>
      <c r="C463" s="153"/>
      <c r="D463" s="153"/>
      <c r="E463" s="251"/>
      <c r="F463" s="251"/>
      <c r="G463" s="153"/>
      <c r="H463" s="252"/>
      <c r="I463" s="153"/>
      <c r="J463" s="153"/>
      <c r="K463" s="252"/>
      <c r="L463" s="153"/>
      <c r="M463" s="252"/>
      <c r="N463" s="153"/>
      <c r="O463" s="153"/>
      <c r="P463" s="153"/>
      <c r="Q463" s="152"/>
      <c r="R463" s="153"/>
      <c r="S463" s="153"/>
      <c r="T463" s="153"/>
      <c r="U463" s="153"/>
      <c r="V463" s="153"/>
      <c r="W463" s="153"/>
      <c r="X463" s="153"/>
      <c r="Y463" s="153"/>
      <c r="Z463" s="153"/>
      <c r="AA463" s="153"/>
    </row>
    <row r="464" ht="39.75" customHeight="1">
      <c r="A464" s="153"/>
      <c r="B464" s="153"/>
      <c r="C464" s="153"/>
      <c r="D464" s="153"/>
      <c r="E464" s="251"/>
      <c r="F464" s="251"/>
      <c r="G464" s="153"/>
      <c r="H464" s="252"/>
      <c r="I464" s="153"/>
      <c r="J464" s="153"/>
      <c r="K464" s="252"/>
      <c r="L464" s="153"/>
      <c r="M464" s="252"/>
      <c r="N464" s="153"/>
      <c r="O464" s="153"/>
      <c r="P464" s="153"/>
      <c r="Q464" s="152"/>
      <c r="R464" s="153"/>
      <c r="S464" s="153"/>
      <c r="T464" s="153"/>
      <c r="U464" s="153"/>
      <c r="V464" s="153"/>
      <c r="W464" s="153"/>
      <c r="X464" s="153"/>
      <c r="Y464" s="153"/>
      <c r="Z464" s="153"/>
      <c r="AA464" s="153"/>
    </row>
    <row r="465" ht="39.75" customHeight="1">
      <c r="A465" s="153"/>
      <c r="B465" s="153"/>
      <c r="C465" s="153"/>
      <c r="D465" s="153"/>
      <c r="E465" s="251"/>
      <c r="F465" s="251"/>
      <c r="G465" s="153"/>
      <c r="H465" s="252"/>
      <c r="I465" s="153"/>
      <c r="J465" s="153"/>
      <c r="K465" s="252"/>
      <c r="L465" s="153"/>
      <c r="M465" s="252"/>
      <c r="N465" s="153"/>
      <c r="O465" s="153"/>
      <c r="P465" s="153"/>
      <c r="Q465" s="152"/>
      <c r="R465" s="153"/>
      <c r="S465" s="153"/>
      <c r="T465" s="153"/>
      <c r="U465" s="153"/>
      <c r="V465" s="153"/>
      <c r="W465" s="153"/>
      <c r="X465" s="153"/>
      <c r="Y465" s="153"/>
      <c r="Z465" s="153"/>
      <c r="AA465" s="153"/>
    </row>
    <row r="466" ht="39.75" customHeight="1">
      <c r="A466" s="153"/>
      <c r="B466" s="153"/>
      <c r="C466" s="153"/>
      <c r="D466" s="153"/>
      <c r="E466" s="251"/>
      <c r="F466" s="251"/>
      <c r="G466" s="153"/>
      <c r="H466" s="252"/>
      <c r="I466" s="153"/>
      <c r="J466" s="153"/>
      <c r="K466" s="252"/>
      <c r="L466" s="153"/>
      <c r="M466" s="252"/>
      <c r="N466" s="153"/>
      <c r="O466" s="153"/>
      <c r="P466" s="153"/>
      <c r="Q466" s="152"/>
      <c r="R466" s="153"/>
      <c r="S466" s="153"/>
      <c r="T466" s="153"/>
      <c r="U466" s="153"/>
      <c r="V466" s="153"/>
      <c r="W466" s="153"/>
      <c r="X466" s="153"/>
      <c r="Y466" s="153"/>
      <c r="Z466" s="153"/>
      <c r="AA466" s="153"/>
    </row>
    <row r="467" ht="39.75" customHeight="1">
      <c r="A467" s="153"/>
      <c r="B467" s="153"/>
      <c r="C467" s="153"/>
      <c r="D467" s="153"/>
      <c r="E467" s="251"/>
      <c r="F467" s="251"/>
      <c r="G467" s="153"/>
      <c r="H467" s="252"/>
      <c r="I467" s="153"/>
      <c r="J467" s="153"/>
      <c r="K467" s="252"/>
      <c r="L467" s="153"/>
      <c r="M467" s="252"/>
      <c r="N467" s="153"/>
      <c r="O467" s="153"/>
      <c r="P467" s="153"/>
      <c r="Q467" s="152"/>
      <c r="R467" s="153"/>
      <c r="S467" s="153"/>
      <c r="T467" s="153"/>
      <c r="U467" s="153"/>
      <c r="V467" s="153"/>
      <c r="W467" s="153"/>
      <c r="X467" s="153"/>
      <c r="Y467" s="153"/>
      <c r="Z467" s="153"/>
      <c r="AA467" s="153"/>
    </row>
    <row r="468" ht="39.75" customHeight="1">
      <c r="A468" s="153"/>
      <c r="B468" s="153"/>
      <c r="C468" s="153"/>
      <c r="D468" s="153"/>
      <c r="E468" s="251"/>
      <c r="F468" s="251"/>
      <c r="G468" s="153"/>
      <c r="H468" s="252"/>
      <c r="I468" s="153"/>
      <c r="J468" s="153"/>
      <c r="K468" s="252"/>
      <c r="L468" s="153"/>
      <c r="M468" s="252"/>
      <c r="N468" s="153"/>
      <c r="O468" s="153"/>
      <c r="P468" s="153"/>
      <c r="Q468" s="152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</row>
    <row r="469" ht="39.75" customHeight="1">
      <c r="A469" s="153"/>
      <c r="B469" s="153"/>
      <c r="C469" s="153"/>
      <c r="D469" s="153"/>
      <c r="E469" s="251"/>
      <c r="F469" s="251"/>
      <c r="G469" s="153"/>
      <c r="H469" s="252"/>
      <c r="I469" s="153"/>
      <c r="J469" s="153"/>
      <c r="K469" s="252"/>
      <c r="L469" s="153"/>
      <c r="M469" s="252"/>
      <c r="N469" s="153"/>
      <c r="O469" s="153"/>
      <c r="P469" s="153"/>
      <c r="Q469" s="152"/>
      <c r="R469" s="153"/>
      <c r="S469" s="153"/>
      <c r="T469" s="153"/>
      <c r="U469" s="153"/>
      <c r="V469" s="153"/>
      <c r="W469" s="153"/>
      <c r="X469" s="153"/>
      <c r="Y469" s="153"/>
      <c r="Z469" s="153"/>
      <c r="AA469" s="153"/>
    </row>
    <row r="470" ht="39.75" customHeight="1">
      <c r="A470" s="153"/>
      <c r="B470" s="153"/>
      <c r="C470" s="153"/>
      <c r="D470" s="153"/>
      <c r="E470" s="251"/>
      <c r="F470" s="251"/>
      <c r="G470" s="153"/>
      <c r="H470" s="252"/>
      <c r="I470" s="153"/>
      <c r="J470" s="153"/>
      <c r="K470" s="252"/>
      <c r="L470" s="153"/>
      <c r="M470" s="252"/>
      <c r="N470" s="153"/>
      <c r="O470" s="153"/>
      <c r="P470" s="153"/>
      <c r="Q470" s="152"/>
      <c r="R470" s="153"/>
      <c r="S470" s="153"/>
      <c r="T470" s="153"/>
      <c r="U470" s="153"/>
      <c r="V470" s="153"/>
      <c r="W470" s="153"/>
      <c r="X470" s="153"/>
      <c r="Y470" s="153"/>
      <c r="Z470" s="153"/>
      <c r="AA470" s="153"/>
    </row>
    <row r="471" ht="39.75" customHeight="1">
      <c r="A471" s="153"/>
      <c r="B471" s="153"/>
      <c r="C471" s="153"/>
      <c r="D471" s="153"/>
      <c r="E471" s="251"/>
      <c r="F471" s="251"/>
      <c r="G471" s="153"/>
      <c r="H471" s="252"/>
      <c r="I471" s="153"/>
      <c r="J471" s="153"/>
      <c r="K471" s="252"/>
      <c r="L471" s="153"/>
      <c r="M471" s="252"/>
      <c r="N471" s="153"/>
      <c r="O471" s="153"/>
      <c r="P471" s="153"/>
      <c r="Q471" s="152"/>
      <c r="R471" s="153"/>
      <c r="S471" s="153"/>
      <c r="T471" s="153"/>
      <c r="U471" s="153"/>
      <c r="V471" s="153"/>
      <c r="W471" s="153"/>
      <c r="X471" s="153"/>
      <c r="Y471" s="153"/>
      <c r="Z471" s="153"/>
      <c r="AA471" s="153"/>
    </row>
    <row r="472" ht="39.75" customHeight="1">
      <c r="A472" s="153"/>
      <c r="B472" s="153"/>
      <c r="C472" s="153"/>
      <c r="D472" s="153"/>
      <c r="E472" s="251"/>
      <c r="F472" s="251"/>
      <c r="G472" s="153"/>
      <c r="H472" s="252"/>
      <c r="I472" s="153"/>
      <c r="J472" s="153"/>
      <c r="K472" s="252"/>
      <c r="L472" s="153"/>
      <c r="M472" s="252"/>
      <c r="N472" s="153"/>
      <c r="O472" s="153"/>
      <c r="P472" s="153"/>
      <c r="Q472" s="152"/>
      <c r="R472" s="153"/>
      <c r="S472" s="153"/>
      <c r="T472" s="153"/>
      <c r="U472" s="153"/>
      <c r="V472" s="153"/>
      <c r="W472" s="153"/>
      <c r="X472" s="153"/>
      <c r="Y472" s="153"/>
      <c r="Z472" s="153"/>
      <c r="AA472" s="153"/>
    </row>
    <row r="473" ht="39.75" customHeight="1">
      <c r="A473" s="153"/>
      <c r="B473" s="153"/>
      <c r="C473" s="153"/>
      <c r="D473" s="153"/>
      <c r="E473" s="251"/>
      <c r="F473" s="251"/>
      <c r="G473" s="153"/>
      <c r="H473" s="252"/>
      <c r="I473" s="153"/>
      <c r="J473" s="153"/>
      <c r="K473" s="252"/>
      <c r="L473" s="153"/>
      <c r="M473" s="252"/>
      <c r="N473" s="153"/>
      <c r="O473" s="153"/>
      <c r="P473" s="153"/>
      <c r="Q473" s="152"/>
      <c r="R473" s="153"/>
      <c r="S473" s="153"/>
      <c r="T473" s="153"/>
      <c r="U473" s="153"/>
      <c r="V473" s="153"/>
      <c r="W473" s="153"/>
      <c r="X473" s="153"/>
      <c r="Y473" s="153"/>
      <c r="Z473" s="153"/>
      <c r="AA473" s="153"/>
    </row>
    <row r="474" ht="39.75" customHeight="1">
      <c r="A474" s="153"/>
      <c r="B474" s="153"/>
      <c r="C474" s="153"/>
      <c r="D474" s="153"/>
      <c r="E474" s="251"/>
      <c r="F474" s="251"/>
      <c r="G474" s="153"/>
      <c r="H474" s="252"/>
      <c r="I474" s="153"/>
      <c r="J474" s="153"/>
      <c r="K474" s="252"/>
      <c r="L474" s="153"/>
      <c r="M474" s="252"/>
      <c r="N474" s="153"/>
      <c r="O474" s="153"/>
      <c r="P474" s="153"/>
      <c r="Q474" s="152"/>
      <c r="R474" s="153"/>
      <c r="S474" s="153"/>
      <c r="T474" s="153"/>
      <c r="U474" s="153"/>
      <c r="V474" s="153"/>
      <c r="W474" s="153"/>
      <c r="X474" s="153"/>
      <c r="Y474" s="153"/>
      <c r="Z474" s="153"/>
      <c r="AA474" s="153"/>
    </row>
    <row r="475" ht="39.75" customHeight="1">
      <c r="A475" s="153"/>
      <c r="B475" s="153"/>
      <c r="C475" s="153"/>
      <c r="D475" s="153"/>
      <c r="E475" s="251"/>
      <c r="F475" s="251"/>
      <c r="G475" s="153"/>
      <c r="H475" s="252"/>
      <c r="I475" s="153"/>
      <c r="J475" s="153"/>
      <c r="K475" s="252"/>
      <c r="L475" s="153"/>
      <c r="M475" s="252"/>
      <c r="N475" s="153"/>
      <c r="O475" s="153"/>
      <c r="P475" s="153"/>
      <c r="Q475" s="152"/>
      <c r="R475" s="153"/>
      <c r="S475" s="153"/>
      <c r="T475" s="153"/>
      <c r="U475" s="153"/>
      <c r="V475" s="153"/>
      <c r="W475" s="153"/>
      <c r="X475" s="153"/>
      <c r="Y475" s="153"/>
      <c r="Z475" s="153"/>
      <c r="AA475" s="153"/>
    </row>
    <row r="476" ht="39.75" customHeight="1">
      <c r="A476" s="153"/>
      <c r="B476" s="153"/>
      <c r="C476" s="153"/>
      <c r="D476" s="153"/>
      <c r="E476" s="251"/>
      <c r="F476" s="251"/>
      <c r="G476" s="153"/>
      <c r="H476" s="252"/>
      <c r="I476" s="153"/>
      <c r="J476" s="153"/>
      <c r="K476" s="252"/>
      <c r="L476" s="153"/>
      <c r="M476" s="252"/>
      <c r="N476" s="153"/>
      <c r="O476" s="153"/>
      <c r="P476" s="153"/>
      <c r="Q476" s="152"/>
      <c r="R476" s="153"/>
      <c r="S476" s="153"/>
      <c r="T476" s="153"/>
      <c r="U476" s="153"/>
      <c r="V476" s="153"/>
      <c r="W476" s="153"/>
      <c r="X476" s="153"/>
      <c r="Y476" s="153"/>
      <c r="Z476" s="153"/>
      <c r="AA476" s="153"/>
    </row>
    <row r="477" ht="39.75" customHeight="1">
      <c r="A477" s="153"/>
      <c r="B477" s="153"/>
      <c r="C477" s="153"/>
      <c r="D477" s="153"/>
      <c r="E477" s="251"/>
      <c r="F477" s="251"/>
      <c r="G477" s="153"/>
      <c r="H477" s="252"/>
      <c r="I477" s="153"/>
      <c r="J477" s="153"/>
      <c r="K477" s="252"/>
      <c r="L477" s="153"/>
      <c r="M477" s="252"/>
      <c r="N477" s="153"/>
      <c r="O477" s="153"/>
      <c r="P477" s="153"/>
      <c r="Q477" s="152"/>
      <c r="R477" s="153"/>
      <c r="S477" s="153"/>
      <c r="T477" s="153"/>
      <c r="U477" s="153"/>
      <c r="V477" s="153"/>
      <c r="W477" s="153"/>
      <c r="X477" s="153"/>
      <c r="Y477" s="153"/>
      <c r="Z477" s="153"/>
      <c r="AA477" s="153"/>
    </row>
    <row r="478" ht="39.75" customHeight="1">
      <c r="A478" s="153"/>
      <c r="B478" s="153"/>
      <c r="C478" s="153"/>
      <c r="D478" s="153"/>
      <c r="E478" s="251"/>
      <c r="F478" s="251"/>
      <c r="G478" s="153"/>
      <c r="H478" s="252"/>
      <c r="I478" s="153"/>
      <c r="J478" s="153"/>
      <c r="K478" s="252"/>
      <c r="L478" s="153"/>
      <c r="M478" s="252"/>
      <c r="N478" s="153"/>
      <c r="O478" s="153"/>
      <c r="P478" s="153"/>
      <c r="Q478" s="152"/>
      <c r="R478" s="153"/>
      <c r="S478" s="153"/>
      <c r="T478" s="153"/>
      <c r="U478" s="153"/>
      <c r="V478" s="153"/>
      <c r="W478" s="153"/>
      <c r="X478" s="153"/>
      <c r="Y478" s="153"/>
      <c r="Z478" s="153"/>
      <c r="AA478" s="153"/>
    </row>
    <row r="479" ht="39.75" customHeight="1">
      <c r="A479" s="153"/>
      <c r="B479" s="153"/>
      <c r="C479" s="153"/>
      <c r="D479" s="153"/>
      <c r="E479" s="251"/>
      <c r="F479" s="251"/>
      <c r="G479" s="153"/>
      <c r="H479" s="252"/>
      <c r="I479" s="153"/>
      <c r="J479" s="153"/>
      <c r="K479" s="252"/>
      <c r="L479" s="153"/>
      <c r="M479" s="252"/>
      <c r="N479" s="153"/>
      <c r="O479" s="153"/>
      <c r="P479" s="153"/>
      <c r="Q479" s="152"/>
      <c r="R479" s="153"/>
      <c r="S479" s="153"/>
      <c r="T479" s="153"/>
      <c r="U479" s="153"/>
      <c r="V479" s="153"/>
      <c r="W479" s="153"/>
      <c r="X479" s="153"/>
      <c r="Y479" s="153"/>
      <c r="Z479" s="153"/>
      <c r="AA479" s="153"/>
    </row>
    <row r="480" ht="39.75" customHeight="1">
      <c r="A480" s="153"/>
      <c r="B480" s="153"/>
      <c r="C480" s="153"/>
      <c r="D480" s="153"/>
      <c r="E480" s="251"/>
      <c r="F480" s="251"/>
      <c r="G480" s="153"/>
      <c r="H480" s="252"/>
      <c r="I480" s="153"/>
      <c r="J480" s="153"/>
      <c r="K480" s="252"/>
      <c r="L480" s="153"/>
      <c r="M480" s="252"/>
      <c r="N480" s="153"/>
      <c r="O480" s="153"/>
      <c r="P480" s="153"/>
      <c r="Q480" s="152"/>
      <c r="R480" s="153"/>
      <c r="S480" s="153"/>
      <c r="T480" s="153"/>
      <c r="U480" s="153"/>
      <c r="V480" s="153"/>
      <c r="W480" s="153"/>
      <c r="X480" s="153"/>
      <c r="Y480" s="153"/>
      <c r="Z480" s="153"/>
      <c r="AA480" s="153"/>
    </row>
    <row r="481" ht="39.75" customHeight="1">
      <c r="A481" s="153"/>
      <c r="B481" s="153"/>
      <c r="C481" s="153"/>
      <c r="D481" s="153"/>
      <c r="E481" s="251"/>
      <c r="F481" s="251"/>
      <c r="G481" s="153"/>
      <c r="H481" s="252"/>
      <c r="I481" s="153"/>
      <c r="J481" s="153"/>
      <c r="K481" s="252"/>
      <c r="L481" s="153"/>
      <c r="M481" s="252"/>
      <c r="N481" s="153"/>
      <c r="O481" s="153"/>
      <c r="P481" s="153"/>
      <c r="Q481" s="152"/>
      <c r="R481" s="153"/>
      <c r="S481" s="153"/>
      <c r="T481" s="153"/>
      <c r="U481" s="153"/>
      <c r="V481" s="153"/>
      <c r="W481" s="153"/>
      <c r="X481" s="153"/>
      <c r="Y481" s="153"/>
      <c r="Z481" s="153"/>
      <c r="AA481" s="153"/>
    </row>
    <row r="482" ht="39.75" customHeight="1">
      <c r="A482" s="153"/>
      <c r="B482" s="153"/>
      <c r="C482" s="153"/>
      <c r="D482" s="153"/>
      <c r="E482" s="251"/>
      <c r="F482" s="251"/>
      <c r="G482" s="153"/>
      <c r="H482" s="252"/>
      <c r="I482" s="153"/>
      <c r="J482" s="153"/>
      <c r="K482" s="252"/>
      <c r="L482" s="153"/>
      <c r="M482" s="252"/>
      <c r="N482" s="153"/>
      <c r="O482" s="153"/>
      <c r="P482" s="153"/>
      <c r="Q482" s="152"/>
      <c r="R482" s="153"/>
      <c r="S482" s="153"/>
      <c r="T482" s="153"/>
      <c r="U482" s="153"/>
      <c r="V482" s="153"/>
      <c r="W482" s="153"/>
      <c r="X482" s="153"/>
      <c r="Y482" s="153"/>
      <c r="Z482" s="153"/>
      <c r="AA482" s="153"/>
    </row>
    <row r="483" ht="39.75" customHeight="1">
      <c r="A483" s="153"/>
      <c r="B483" s="153"/>
      <c r="C483" s="153"/>
      <c r="D483" s="153"/>
      <c r="E483" s="251"/>
      <c r="F483" s="251"/>
      <c r="G483" s="153"/>
      <c r="H483" s="252"/>
      <c r="I483" s="153"/>
      <c r="J483" s="153"/>
      <c r="K483" s="252"/>
      <c r="L483" s="153"/>
      <c r="M483" s="252"/>
      <c r="N483" s="153"/>
      <c r="O483" s="153"/>
      <c r="P483" s="153"/>
      <c r="Q483" s="152"/>
      <c r="R483" s="153"/>
      <c r="S483" s="153"/>
      <c r="T483" s="153"/>
      <c r="U483" s="153"/>
      <c r="V483" s="153"/>
      <c r="W483" s="153"/>
      <c r="X483" s="153"/>
      <c r="Y483" s="153"/>
      <c r="Z483" s="153"/>
      <c r="AA483" s="153"/>
    </row>
    <row r="484" ht="39.75" customHeight="1">
      <c r="A484" s="153"/>
      <c r="B484" s="153"/>
      <c r="C484" s="153"/>
      <c r="D484" s="153"/>
      <c r="E484" s="251"/>
      <c r="F484" s="251"/>
      <c r="G484" s="153"/>
      <c r="H484" s="252"/>
      <c r="I484" s="153"/>
      <c r="J484" s="153"/>
      <c r="K484" s="252"/>
      <c r="L484" s="153"/>
      <c r="M484" s="252"/>
      <c r="N484" s="153"/>
      <c r="O484" s="153"/>
      <c r="P484" s="153"/>
      <c r="Q484" s="152"/>
      <c r="R484" s="153"/>
      <c r="S484" s="153"/>
      <c r="T484" s="153"/>
      <c r="U484" s="153"/>
      <c r="V484" s="153"/>
      <c r="W484" s="153"/>
      <c r="X484" s="153"/>
      <c r="Y484" s="153"/>
      <c r="Z484" s="153"/>
      <c r="AA484" s="153"/>
    </row>
    <row r="485" ht="39.75" customHeight="1">
      <c r="A485" s="153"/>
      <c r="B485" s="153"/>
      <c r="C485" s="153"/>
      <c r="D485" s="153"/>
      <c r="E485" s="251"/>
      <c r="F485" s="251"/>
      <c r="G485" s="153"/>
      <c r="H485" s="252"/>
      <c r="I485" s="153"/>
      <c r="J485" s="153"/>
      <c r="K485" s="252"/>
      <c r="L485" s="153"/>
      <c r="M485" s="252"/>
      <c r="N485" s="153"/>
      <c r="O485" s="153"/>
      <c r="P485" s="153"/>
      <c r="Q485" s="152"/>
      <c r="R485" s="153"/>
      <c r="S485" s="153"/>
      <c r="T485" s="153"/>
      <c r="U485" s="153"/>
      <c r="V485" s="153"/>
      <c r="W485" s="153"/>
      <c r="X485" s="153"/>
      <c r="Y485" s="153"/>
      <c r="Z485" s="153"/>
      <c r="AA485" s="153"/>
    </row>
    <row r="486" ht="39.75" customHeight="1">
      <c r="A486" s="153"/>
      <c r="B486" s="153"/>
      <c r="C486" s="153"/>
      <c r="D486" s="153"/>
      <c r="E486" s="251"/>
      <c r="F486" s="251"/>
      <c r="G486" s="153"/>
      <c r="H486" s="252"/>
      <c r="I486" s="153"/>
      <c r="J486" s="153"/>
      <c r="K486" s="252"/>
      <c r="L486" s="153"/>
      <c r="M486" s="252"/>
      <c r="N486" s="153"/>
      <c r="O486" s="153"/>
      <c r="P486" s="153"/>
      <c r="Q486" s="152"/>
      <c r="R486" s="153"/>
      <c r="S486" s="153"/>
      <c r="T486" s="153"/>
      <c r="U486" s="153"/>
      <c r="V486" s="153"/>
      <c r="W486" s="153"/>
      <c r="X486" s="153"/>
      <c r="Y486" s="153"/>
      <c r="Z486" s="153"/>
      <c r="AA486" s="153"/>
    </row>
    <row r="487" ht="39.75" customHeight="1">
      <c r="A487" s="153"/>
      <c r="B487" s="153"/>
      <c r="C487" s="153"/>
      <c r="D487" s="153"/>
      <c r="E487" s="251"/>
      <c r="F487" s="251"/>
      <c r="G487" s="153"/>
      <c r="H487" s="252"/>
      <c r="I487" s="153"/>
      <c r="J487" s="153"/>
      <c r="K487" s="252"/>
      <c r="L487" s="153"/>
      <c r="M487" s="252"/>
      <c r="N487" s="153"/>
      <c r="O487" s="153"/>
      <c r="P487" s="153"/>
      <c r="Q487" s="152"/>
      <c r="R487" s="153"/>
      <c r="S487" s="153"/>
      <c r="T487" s="153"/>
      <c r="U487" s="153"/>
      <c r="V487" s="153"/>
      <c r="W487" s="153"/>
      <c r="X487" s="153"/>
      <c r="Y487" s="153"/>
      <c r="Z487" s="153"/>
      <c r="AA487" s="153"/>
    </row>
    <row r="488" ht="39.75" customHeight="1">
      <c r="A488" s="153"/>
      <c r="B488" s="153"/>
      <c r="C488" s="153"/>
      <c r="D488" s="153"/>
      <c r="E488" s="251"/>
      <c r="F488" s="251"/>
      <c r="G488" s="153"/>
      <c r="H488" s="252"/>
      <c r="I488" s="153"/>
      <c r="J488" s="153"/>
      <c r="K488" s="252"/>
      <c r="L488" s="153"/>
      <c r="M488" s="252"/>
      <c r="N488" s="153"/>
      <c r="O488" s="153"/>
      <c r="P488" s="153"/>
      <c r="Q488" s="152"/>
      <c r="R488" s="153"/>
      <c r="S488" s="153"/>
      <c r="T488" s="153"/>
      <c r="U488" s="153"/>
      <c r="V488" s="153"/>
      <c r="W488" s="153"/>
      <c r="X488" s="153"/>
      <c r="Y488" s="153"/>
      <c r="Z488" s="153"/>
      <c r="AA488" s="153"/>
    </row>
    <row r="489" ht="39.75" customHeight="1">
      <c r="A489" s="153"/>
      <c r="B489" s="153"/>
      <c r="C489" s="153"/>
      <c r="D489" s="153"/>
      <c r="E489" s="251"/>
      <c r="F489" s="251"/>
      <c r="G489" s="153"/>
      <c r="H489" s="252"/>
      <c r="I489" s="153"/>
      <c r="J489" s="153"/>
      <c r="K489" s="252"/>
      <c r="L489" s="153"/>
      <c r="M489" s="252"/>
      <c r="N489" s="153"/>
      <c r="O489" s="153"/>
      <c r="P489" s="153"/>
      <c r="Q489" s="152"/>
      <c r="R489" s="153"/>
      <c r="S489" s="153"/>
      <c r="T489" s="153"/>
      <c r="U489" s="153"/>
      <c r="V489" s="153"/>
      <c r="W489" s="153"/>
      <c r="X489" s="153"/>
      <c r="Y489" s="153"/>
      <c r="Z489" s="153"/>
      <c r="AA489" s="153"/>
    </row>
    <row r="490" ht="39.75" customHeight="1">
      <c r="A490" s="153"/>
      <c r="B490" s="153"/>
      <c r="C490" s="153"/>
      <c r="D490" s="153"/>
      <c r="E490" s="251"/>
      <c r="F490" s="251"/>
      <c r="G490" s="153"/>
      <c r="H490" s="252"/>
      <c r="I490" s="153"/>
      <c r="J490" s="153"/>
      <c r="K490" s="252"/>
      <c r="L490" s="153"/>
      <c r="M490" s="252"/>
      <c r="N490" s="153"/>
      <c r="O490" s="153"/>
      <c r="P490" s="153"/>
      <c r="Q490" s="152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</row>
    <row r="491" ht="39.75" customHeight="1">
      <c r="A491" s="153"/>
      <c r="B491" s="153"/>
      <c r="C491" s="153"/>
      <c r="D491" s="153"/>
      <c r="E491" s="251"/>
      <c r="F491" s="251"/>
      <c r="G491" s="153"/>
      <c r="H491" s="252"/>
      <c r="I491" s="153"/>
      <c r="J491" s="153"/>
      <c r="K491" s="252"/>
      <c r="L491" s="153"/>
      <c r="M491" s="252"/>
      <c r="N491" s="153"/>
      <c r="O491" s="153"/>
      <c r="P491" s="153"/>
      <c r="Q491" s="152"/>
      <c r="R491" s="153"/>
      <c r="S491" s="153"/>
      <c r="T491" s="153"/>
      <c r="U491" s="153"/>
      <c r="V491" s="153"/>
      <c r="W491" s="153"/>
      <c r="X491" s="153"/>
      <c r="Y491" s="153"/>
      <c r="Z491" s="153"/>
      <c r="AA491" s="153"/>
    </row>
    <row r="492" ht="39.75" customHeight="1">
      <c r="A492" s="153"/>
      <c r="B492" s="153"/>
      <c r="C492" s="153"/>
      <c r="D492" s="153"/>
      <c r="E492" s="251"/>
      <c r="F492" s="251"/>
      <c r="G492" s="153"/>
      <c r="H492" s="252"/>
      <c r="I492" s="153"/>
      <c r="J492" s="153"/>
      <c r="K492" s="252"/>
      <c r="L492" s="153"/>
      <c r="M492" s="252"/>
      <c r="N492" s="153"/>
      <c r="O492" s="153"/>
      <c r="P492" s="153"/>
      <c r="Q492" s="152"/>
      <c r="R492" s="153"/>
      <c r="S492" s="153"/>
      <c r="T492" s="153"/>
      <c r="U492" s="153"/>
      <c r="V492" s="153"/>
      <c r="W492" s="153"/>
      <c r="X492" s="153"/>
      <c r="Y492" s="153"/>
      <c r="Z492" s="153"/>
      <c r="AA492" s="153"/>
    </row>
    <row r="493" ht="39.75" customHeight="1">
      <c r="A493" s="153"/>
      <c r="B493" s="153"/>
      <c r="C493" s="153"/>
      <c r="D493" s="153"/>
      <c r="E493" s="251"/>
      <c r="F493" s="251"/>
      <c r="G493" s="153"/>
      <c r="H493" s="252"/>
      <c r="I493" s="153"/>
      <c r="J493" s="153"/>
      <c r="K493" s="252"/>
      <c r="L493" s="153"/>
      <c r="M493" s="252"/>
      <c r="N493" s="153"/>
      <c r="O493" s="153"/>
      <c r="P493" s="153"/>
      <c r="Q493" s="152"/>
      <c r="R493" s="153"/>
      <c r="S493" s="153"/>
      <c r="T493" s="153"/>
      <c r="U493" s="153"/>
      <c r="V493" s="153"/>
      <c r="W493" s="153"/>
      <c r="X493" s="153"/>
      <c r="Y493" s="153"/>
      <c r="Z493" s="153"/>
      <c r="AA493" s="153"/>
    </row>
    <row r="494" ht="39.75" customHeight="1">
      <c r="A494" s="153"/>
      <c r="B494" s="153"/>
      <c r="C494" s="153"/>
      <c r="D494" s="153"/>
      <c r="E494" s="251"/>
      <c r="F494" s="251"/>
      <c r="G494" s="153"/>
      <c r="H494" s="252"/>
      <c r="I494" s="153"/>
      <c r="J494" s="153"/>
      <c r="K494" s="252"/>
      <c r="L494" s="153"/>
      <c r="M494" s="252"/>
      <c r="N494" s="153"/>
      <c r="O494" s="153"/>
      <c r="P494" s="153"/>
      <c r="Q494" s="152"/>
      <c r="R494" s="153"/>
      <c r="S494" s="153"/>
      <c r="T494" s="153"/>
      <c r="U494" s="153"/>
      <c r="V494" s="153"/>
      <c r="W494" s="153"/>
      <c r="X494" s="153"/>
      <c r="Y494" s="153"/>
      <c r="Z494" s="153"/>
      <c r="AA494" s="153"/>
    </row>
    <row r="495" ht="39.75" customHeight="1">
      <c r="A495" s="153"/>
      <c r="B495" s="153"/>
      <c r="C495" s="153"/>
      <c r="D495" s="153"/>
      <c r="E495" s="251"/>
      <c r="F495" s="251"/>
      <c r="G495" s="153"/>
      <c r="H495" s="252"/>
      <c r="I495" s="153"/>
      <c r="J495" s="153"/>
      <c r="K495" s="252"/>
      <c r="L495" s="153"/>
      <c r="M495" s="252"/>
      <c r="N495" s="153"/>
      <c r="O495" s="153"/>
      <c r="P495" s="153"/>
      <c r="Q495" s="152"/>
      <c r="R495" s="153"/>
      <c r="S495" s="153"/>
      <c r="T495" s="153"/>
      <c r="U495" s="153"/>
      <c r="V495" s="153"/>
      <c r="W495" s="153"/>
      <c r="X495" s="153"/>
      <c r="Y495" s="153"/>
      <c r="Z495" s="153"/>
      <c r="AA495" s="153"/>
    </row>
    <row r="496" ht="39.75" customHeight="1">
      <c r="A496" s="153"/>
      <c r="B496" s="153"/>
      <c r="C496" s="153"/>
      <c r="D496" s="153"/>
      <c r="E496" s="251"/>
      <c r="F496" s="251"/>
      <c r="G496" s="153"/>
      <c r="H496" s="252"/>
      <c r="I496" s="153"/>
      <c r="J496" s="153"/>
      <c r="K496" s="252"/>
      <c r="L496" s="153"/>
      <c r="M496" s="252"/>
      <c r="N496" s="153"/>
      <c r="O496" s="153"/>
      <c r="P496" s="153"/>
      <c r="Q496" s="152"/>
      <c r="R496" s="153"/>
      <c r="S496" s="153"/>
      <c r="T496" s="153"/>
      <c r="U496" s="153"/>
      <c r="V496" s="153"/>
      <c r="W496" s="153"/>
      <c r="X496" s="153"/>
      <c r="Y496" s="153"/>
      <c r="Z496" s="153"/>
      <c r="AA496" s="153"/>
    </row>
    <row r="497" ht="39.75" customHeight="1">
      <c r="A497" s="153"/>
      <c r="B497" s="153"/>
      <c r="C497" s="153"/>
      <c r="D497" s="153"/>
      <c r="E497" s="251"/>
      <c r="F497" s="251"/>
      <c r="G497" s="153"/>
      <c r="H497" s="252"/>
      <c r="I497" s="153"/>
      <c r="J497" s="153"/>
      <c r="K497" s="252"/>
      <c r="L497" s="153"/>
      <c r="M497" s="252"/>
      <c r="N497" s="153"/>
      <c r="O497" s="153"/>
      <c r="P497" s="153"/>
      <c r="Q497" s="152"/>
      <c r="R497" s="153"/>
      <c r="S497" s="153"/>
      <c r="T497" s="153"/>
      <c r="U497" s="153"/>
      <c r="V497" s="153"/>
      <c r="W497" s="153"/>
      <c r="X497" s="153"/>
      <c r="Y497" s="153"/>
      <c r="Z497" s="153"/>
      <c r="AA497" s="153"/>
    </row>
    <row r="498" ht="39.75" customHeight="1">
      <c r="A498" s="153"/>
      <c r="B498" s="153"/>
      <c r="C498" s="153"/>
      <c r="D498" s="153"/>
      <c r="E498" s="251"/>
      <c r="F498" s="251"/>
      <c r="G498" s="153"/>
      <c r="H498" s="252"/>
      <c r="I498" s="153"/>
      <c r="J498" s="153"/>
      <c r="K498" s="252"/>
      <c r="L498" s="153"/>
      <c r="M498" s="252"/>
      <c r="N498" s="153"/>
      <c r="O498" s="153"/>
      <c r="P498" s="153"/>
      <c r="Q498" s="152"/>
      <c r="R498" s="153"/>
      <c r="S498" s="153"/>
      <c r="T498" s="153"/>
      <c r="U498" s="153"/>
      <c r="V498" s="153"/>
      <c r="W498" s="153"/>
      <c r="X498" s="153"/>
      <c r="Y498" s="153"/>
      <c r="Z498" s="153"/>
      <c r="AA498" s="153"/>
    </row>
    <row r="499" ht="39.75" customHeight="1">
      <c r="A499" s="153"/>
      <c r="B499" s="153"/>
      <c r="C499" s="153"/>
      <c r="D499" s="153"/>
      <c r="E499" s="251"/>
      <c r="F499" s="251"/>
      <c r="G499" s="153"/>
      <c r="H499" s="252"/>
      <c r="I499" s="153"/>
      <c r="J499" s="153"/>
      <c r="K499" s="252"/>
      <c r="L499" s="153"/>
      <c r="M499" s="252"/>
      <c r="N499" s="153"/>
      <c r="O499" s="153"/>
      <c r="P499" s="153"/>
      <c r="Q499" s="152"/>
      <c r="R499" s="153"/>
      <c r="S499" s="153"/>
      <c r="T499" s="153"/>
      <c r="U499" s="153"/>
      <c r="V499" s="153"/>
      <c r="W499" s="153"/>
      <c r="X499" s="153"/>
      <c r="Y499" s="153"/>
      <c r="Z499" s="153"/>
      <c r="AA499" s="153"/>
    </row>
    <row r="500" ht="39.75" customHeight="1">
      <c r="A500" s="153"/>
      <c r="B500" s="153"/>
      <c r="C500" s="153"/>
      <c r="D500" s="153"/>
      <c r="E500" s="251"/>
      <c r="F500" s="251"/>
      <c r="G500" s="153"/>
      <c r="H500" s="252"/>
      <c r="I500" s="153"/>
      <c r="J500" s="153"/>
      <c r="K500" s="252"/>
      <c r="L500" s="153"/>
      <c r="M500" s="252"/>
      <c r="N500" s="153"/>
      <c r="O500" s="153"/>
      <c r="P500" s="153"/>
      <c r="Q500" s="152"/>
      <c r="R500" s="153"/>
      <c r="S500" s="153"/>
      <c r="T500" s="153"/>
      <c r="U500" s="153"/>
      <c r="V500" s="153"/>
      <c r="W500" s="153"/>
      <c r="X500" s="153"/>
      <c r="Y500" s="153"/>
      <c r="Z500" s="153"/>
      <c r="AA500" s="153"/>
    </row>
    <row r="501" ht="39.75" customHeight="1">
      <c r="A501" s="153"/>
      <c r="B501" s="153"/>
      <c r="C501" s="153"/>
      <c r="D501" s="153"/>
      <c r="E501" s="251"/>
      <c r="F501" s="251"/>
      <c r="G501" s="153"/>
      <c r="H501" s="252"/>
      <c r="I501" s="153"/>
      <c r="J501" s="153"/>
      <c r="K501" s="252"/>
      <c r="L501" s="153"/>
      <c r="M501" s="252"/>
      <c r="N501" s="153"/>
      <c r="O501" s="153"/>
      <c r="P501" s="153"/>
      <c r="Q501" s="152"/>
      <c r="R501" s="153"/>
      <c r="S501" s="153"/>
      <c r="T501" s="153"/>
      <c r="U501" s="153"/>
      <c r="V501" s="153"/>
      <c r="W501" s="153"/>
      <c r="X501" s="153"/>
      <c r="Y501" s="153"/>
      <c r="Z501" s="153"/>
      <c r="AA501" s="153"/>
    </row>
    <row r="502" ht="39.75" customHeight="1">
      <c r="A502" s="153"/>
      <c r="B502" s="153"/>
      <c r="C502" s="153"/>
      <c r="D502" s="153"/>
      <c r="E502" s="251"/>
      <c r="F502" s="251"/>
      <c r="G502" s="153"/>
      <c r="H502" s="252"/>
      <c r="I502" s="153"/>
      <c r="J502" s="153"/>
      <c r="K502" s="252"/>
      <c r="L502" s="153"/>
      <c r="M502" s="252"/>
      <c r="N502" s="153"/>
      <c r="O502" s="153"/>
      <c r="P502" s="153"/>
      <c r="Q502" s="152"/>
      <c r="R502" s="153"/>
      <c r="S502" s="153"/>
      <c r="T502" s="153"/>
      <c r="U502" s="153"/>
      <c r="V502" s="153"/>
      <c r="W502" s="153"/>
      <c r="X502" s="153"/>
      <c r="Y502" s="153"/>
      <c r="Z502" s="153"/>
      <c r="AA502" s="153"/>
    </row>
    <row r="503" ht="39.75" customHeight="1">
      <c r="A503" s="153"/>
      <c r="B503" s="153"/>
      <c r="C503" s="153"/>
      <c r="D503" s="153"/>
      <c r="E503" s="251"/>
      <c r="F503" s="251"/>
      <c r="G503" s="153"/>
      <c r="H503" s="252"/>
      <c r="I503" s="153"/>
      <c r="J503" s="153"/>
      <c r="K503" s="252"/>
      <c r="L503" s="153"/>
      <c r="M503" s="252"/>
      <c r="N503" s="153"/>
      <c r="O503" s="153"/>
      <c r="P503" s="153"/>
      <c r="Q503" s="152"/>
      <c r="R503" s="153"/>
      <c r="S503" s="153"/>
      <c r="T503" s="153"/>
      <c r="U503" s="153"/>
      <c r="V503" s="153"/>
      <c r="W503" s="153"/>
      <c r="X503" s="153"/>
      <c r="Y503" s="153"/>
      <c r="Z503" s="153"/>
      <c r="AA503" s="153"/>
    </row>
    <row r="504" ht="39.75" customHeight="1">
      <c r="A504" s="153"/>
      <c r="B504" s="153"/>
      <c r="C504" s="153"/>
      <c r="D504" s="153"/>
      <c r="E504" s="251"/>
      <c r="F504" s="251"/>
      <c r="G504" s="153"/>
      <c r="H504" s="252"/>
      <c r="I504" s="153"/>
      <c r="J504" s="153"/>
      <c r="K504" s="252"/>
      <c r="L504" s="153"/>
      <c r="M504" s="252"/>
      <c r="N504" s="153"/>
      <c r="O504" s="153"/>
      <c r="P504" s="153"/>
      <c r="Q504" s="152"/>
      <c r="R504" s="153"/>
      <c r="S504" s="153"/>
      <c r="T504" s="153"/>
      <c r="U504" s="153"/>
      <c r="V504" s="153"/>
      <c r="W504" s="153"/>
      <c r="X504" s="153"/>
      <c r="Y504" s="153"/>
      <c r="Z504" s="153"/>
      <c r="AA504" s="153"/>
    </row>
    <row r="505" ht="39.75" customHeight="1">
      <c r="A505" s="153"/>
      <c r="B505" s="153"/>
      <c r="C505" s="153"/>
      <c r="D505" s="153"/>
      <c r="E505" s="251"/>
      <c r="F505" s="251"/>
      <c r="G505" s="153"/>
      <c r="H505" s="252"/>
      <c r="I505" s="153"/>
      <c r="J505" s="153"/>
      <c r="K505" s="252"/>
      <c r="L505" s="153"/>
      <c r="M505" s="252"/>
      <c r="N505" s="153"/>
      <c r="O505" s="153"/>
      <c r="P505" s="153"/>
      <c r="Q505" s="152"/>
      <c r="R505" s="153"/>
      <c r="S505" s="153"/>
      <c r="T505" s="153"/>
      <c r="U505" s="153"/>
      <c r="V505" s="153"/>
      <c r="W505" s="153"/>
      <c r="X505" s="153"/>
      <c r="Y505" s="153"/>
      <c r="Z505" s="153"/>
      <c r="AA505" s="153"/>
    </row>
    <row r="506" ht="39.75" customHeight="1">
      <c r="A506" s="153"/>
      <c r="B506" s="153"/>
      <c r="C506" s="153"/>
      <c r="D506" s="153"/>
      <c r="E506" s="251"/>
      <c r="F506" s="251"/>
      <c r="G506" s="153"/>
      <c r="H506" s="252"/>
      <c r="I506" s="153"/>
      <c r="J506" s="153"/>
      <c r="K506" s="252"/>
      <c r="L506" s="153"/>
      <c r="M506" s="252"/>
      <c r="N506" s="153"/>
      <c r="O506" s="153"/>
      <c r="P506" s="153"/>
      <c r="Q506" s="152"/>
      <c r="R506" s="153"/>
      <c r="S506" s="153"/>
      <c r="T506" s="153"/>
      <c r="U506" s="153"/>
      <c r="V506" s="153"/>
      <c r="W506" s="153"/>
      <c r="X506" s="153"/>
      <c r="Y506" s="153"/>
      <c r="Z506" s="153"/>
      <c r="AA506" s="153"/>
    </row>
    <row r="507" ht="39.75" customHeight="1">
      <c r="A507" s="153"/>
      <c r="B507" s="153"/>
      <c r="C507" s="153"/>
      <c r="D507" s="153"/>
      <c r="E507" s="251"/>
      <c r="F507" s="251"/>
      <c r="G507" s="153"/>
      <c r="H507" s="252"/>
      <c r="I507" s="153"/>
      <c r="J507" s="153"/>
      <c r="K507" s="252"/>
      <c r="L507" s="153"/>
      <c r="M507" s="252"/>
      <c r="N507" s="153"/>
      <c r="O507" s="153"/>
      <c r="P507" s="153"/>
      <c r="Q507" s="152"/>
      <c r="R507" s="153"/>
      <c r="S507" s="153"/>
      <c r="T507" s="153"/>
      <c r="U507" s="153"/>
      <c r="V507" s="153"/>
      <c r="W507" s="153"/>
      <c r="X507" s="153"/>
      <c r="Y507" s="153"/>
      <c r="Z507" s="153"/>
      <c r="AA507" s="153"/>
    </row>
    <row r="508" ht="39.75" customHeight="1">
      <c r="A508" s="153"/>
      <c r="B508" s="153"/>
      <c r="C508" s="153"/>
      <c r="D508" s="153"/>
      <c r="E508" s="251"/>
      <c r="F508" s="251"/>
      <c r="G508" s="153"/>
      <c r="H508" s="252"/>
      <c r="I508" s="153"/>
      <c r="J508" s="153"/>
      <c r="K508" s="252"/>
      <c r="L508" s="153"/>
      <c r="M508" s="252"/>
      <c r="N508" s="153"/>
      <c r="O508" s="153"/>
      <c r="P508" s="153"/>
      <c r="Q508" s="152"/>
      <c r="R508" s="153"/>
      <c r="S508" s="153"/>
      <c r="T508" s="153"/>
      <c r="U508" s="153"/>
      <c r="V508" s="153"/>
      <c r="W508" s="153"/>
      <c r="X508" s="153"/>
      <c r="Y508" s="153"/>
      <c r="Z508" s="153"/>
      <c r="AA508" s="153"/>
    </row>
    <row r="509" ht="39.75" customHeight="1">
      <c r="A509" s="153"/>
      <c r="B509" s="153"/>
      <c r="C509" s="153"/>
      <c r="D509" s="153"/>
      <c r="E509" s="251"/>
      <c r="F509" s="251"/>
      <c r="G509" s="153"/>
      <c r="H509" s="252"/>
      <c r="I509" s="153"/>
      <c r="J509" s="153"/>
      <c r="K509" s="252"/>
      <c r="L509" s="153"/>
      <c r="M509" s="252"/>
      <c r="N509" s="153"/>
      <c r="O509" s="153"/>
      <c r="P509" s="153"/>
      <c r="Q509" s="152"/>
      <c r="R509" s="153"/>
      <c r="S509" s="153"/>
      <c r="T509" s="153"/>
      <c r="U509" s="153"/>
      <c r="V509" s="153"/>
      <c r="W509" s="153"/>
      <c r="X509" s="153"/>
      <c r="Y509" s="153"/>
      <c r="Z509" s="153"/>
      <c r="AA509" s="153"/>
    </row>
    <row r="510" ht="39.75" customHeight="1">
      <c r="A510" s="153"/>
      <c r="B510" s="153"/>
      <c r="C510" s="153"/>
      <c r="D510" s="153"/>
      <c r="E510" s="251"/>
      <c r="F510" s="251"/>
      <c r="G510" s="153"/>
      <c r="H510" s="252"/>
      <c r="I510" s="153"/>
      <c r="J510" s="153"/>
      <c r="K510" s="252"/>
      <c r="L510" s="153"/>
      <c r="M510" s="252"/>
      <c r="N510" s="153"/>
      <c r="O510" s="153"/>
      <c r="P510" s="153"/>
      <c r="Q510" s="152"/>
      <c r="R510" s="153"/>
      <c r="S510" s="153"/>
      <c r="T510" s="153"/>
      <c r="U510" s="153"/>
      <c r="V510" s="153"/>
      <c r="W510" s="153"/>
      <c r="X510" s="153"/>
      <c r="Y510" s="153"/>
      <c r="Z510" s="153"/>
      <c r="AA510" s="153"/>
    </row>
    <row r="511" ht="39.75" customHeight="1">
      <c r="A511" s="153"/>
      <c r="B511" s="153"/>
      <c r="C511" s="153"/>
      <c r="D511" s="153"/>
      <c r="E511" s="251"/>
      <c r="F511" s="251"/>
      <c r="G511" s="153"/>
      <c r="H511" s="252"/>
      <c r="I511" s="153"/>
      <c r="J511" s="153"/>
      <c r="K511" s="252"/>
      <c r="L511" s="153"/>
      <c r="M511" s="252"/>
      <c r="N511" s="153"/>
      <c r="O511" s="153"/>
      <c r="P511" s="153"/>
      <c r="Q511" s="152"/>
      <c r="R511" s="153"/>
      <c r="S511" s="153"/>
      <c r="T511" s="153"/>
      <c r="U511" s="153"/>
      <c r="V511" s="153"/>
      <c r="W511" s="153"/>
      <c r="X511" s="153"/>
      <c r="Y511" s="153"/>
      <c r="Z511" s="153"/>
      <c r="AA511" s="153"/>
    </row>
    <row r="512" ht="39.75" customHeight="1">
      <c r="A512" s="153"/>
      <c r="B512" s="153"/>
      <c r="C512" s="153"/>
      <c r="D512" s="153"/>
      <c r="E512" s="251"/>
      <c r="F512" s="251"/>
      <c r="G512" s="153"/>
      <c r="H512" s="252"/>
      <c r="I512" s="153"/>
      <c r="J512" s="153"/>
      <c r="K512" s="252"/>
      <c r="L512" s="153"/>
      <c r="M512" s="252"/>
      <c r="N512" s="153"/>
      <c r="O512" s="153"/>
      <c r="P512" s="153"/>
      <c r="Q512" s="152"/>
      <c r="R512" s="153"/>
      <c r="S512" s="153"/>
      <c r="T512" s="153"/>
      <c r="U512" s="153"/>
      <c r="V512" s="153"/>
      <c r="W512" s="153"/>
      <c r="X512" s="153"/>
      <c r="Y512" s="153"/>
      <c r="Z512" s="153"/>
      <c r="AA512" s="153"/>
    </row>
    <row r="513" ht="39.75" customHeight="1">
      <c r="A513" s="153"/>
      <c r="B513" s="153"/>
      <c r="C513" s="153"/>
      <c r="D513" s="153"/>
      <c r="E513" s="251"/>
      <c r="F513" s="251"/>
      <c r="G513" s="153"/>
      <c r="H513" s="252"/>
      <c r="I513" s="153"/>
      <c r="J513" s="153"/>
      <c r="K513" s="252"/>
      <c r="L513" s="153"/>
      <c r="M513" s="252"/>
      <c r="N513" s="153"/>
      <c r="O513" s="153"/>
      <c r="P513" s="153"/>
      <c r="Q513" s="152"/>
      <c r="R513" s="153"/>
      <c r="S513" s="153"/>
      <c r="T513" s="153"/>
      <c r="U513" s="153"/>
      <c r="V513" s="153"/>
      <c r="W513" s="153"/>
      <c r="X513" s="153"/>
      <c r="Y513" s="153"/>
      <c r="Z513" s="153"/>
      <c r="AA513" s="153"/>
    </row>
    <row r="514" ht="39.75" customHeight="1">
      <c r="A514" s="153"/>
      <c r="B514" s="153"/>
      <c r="C514" s="153"/>
      <c r="D514" s="153"/>
      <c r="E514" s="251"/>
      <c r="F514" s="251"/>
      <c r="G514" s="153"/>
      <c r="H514" s="252"/>
      <c r="I514" s="153"/>
      <c r="J514" s="153"/>
      <c r="K514" s="252"/>
      <c r="L514" s="153"/>
      <c r="M514" s="252"/>
      <c r="N514" s="153"/>
      <c r="O514" s="153"/>
      <c r="P514" s="153"/>
      <c r="Q514" s="152"/>
      <c r="R514" s="153"/>
      <c r="S514" s="153"/>
      <c r="T514" s="153"/>
      <c r="U514" s="153"/>
      <c r="V514" s="153"/>
      <c r="W514" s="153"/>
      <c r="X514" s="153"/>
      <c r="Y514" s="153"/>
      <c r="Z514" s="153"/>
      <c r="AA514" s="153"/>
    </row>
    <row r="515" ht="39.75" customHeight="1">
      <c r="A515" s="153"/>
      <c r="B515" s="153"/>
      <c r="C515" s="153"/>
      <c r="D515" s="153"/>
      <c r="E515" s="251"/>
      <c r="F515" s="251"/>
      <c r="G515" s="153"/>
      <c r="H515" s="252"/>
      <c r="I515" s="153"/>
      <c r="J515" s="153"/>
      <c r="K515" s="252"/>
      <c r="L515" s="153"/>
      <c r="M515" s="252"/>
      <c r="N515" s="153"/>
      <c r="O515" s="153"/>
      <c r="P515" s="153"/>
      <c r="Q515" s="152"/>
      <c r="R515" s="153"/>
      <c r="S515" s="153"/>
      <c r="T515" s="153"/>
      <c r="U515" s="153"/>
      <c r="V515" s="153"/>
      <c r="W515" s="153"/>
      <c r="X515" s="153"/>
      <c r="Y515" s="153"/>
      <c r="Z515" s="153"/>
      <c r="AA515" s="153"/>
    </row>
    <row r="516" ht="39.75" customHeight="1">
      <c r="A516" s="153"/>
      <c r="B516" s="153"/>
      <c r="C516" s="153"/>
      <c r="D516" s="153"/>
      <c r="E516" s="251"/>
      <c r="F516" s="251"/>
      <c r="G516" s="153"/>
      <c r="H516" s="252"/>
      <c r="I516" s="153"/>
      <c r="J516" s="153"/>
      <c r="K516" s="252"/>
      <c r="L516" s="153"/>
      <c r="M516" s="252"/>
      <c r="N516" s="153"/>
      <c r="O516" s="153"/>
      <c r="P516" s="153"/>
      <c r="Q516" s="152"/>
      <c r="R516" s="153"/>
      <c r="S516" s="153"/>
      <c r="T516" s="153"/>
      <c r="U516" s="153"/>
      <c r="V516" s="153"/>
      <c r="W516" s="153"/>
      <c r="X516" s="153"/>
      <c r="Y516" s="153"/>
      <c r="Z516" s="153"/>
      <c r="AA516" s="153"/>
    </row>
    <row r="517" ht="39.75" customHeight="1">
      <c r="A517" s="153"/>
      <c r="B517" s="153"/>
      <c r="C517" s="153"/>
      <c r="D517" s="153"/>
      <c r="E517" s="251"/>
      <c r="F517" s="251"/>
      <c r="G517" s="153"/>
      <c r="H517" s="252"/>
      <c r="I517" s="153"/>
      <c r="J517" s="153"/>
      <c r="K517" s="252"/>
      <c r="L517" s="153"/>
      <c r="M517" s="252"/>
      <c r="N517" s="153"/>
      <c r="O517" s="153"/>
      <c r="P517" s="153"/>
      <c r="Q517" s="152"/>
      <c r="R517" s="153"/>
      <c r="S517" s="153"/>
      <c r="T517" s="153"/>
      <c r="U517" s="153"/>
      <c r="V517" s="153"/>
      <c r="W517" s="153"/>
      <c r="X517" s="153"/>
      <c r="Y517" s="153"/>
      <c r="Z517" s="153"/>
      <c r="AA517" s="153"/>
    </row>
    <row r="518" ht="39.75" customHeight="1">
      <c r="A518" s="153"/>
      <c r="B518" s="153"/>
      <c r="C518" s="153"/>
      <c r="D518" s="153"/>
      <c r="E518" s="251"/>
      <c r="F518" s="251"/>
      <c r="G518" s="153"/>
      <c r="H518" s="252"/>
      <c r="I518" s="153"/>
      <c r="J518" s="153"/>
      <c r="K518" s="252"/>
      <c r="L518" s="153"/>
      <c r="M518" s="252"/>
      <c r="N518" s="153"/>
      <c r="O518" s="153"/>
      <c r="P518" s="153"/>
      <c r="Q518" s="152"/>
      <c r="R518" s="153"/>
      <c r="S518" s="153"/>
      <c r="T518" s="153"/>
      <c r="U518" s="153"/>
      <c r="V518" s="153"/>
      <c r="W518" s="153"/>
      <c r="X518" s="153"/>
      <c r="Y518" s="153"/>
      <c r="Z518" s="153"/>
      <c r="AA518" s="153"/>
    </row>
    <row r="519" ht="39.75" customHeight="1">
      <c r="A519" s="153"/>
      <c r="B519" s="153"/>
      <c r="C519" s="153"/>
      <c r="D519" s="153"/>
      <c r="E519" s="251"/>
      <c r="F519" s="251"/>
      <c r="G519" s="153"/>
      <c r="H519" s="252"/>
      <c r="I519" s="153"/>
      <c r="J519" s="153"/>
      <c r="K519" s="252"/>
      <c r="L519" s="153"/>
      <c r="M519" s="252"/>
      <c r="N519" s="153"/>
      <c r="O519" s="153"/>
      <c r="P519" s="153"/>
      <c r="Q519" s="152"/>
      <c r="R519" s="153"/>
      <c r="S519" s="153"/>
      <c r="T519" s="153"/>
      <c r="U519" s="153"/>
      <c r="V519" s="153"/>
      <c r="W519" s="153"/>
      <c r="X519" s="153"/>
      <c r="Y519" s="153"/>
      <c r="Z519" s="153"/>
      <c r="AA519" s="153"/>
    </row>
    <row r="520" ht="39.75" customHeight="1">
      <c r="A520" s="153"/>
      <c r="B520" s="153"/>
      <c r="C520" s="153"/>
      <c r="D520" s="153"/>
      <c r="E520" s="251"/>
      <c r="F520" s="251"/>
      <c r="G520" s="153"/>
      <c r="H520" s="252"/>
      <c r="I520" s="153"/>
      <c r="J520" s="153"/>
      <c r="K520" s="252"/>
      <c r="L520" s="153"/>
      <c r="M520" s="252"/>
      <c r="N520" s="153"/>
      <c r="O520" s="153"/>
      <c r="P520" s="153"/>
      <c r="Q520" s="152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</row>
    <row r="521" ht="39.75" customHeight="1">
      <c r="A521" s="153"/>
      <c r="B521" s="153"/>
      <c r="C521" s="153"/>
      <c r="D521" s="153"/>
      <c r="E521" s="251"/>
      <c r="F521" s="251"/>
      <c r="G521" s="153"/>
      <c r="H521" s="252"/>
      <c r="I521" s="153"/>
      <c r="J521" s="153"/>
      <c r="K521" s="252"/>
      <c r="L521" s="153"/>
      <c r="M521" s="252"/>
      <c r="N521" s="153"/>
      <c r="O521" s="153"/>
      <c r="P521" s="153"/>
      <c r="Q521" s="152"/>
      <c r="R521" s="153"/>
      <c r="S521" s="153"/>
      <c r="T521" s="153"/>
      <c r="U521" s="153"/>
      <c r="V521" s="153"/>
      <c r="W521" s="153"/>
      <c r="X521" s="153"/>
      <c r="Y521" s="153"/>
      <c r="Z521" s="153"/>
      <c r="AA521" s="153"/>
    </row>
    <row r="522" ht="39.75" customHeight="1">
      <c r="A522" s="153"/>
      <c r="B522" s="153"/>
      <c r="C522" s="153"/>
      <c r="D522" s="153"/>
      <c r="E522" s="251"/>
      <c r="F522" s="251"/>
      <c r="G522" s="153"/>
      <c r="H522" s="252"/>
      <c r="I522" s="153"/>
      <c r="J522" s="153"/>
      <c r="K522" s="252"/>
      <c r="L522" s="153"/>
      <c r="M522" s="252"/>
      <c r="N522" s="153"/>
      <c r="O522" s="153"/>
      <c r="P522" s="153"/>
      <c r="Q522" s="152"/>
      <c r="R522" s="153"/>
      <c r="S522" s="153"/>
      <c r="T522" s="153"/>
      <c r="U522" s="153"/>
      <c r="V522" s="153"/>
      <c r="W522" s="153"/>
      <c r="X522" s="153"/>
      <c r="Y522" s="153"/>
      <c r="Z522" s="153"/>
      <c r="AA522" s="153"/>
    </row>
    <row r="523" ht="39.75" customHeight="1">
      <c r="A523" s="153"/>
      <c r="B523" s="153"/>
      <c r="C523" s="153"/>
      <c r="D523" s="153"/>
      <c r="E523" s="251"/>
      <c r="F523" s="251"/>
      <c r="G523" s="153"/>
      <c r="H523" s="252"/>
      <c r="I523" s="153"/>
      <c r="J523" s="153"/>
      <c r="K523" s="252"/>
      <c r="L523" s="153"/>
      <c r="M523" s="252"/>
      <c r="N523" s="153"/>
      <c r="O523" s="153"/>
      <c r="P523" s="153"/>
      <c r="Q523" s="152"/>
      <c r="R523" s="153"/>
      <c r="S523" s="153"/>
      <c r="T523" s="153"/>
      <c r="U523" s="153"/>
      <c r="V523" s="153"/>
      <c r="W523" s="153"/>
      <c r="X523" s="153"/>
      <c r="Y523" s="153"/>
      <c r="Z523" s="153"/>
      <c r="AA523" s="153"/>
    </row>
    <row r="524" ht="39.75" customHeight="1">
      <c r="A524" s="153"/>
      <c r="B524" s="153"/>
      <c r="C524" s="153"/>
      <c r="D524" s="153"/>
      <c r="E524" s="251"/>
      <c r="F524" s="251"/>
      <c r="G524" s="153"/>
      <c r="H524" s="252"/>
      <c r="I524" s="153"/>
      <c r="J524" s="153"/>
      <c r="K524" s="252"/>
      <c r="L524" s="153"/>
      <c r="M524" s="252"/>
      <c r="N524" s="153"/>
      <c r="O524" s="153"/>
      <c r="P524" s="153"/>
      <c r="Q524" s="152"/>
      <c r="R524" s="153"/>
      <c r="S524" s="153"/>
      <c r="T524" s="153"/>
      <c r="U524" s="153"/>
      <c r="V524" s="153"/>
      <c r="W524" s="153"/>
      <c r="X524" s="153"/>
      <c r="Y524" s="153"/>
      <c r="Z524" s="153"/>
      <c r="AA524" s="153"/>
    </row>
    <row r="525" ht="39.75" customHeight="1">
      <c r="A525" s="153"/>
      <c r="B525" s="153"/>
      <c r="C525" s="153"/>
      <c r="D525" s="153"/>
      <c r="E525" s="251"/>
      <c r="F525" s="251"/>
      <c r="G525" s="153"/>
      <c r="H525" s="252"/>
      <c r="I525" s="153"/>
      <c r="J525" s="153"/>
      <c r="K525" s="252"/>
      <c r="L525" s="153"/>
      <c r="M525" s="252"/>
      <c r="N525" s="153"/>
      <c r="O525" s="153"/>
      <c r="P525" s="153"/>
      <c r="Q525" s="152"/>
      <c r="R525" s="153"/>
      <c r="S525" s="153"/>
      <c r="T525" s="153"/>
      <c r="U525" s="153"/>
      <c r="V525" s="153"/>
      <c r="W525" s="153"/>
      <c r="X525" s="153"/>
      <c r="Y525" s="153"/>
      <c r="Z525" s="153"/>
      <c r="AA525" s="153"/>
    </row>
    <row r="526" ht="39.75" customHeight="1">
      <c r="A526" s="153"/>
      <c r="B526" s="153"/>
      <c r="C526" s="153"/>
      <c r="D526" s="153"/>
      <c r="E526" s="251"/>
      <c r="F526" s="251"/>
      <c r="G526" s="153"/>
      <c r="H526" s="252"/>
      <c r="I526" s="153"/>
      <c r="J526" s="153"/>
      <c r="K526" s="252"/>
      <c r="L526" s="153"/>
      <c r="M526" s="252"/>
      <c r="N526" s="153"/>
      <c r="O526" s="153"/>
      <c r="P526" s="153"/>
      <c r="Q526" s="152"/>
      <c r="R526" s="153"/>
      <c r="S526" s="153"/>
      <c r="T526" s="153"/>
      <c r="U526" s="153"/>
      <c r="V526" s="153"/>
      <c r="W526" s="153"/>
      <c r="X526" s="153"/>
      <c r="Y526" s="153"/>
      <c r="Z526" s="153"/>
      <c r="AA526" s="153"/>
    </row>
    <row r="527" ht="39.75" customHeight="1">
      <c r="A527" s="153"/>
      <c r="B527" s="153"/>
      <c r="C527" s="153"/>
      <c r="D527" s="153"/>
      <c r="E527" s="251"/>
      <c r="F527" s="251"/>
      <c r="G527" s="153"/>
      <c r="H527" s="252"/>
      <c r="I527" s="153"/>
      <c r="J527" s="153"/>
      <c r="K527" s="252"/>
      <c r="L527" s="153"/>
      <c r="M527" s="252"/>
      <c r="N527" s="153"/>
      <c r="O527" s="153"/>
      <c r="P527" s="153"/>
      <c r="Q527" s="152"/>
      <c r="R527" s="153"/>
      <c r="S527" s="153"/>
      <c r="T527" s="153"/>
      <c r="U527" s="153"/>
      <c r="V527" s="153"/>
      <c r="W527" s="153"/>
      <c r="X527" s="153"/>
      <c r="Y527" s="153"/>
      <c r="Z527" s="153"/>
      <c r="AA527" s="153"/>
    </row>
    <row r="528" ht="39.75" customHeight="1">
      <c r="A528" s="153"/>
      <c r="B528" s="153"/>
      <c r="C528" s="153"/>
      <c r="D528" s="153"/>
      <c r="E528" s="251"/>
      <c r="F528" s="251"/>
      <c r="G528" s="153"/>
      <c r="H528" s="252"/>
      <c r="I528" s="153"/>
      <c r="J528" s="153"/>
      <c r="K528" s="252"/>
      <c r="L528" s="153"/>
      <c r="M528" s="252"/>
      <c r="N528" s="153"/>
      <c r="O528" s="153"/>
      <c r="P528" s="153"/>
      <c r="Q528" s="152"/>
      <c r="R528" s="153"/>
      <c r="S528" s="153"/>
      <c r="T528" s="153"/>
      <c r="U528" s="153"/>
      <c r="V528" s="153"/>
      <c r="W528" s="153"/>
      <c r="X528" s="153"/>
      <c r="Y528" s="153"/>
      <c r="Z528" s="153"/>
      <c r="AA528" s="153"/>
    </row>
    <row r="529" ht="39.75" customHeight="1">
      <c r="A529" s="153"/>
      <c r="B529" s="153"/>
      <c r="C529" s="153"/>
      <c r="D529" s="153"/>
      <c r="E529" s="251"/>
      <c r="F529" s="251"/>
      <c r="G529" s="153"/>
      <c r="H529" s="252"/>
      <c r="I529" s="153"/>
      <c r="J529" s="153"/>
      <c r="K529" s="252"/>
      <c r="L529" s="153"/>
      <c r="M529" s="252"/>
      <c r="N529" s="153"/>
      <c r="O529" s="153"/>
      <c r="P529" s="153"/>
      <c r="Q529" s="152"/>
      <c r="R529" s="153"/>
      <c r="S529" s="153"/>
      <c r="T529" s="153"/>
      <c r="U529" s="153"/>
      <c r="V529" s="153"/>
      <c r="W529" s="153"/>
      <c r="X529" s="153"/>
      <c r="Y529" s="153"/>
      <c r="Z529" s="153"/>
      <c r="AA529" s="153"/>
    </row>
    <row r="530" ht="39.75" customHeight="1">
      <c r="A530" s="153"/>
      <c r="B530" s="153"/>
      <c r="C530" s="153"/>
      <c r="D530" s="153"/>
      <c r="E530" s="251"/>
      <c r="F530" s="251"/>
      <c r="G530" s="153"/>
      <c r="H530" s="252"/>
      <c r="I530" s="153"/>
      <c r="J530" s="153"/>
      <c r="K530" s="252"/>
      <c r="L530" s="153"/>
      <c r="M530" s="252"/>
      <c r="N530" s="153"/>
      <c r="O530" s="153"/>
      <c r="P530" s="153"/>
      <c r="Q530" s="152"/>
      <c r="R530" s="153"/>
      <c r="S530" s="153"/>
      <c r="T530" s="153"/>
      <c r="U530" s="153"/>
      <c r="V530" s="153"/>
      <c r="W530" s="153"/>
      <c r="X530" s="153"/>
      <c r="Y530" s="153"/>
      <c r="Z530" s="153"/>
      <c r="AA530" s="153"/>
    </row>
    <row r="531" ht="39.75" customHeight="1">
      <c r="A531" s="153"/>
      <c r="B531" s="153"/>
      <c r="C531" s="153"/>
      <c r="D531" s="153"/>
      <c r="E531" s="251"/>
      <c r="F531" s="251"/>
      <c r="G531" s="153"/>
      <c r="H531" s="252"/>
      <c r="I531" s="153"/>
      <c r="J531" s="153"/>
      <c r="K531" s="252"/>
      <c r="L531" s="153"/>
      <c r="M531" s="252"/>
      <c r="N531" s="153"/>
      <c r="O531" s="153"/>
      <c r="P531" s="153"/>
      <c r="Q531" s="152"/>
      <c r="R531" s="153"/>
      <c r="S531" s="153"/>
      <c r="T531" s="153"/>
      <c r="U531" s="153"/>
      <c r="V531" s="153"/>
      <c r="W531" s="153"/>
      <c r="X531" s="153"/>
      <c r="Y531" s="153"/>
      <c r="Z531" s="153"/>
      <c r="AA531" s="153"/>
    </row>
    <row r="532" ht="39.75" customHeight="1">
      <c r="A532" s="153"/>
      <c r="B532" s="153"/>
      <c r="C532" s="153"/>
      <c r="D532" s="153"/>
      <c r="E532" s="251"/>
      <c r="F532" s="251"/>
      <c r="G532" s="153"/>
      <c r="H532" s="252"/>
      <c r="I532" s="153"/>
      <c r="J532" s="153"/>
      <c r="K532" s="252"/>
      <c r="L532" s="153"/>
      <c r="M532" s="252"/>
      <c r="N532" s="153"/>
      <c r="O532" s="153"/>
      <c r="P532" s="153"/>
      <c r="Q532" s="152"/>
      <c r="R532" s="153"/>
      <c r="S532" s="153"/>
      <c r="T532" s="153"/>
      <c r="U532" s="153"/>
      <c r="V532" s="153"/>
      <c r="W532" s="153"/>
      <c r="X532" s="153"/>
      <c r="Y532" s="153"/>
      <c r="Z532" s="153"/>
      <c r="AA532" s="153"/>
    </row>
    <row r="533" ht="39.75" customHeight="1">
      <c r="A533" s="153"/>
      <c r="B533" s="153"/>
      <c r="C533" s="153"/>
      <c r="D533" s="153"/>
      <c r="E533" s="251"/>
      <c r="F533" s="251"/>
      <c r="G533" s="153"/>
      <c r="H533" s="252"/>
      <c r="I533" s="153"/>
      <c r="J533" s="153"/>
      <c r="K533" s="252"/>
      <c r="L533" s="153"/>
      <c r="M533" s="252"/>
      <c r="N533" s="153"/>
      <c r="O533" s="153"/>
      <c r="P533" s="153"/>
      <c r="Q533" s="152"/>
      <c r="R533" s="153"/>
      <c r="S533" s="153"/>
      <c r="T533" s="153"/>
      <c r="U533" s="153"/>
      <c r="V533" s="153"/>
      <c r="W533" s="153"/>
      <c r="X533" s="153"/>
      <c r="Y533" s="153"/>
      <c r="Z533" s="153"/>
      <c r="AA533" s="153"/>
    </row>
    <row r="534" ht="39.75" customHeight="1">
      <c r="A534" s="153"/>
      <c r="B534" s="153"/>
      <c r="C534" s="153"/>
      <c r="D534" s="153"/>
      <c r="E534" s="251"/>
      <c r="F534" s="251"/>
      <c r="G534" s="153"/>
      <c r="H534" s="252"/>
      <c r="I534" s="153"/>
      <c r="J534" s="153"/>
      <c r="K534" s="252"/>
      <c r="L534" s="153"/>
      <c r="M534" s="252"/>
      <c r="N534" s="153"/>
      <c r="O534" s="153"/>
      <c r="P534" s="153"/>
      <c r="Q534" s="152"/>
      <c r="R534" s="153"/>
      <c r="S534" s="153"/>
      <c r="T534" s="153"/>
      <c r="U534" s="153"/>
      <c r="V534" s="153"/>
      <c r="W534" s="153"/>
      <c r="X534" s="153"/>
      <c r="Y534" s="153"/>
      <c r="Z534" s="153"/>
      <c r="AA534" s="153"/>
    </row>
    <row r="535" ht="39.75" customHeight="1">
      <c r="A535" s="153"/>
      <c r="B535" s="153"/>
      <c r="C535" s="153"/>
      <c r="D535" s="153"/>
      <c r="E535" s="251"/>
      <c r="F535" s="251"/>
      <c r="G535" s="153"/>
      <c r="H535" s="252"/>
      <c r="I535" s="153"/>
      <c r="J535" s="153"/>
      <c r="K535" s="252"/>
      <c r="L535" s="153"/>
      <c r="M535" s="252"/>
      <c r="N535" s="153"/>
      <c r="O535" s="153"/>
      <c r="P535" s="153"/>
      <c r="Q535" s="152"/>
      <c r="R535" s="153"/>
      <c r="S535" s="153"/>
      <c r="T535" s="153"/>
      <c r="U535" s="153"/>
      <c r="V535" s="153"/>
      <c r="W535" s="153"/>
      <c r="X535" s="153"/>
      <c r="Y535" s="153"/>
      <c r="Z535" s="153"/>
      <c r="AA535" s="153"/>
    </row>
    <row r="536" ht="39.75" customHeight="1">
      <c r="A536" s="153"/>
      <c r="B536" s="153"/>
      <c r="C536" s="153"/>
      <c r="D536" s="153"/>
      <c r="E536" s="251"/>
      <c r="F536" s="251"/>
      <c r="G536" s="153"/>
      <c r="H536" s="252"/>
      <c r="I536" s="153"/>
      <c r="J536" s="153"/>
      <c r="K536" s="252"/>
      <c r="L536" s="153"/>
      <c r="M536" s="252"/>
      <c r="N536" s="153"/>
      <c r="O536" s="153"/>
      <c r="P536" s="153"/>
      <c r="Q536" s="152"/>
      <c r="R536" s="153"/>
      <c r="S536" s="153"/>
      <c r="T536" s="153"/>
      <c r="U536" s="153"/>
      <c r="V536" s="153"/>
      <c r="W536" s="153"/>
      <c r="X536" s="153"/>
      <c r="Y536" s="153"/>
      <c r="Z536" s="153"/>
      <c r="AA536" s="153"/>
    </row>
    <row r="537" ht="39.75" customHeight="1">
      <c r="A537" s="153"/>
      <c r="B537" s="153"/>
      <c r="C537" s="153"/>
      <c r="D537" s="153"/>
      <c r="E537" s="251"/>
      <c r="F537" s="251"/>
      <c r="G537" s="153"/>
      <c r="H537" s="252"/>
      <c r="I537" s="153"/>
      <c r="J537" s="153"/>
      <c r="K537" s="252"/>
      <c r="L537" s="153"/>
      <c r="M537" s="252"/>
      <c r="N537" s="153"/>
      <c r="O537" s="153"/>
      <c r="P537" s="153"/>
      <c r="Q537" s="152"/>
      <c r="R537" s="153"/>
      <c r="S537" s="153"/>
      <c r="T537" s="153"/>
      <c r="U537" s="153"/>
      <c r="V537" s="153"/>
      <c r="W537" s="153"/>
      <c r="X537" s="153"/>
      <c r="Y537" s="153"/>
      <c r="Z537" s="153"/>
      <c r="AA537" s="153"/>
    </row>
    <row r="538" ht="39.75" customHeight="1">
      <c r="A538" s="153"/>
      <c r="B538" s="153"/>
      <c r="C538" s="153"/>
      <c r="D538" s="153"/>
      <c r="E538" s="251"/>
      <c r="F538" s="251"/>
      <c r="G538" s="153"/>
      <c r="H538" s="252"/>
      <c r="I538" s="153"/>
      <c r="J538" s="153"/>
      <c r="K538" s="252"/>
      <c r="L538" s="153"/>
      <c r="M538" s="252"/>
      <c r="N538" s="153"/>
      <c r="O538" s="153"/>
      <c r="P538" s="153"/>
      <c r="Q538" s="152"/>
      <c r="R538" s="153"/>
      <c r="S538" s="153"/>
      <c r="T538" s="153"/>
      <c r="U538" s="153"/>
      <c r="V538" s="153"/>
      <c r="W538" s="153"/>
      <c r="X538" s="153"/>
      <c r="Y538" s="153"/>
      <c r="Z538" s="153"/>
      <c r="AA538" s="153"/>
    </row>
    <row r="539" ht="39.75" customHeight="1">
      <c r="A539" s="153"/>
      <c r="B539" s="153"/>
      <c r="C539" s="153"/>
      <c r="D539" s="153"/>
      <c r="E539" s="251"/>
      <c r="F539" s="251"/>
      <c r="G539" s="153"/>
      <c r="H539" s="252"/>
      <c r="I539" s="153"/>
      <c r="J539" s="153"/>
      <c r="K539" s="252"/>
      <c r="L539" s="153"/>
      <c r="M539" s="252"/>
      <c r="N539" s="153"/>
      <c r="O539" s="153"/>
      <c r="P539" s="153"/>
      <c r="Q539" s="152"/>
      <c r="R539" s="153"/>
      <c r="S539" s="153"/>
      <c r="T539" s="153"/>
      <c r="U539" s="153"/>
      <c r="V539" s="153"/>
      <c r="W539" s="153"/>
      <c r="X539" s="153"/>
      <c r="Y539" s="153"/>
      <c r="Z539" s="153"/>
      <c r="AA539" s="153"/>
    </row>
    <row r="540" ht="39.75" customHeight="1">
      <c r="A540" s="153"/>
      <c r="B540" s="153"/>
      <c r="C540" s="153"/>
      <c r="D540" s="153"/>
      <c r="E540" s="251"/>
      <c r="F540" s="251"/>
      <c r="G540" s="153"/>
      <c r="H540" s="252"/>
      <c r="I540" s="153"/>
      <c r="J540" s="153"/>
      <c r="K540" s="252"/>
      <c r="L540" s="153"/>
      <c r="M540" s="252"/>
      <c r="N540" s="153"/>
      <c r="O540" s="153"/>
      <c r="P540" s="153"/>
      <c r="Q540" s="152"/>
      <c r="R540" s="153"/>
      <c r="S540" s="153"/>
      <c r="T540" s="153"/>
      <c r="U540" s="153"/>
      <c r="V540" s="153"/>
      <c r="W540" s="153"/>
      <c r="X540" s="153"/>
      <c r="Y540" s="153"/>
      <c r="Z540" s="153"/>
      <c r="AA540" s="153"/>
    </row>
    <row r="541" ht="39.75" customHeight="1">
      <c r="A541" s="153"/>
      <c r="B541" s="153"/>
      <c r="C541" s="153"/>
      <c r="D541" s="153"/>
      <c r="E541" s="251"/>
      <c r="F541" s="251"/>
      <c r="G541" s="153"/>
      <c r="H541" s="252"/>
      <c r="I541" s="153"/>
      <c r="J541" s="153"/>
      <c r="K541" s="252"/>
      <c r="L541" s="153"/>
      <c r="M541" s="252"/>
      <c r="N541" s="153"/>
      <c r="O541" s="153"/>
      <c r="P541" s="153"/>
      <c r="Q541" s="152"/>
      <c r="R541" s="153"/>
      <c r="S541" s="153"/>
      <c r="T541" s="153"/>
      <c r="U541" s="153"/>
      <c r="V541" s="153"/>
      <c r="W541" s="153"/>
      <c r="X541" s="153"/>
      <c r="Y541" s="153"/>
      <c r="Z541" s="153"/>
      <c r="AA541" s="153"/>
    </row>
    <row r="542" ht="39.75" customHeight="1">
      <c r="A542" s="153"/>
      <c r="B542" s="153"/>
      <c r="C542" s="153"/>
      <c r="D542" s="153"/>
      <c r="E542" s="251"/>
      <c r="F542" s="251"/>
      <c r="G542" s="153"/>
      <c r="H542" s="252"/>
      <c r="I542" s="153"/>
      <c r="J542" s="153"/>
      <c r="K542" s="252"/>
      <c r="L542" s="153"/>
      <c r="M542" s="252"/>
      <c r="N542" s="153"/>
      <c r="O542" s="153"/>
      <c r="P542" s="153"/>
      <c r="Q542" s="152"/>
      <c r="R542" s="153"/>
      <c r="S542" s="153"/>
      <c r="T542" s="153"/>
      <c r="U542" s="153"/>
      <c r="V542" s="153"/>
      <c r="W542" s="153"/>
      <c r="X542" s="153"/>
      <c r="Y542" s="153"/>
      <c r="Z542" s="153"/>
      <c r="AA542" s="153"/>
    </row>
    <row r="543" ht="39.75" customHeight="1">
      <c r="A543" s="153"/>
      <c r="B543" s="153"/>
      <c r="C543" s="153"/>
      <c r="D543" s="153"/>
      <c r="E543" s="251"/>
      <c r="F543" s="251"/>
      <c r="G543" s="153"/>
      <c r="H543" s="252"/>
      <c r="I543" s="153"/>
      <c r="J543" s="153"/>
      <c r="K543" s="252"/>
      <c r="L543" s="153"/>
      <c r="M543" s="252"/>
      <c r="N543" s="153"/>
      <c r="O543" s="153"/>
      <c r="P543" s="153"/>
      <c r="Q543" s="152"/>
      <c r="R543" s="153"/>
      <c r="S543" s="153"/>
      <c r="T543" s="153"/>
      <c r="U543" s="153"/>
      <c r="V543" s="153"/>
      <c r="W543" s="153"/>
      <c r="X543" s="153"/>
      <c r="Y543" s="153"/>
      <c r="Z543" s="153"/>
      <c r="AA543" s="153"/>
    </row>
    <row r="544" ht="39.75" customHeight="1">
      <c r="A544" s="153"/>
      <c r="B544" s="153"/>
      <c r="C544" s="153"/>
      <c r="D544" s="153"/>
      <c r="E544" s="251"/>
      <c r="F544" s="251"/>
      <c r="G544" s="153"/>
      <c r="H544" s="252"/>
      <c r="I544" s="153"/>
      <c r="J544" s="153"/>
      <c r="K544" s="252"/>
      <c r="L544" s="153"/>
      <c r="M544" s="252"/>
      <c r="N544" s="153"/>
      <c r="O544" s="153"/>
      <c r="P544" s="153"/>
      <c r="Q544" s="152"/>
      <c r="R544" s="153"/>
      <c r="S544" s="153"/>
      <c r="T544" s="153"/>
      <c r="U544" s="153"/>
      <c r="V544" s="153"/>
      <c r="W544" s="153"/>
      <c r="X544" s="153"/>
      <c r="Y544" s="153"/>
      <c r="Z544" s="153"/>
      <c r="AA544" s="153"/>
    </row>
    <row r="545" ht="39.75" customHeight="1">
      <c r="A545" s="153"/>
      <c r="B545" s="153"/>
      <c r="C545" s="153"/>
      <c r="D545" s="153"/>
      <c r="E545" s="251"/>
      <c r="F545" s="251"/>
      <c r="G545" s="153"/>
      <c r="H545" s="252"/>
      <c r="I545" s="153"/>
      <c r="J545" s="153"/>
      <c r="K545" s="252"/>
      <c r="L545" s="153"/>
      <c r="M545" s="252"/>
      <c r="N545" s="153"/>
      <c r="O545" s="153"/>
      <c r="P545" s="153"/>
      <c r="Q545" s="152"/>
      <c r="R545" s="153"/>
      <c r="S545" s="153"/>
      <c r="T545" s="153"/>
      <c r="U545" s="153"/>
      <c r="V545" s="153"/>
      <c r="W545" s="153"/>
      <c r="X545" s="153"/>
      <c r="Y545" s="153"/>
      <c r="Z545" s="153"/>
      <c r="AA545" s="153"/>
    </row>
    <row r="546" ht="39.75" customHeight="1">
      <c r="A546" s="153"/>
      <c r="B546" s="153"/>
      <c r="C546" s="153"/>
      <c r="D546" s="153"/>
      <c r="E546" s="251"/>
      <c r="F546" s="251"/>
      <c r="G546" s="153"/>
      <c r="H546" s="252"/>
      <c r="I546" s="153"/>
      <c r="J546" s="153"/>
      <c r="K546" s="252"/>
      <c r="L546" s="153"/>
      <c r="M546" s="252"/>
      <c r="N546" s="153"/>
      <c r="O546" s="153"/>
      <c r="P546" s="153"/>
      <c r="Q546" s="152"/>
      <c r="R546" s="153"/>
      <c r="S546" s="153"/>
      <c r="T546" s="153"/>
      <c r="U546" s="153"/>
      <c r="V546" s="153"/>
      <c r="W546" s="153"/>
      <c r="X546" s="153"/>
      <c r="Y546" s="153"/>
      <c r="Z546" s="153"/>
      <c r="AA546" s="153"/>
    </row>
    <row r="547" ht="39.75" customHeight="1">
      <c r="A547" s="153"/>
      <c r="B547" s="153"/>
      <c r="C547" s="153"/>
      <c r="D547" s="153"/>
      <c r="E547" s="251"/>
      <c r="F547" s="251"/>
      <c r="G547" s="153"/>
      <c r="H547" s="252"/>
      <c r="I547" s="153"/>
      <c r="J547" s="153"/>
      <c r="K547" s="252"/>
      <c r="L547" s="153"/>
      <c r="M547" s="252"/>
      <c r="N547" s="153"/>
      <c r="O547" s="153"/>
      <c r="P547" s="153"/>
      <c r="Q547" s="152"/>
      <c r="R547" s="153"/>
      <c r="S547" s="153"/>
      <c r="T547" s="153"/>
      <c r="U547" s="153"/>
      <c r="V547" s="153"/>
      <c r="W547" s="153"/>
      <c r="X547" s="153"/>
      <c r="Y547" s="153"/>
      <c r="Z547" s="153"/>
      <c r="AA547" s="153"/>
    </row>
    <row r="548" ht="39.75" customHeight="1">
      <c r="A548" s="153"/>
      <c r="B548" s="153"/>
      <c r="C548" s="153"/>
      <c r="D548" s="153"/>
      <c r="E548" s="251"/>
      <c r="F548" s="251"/>
      <c r="G548" s="153"/>
      <c r="H548" s="252"/>
      <c r="I548" s="153"/>
      <c r="J548" s="153"/>
      <c r="K548" s="252"/>
      <c r="L548" s="153"/>
      <c r="M548" s="252"/>
      <c r="N548" s="153"/>
      <c r="O548" s="153"/>
      <c r="P548" s="153"/>
      <c r="Q548" s="152"/>
      <c r="R548" s="153"/>
      <c r="S548" s="153"/>
      <c r="T548" s="153"/>
      <c r="U548" s="153"/>
      <c r="V548" s="153"/>
      <c r="W548" s="153"/>
      <c r="X548" s="153"/>
      <c r="Y548" s="153"/>
      <c r="Z548" s="153"/>
      <c r="AA548" s="153"/>
    </row>
    <row r="549" ht="39.75" customHeight="1">
      <c r="A549" s="153"/>
      <c r="B549" s="153"/>
      <c r="C549" s="153"/>
      <c r="D549" s="153"/>
      <c r="E549" s="251"/>
      <c r="F549" s="251"/>
      <c r="G549" s="153"/>
      <c r="H549" s="252"/>
      <c r="I549" s="153"/>
      <c r="J549" s="153"/>
      <c r="K549" s="252"/>
      <c r="L549" s="153"/>
      <c r="M549" s="252"/>
      <c r="N549" s="153"/>
      <c r="O549" s="153"/>
      <c r="P549" s="153"/>
      <c r="Q549" s="152"/>
      <c r="R549" s="153"/>
      <c r="S549" s="153"/>
      <c r="T549" s="153"/>
      <c r="U549" s="153"/>
      <c r="V549" s="153"/>
      <c r="W549" s="153"/>
      <c r="X549" s="153"/>
      <c r="Y549" s="153"/>
      <c r="Z549" s="153"/>
      <c r="AA549" s="153"/>
    </row>
    <row r="550" ht="39.75" customHeight="1">
      <c r="A550" s="153"/>
      <c r="B550" s="153"/>
      <c r="C550" s="153"/>
      <c r="D550" s="153"/>
      <c r="E550" s="251"/>
      <c r="F550" s="251"/>
      <c r="G550" s="153"/>
      <c r="H550" s="252"/>
      <c r="I550" s="153"/>
      <c r="J550" s="153"/>
      <c r="K550" s="252"/>
      <c r="L550" s="153"/>
      <c r="M550" s="252"/>
      <c r="N550" s="153"/>
      <c r="O550" s="153"/>
      <c r="P550" s="153"/>
      <c r="Q550" s="152"/>
      <c r="R550" s="153"/>
      <c r="S550" s="153"/>
      <c r="T550" s="153"/>
      <c r="U550" s="153"/>
      <c r="V550" s="153"/>
      <c r="W550" s="153"/>
      <c r="X550" s="153"/>
      <c r="Y550" s="153"/>
      <c r="Z550" s="153"/>
      <c r="AA550" s="153"/>
    </row>
    <row r="551" ht="39.75" customHeight="1">
      <c r="A551" s="153"/>
      <c r="B551" s="153"/>
      <c r="C551" s="153"/>
      <c r="D551" s="153"/>
      <c r="E551" s="251"/>
      <c r="F551" s="251"/>
      <c r="G551" s="153"/>
      <c r="H551" s="252"/>
      <c r="I551" s="153"/>
      <c r="J551" s="153"/>
      <c r="K551" s="252"/>
      <c r="L551" s="153"/>
      <c r="M551" s="252"/>
      <c r="N551" s="153"/>
      <c r="O551" s="153"/>
      <c r="P551" s="153"/>
      <c r="Q551" s="152"/>
      <c r="R551" s="153"/>
      <c r="S551" s="153"/>
      <c r="T551" s="153"/>
      <c r="U551" s="153"/>
      <c r="V551" s="153"/>
      <c r="W551" s="153"/>
      <c r="X551" s="153"/>
      <c r="Y551" s="153"/>
      <c r="Z551" s="153"/>
      <c r="AA551" s="153"/>
    </row>
    <row r="552" ht="39.75" customHeight="1">
      <c r="A552" s="153"/>
      <c r="B552" s="153"/>
      <c r="C552" s="153"/>
      <c r="D552" s="153"/>
      <c r="E552" s="251"/>
      <c r="F552" s="251"/>
      <c r="G552" s="153"/>
      <c r="H552" s="252"/>
      <c r="I552" s="153"/>
      <c r="J552" s="153"/>
      <c r="K552" s="252"/>
      <c r="L552" s="153"/>
      <c r="M552" s="252"/>
      <c r="N552" s="153"/>
      <c r="O552" s="153"/>
      <c r="P552" s="153"/>
      <c r="Q552" s="152"/>
      <c r="R552" s="153"/>
      <c r="S552" s="153"/>
      <c r="T552" s="153"/>
      <c r="U552" s="153"/>
      <c r="V552" s="153"/>
      <c r="W552" s="153"/>
      <c r="X552" s="153"/>
      <c r="Y552" s="153"/>
      <c r="Z552" s="153"/>
      <c r="AA552" s="153"/>
    </row>
    <row r="553" ht="39.75" customHeight="1">
      <c r="A553" s="153"/>
      <c r="B553" s="153"/>
      <c r="C553" s="153"/>
      <c r="D553" s="153"/>
      <c r="E553" s="251"/>
      <c r="F553" s="251"/>
      <c r="G553" s="153"/>
      <c r="H553" s="252"/>
      <c r="I553" s="153"/>
      <c r="J553" s="153"/>
      <c r="K553" s="252"/>
      <c r="L553" s="153"/>
      <c r="M553" s="252"/>
      <c r="N553" s="153"/>
      <c r="O553" s="153"/>
      <c r="P553" s="153"/>
      <c r="Q553" s="152"/>
      <c r="R553" s="153"/>
      <c r="S553" s="153"/>
      <c r="T553" s="153"/>
      <c r="U553" s="153"/>
      <c r="V553" s="153"/>
      <c r="W553" s="153"/>
      <c r="X553" s="153"/>
      <c r="Y553" s="153"/>
      <c r="Z553" s="153"/>
      <c r="AA553" s="153"/>
    </row>
    <row r="554" ht="39.75" customHeight="1">
      <c r="A554" s="153"/>
      <c r="B554" s="153"/>
      <c r="C554" s="153"/>
      <c r="D554" s="153"/>
      <c r="E554" s="251"/>
      <c r="F554" s="251"/>
      <c r="G554" s="153"/>
      <c r="H554" s="252"/>
      <c r="I554" s="153"/>
      <c r="J554" s="153"/>
      <c r="K554" s="252"/>
      <c r="L554" s="153"/>
      <c r="M554" s="252"/>
      <c r="N554" s="153"/>
      <c r="O554" s="153"/>
      <c r="P554" s="153"/>
      <c r="Q554" s="152"/>
      <c r="R554" s="153"/>
      <c r="S554" s="153"/>
      <c r="T554" s="153"/>
      <c r="U554" s="153"/>
      <c r="V554" s="153"/>
      <c r="W554" s="153"/>
      <c r="X554" s="153"/>
      <c r="Y554" s="153"/>
      <c r="Z554" s="153"/>
      <c r="AA554" s="153"/>
    </row>
    <row r="555" ht="39.75" customHeight="1">
      <c r="A555" s="153"/>
      <c r="B555" s="153"/>
      <c r="C555" s="153"/>
      <c r="D555" s="153"/>
      <c r="E555" s="251"/>
      <c r="F555" s="251"/>
      <c r="G555" s="153"/>
      <c r="H555" s="252"/>
      <c r="I555" s="153"/>
      <c r="J555" s="153"/>
      <c r="K555" s="252"/>
      <c r="L555" s="153"/>
      <c r="M555" s="252"/>
      <c r="N555" s="153"/>
      <c r="O555" s="153"/>
      <c r="P555" s="153"/>
      <c r="Q555" s="152"/>
      <c r="R555" s="153"/>
      <c r="S555" s="153"/>
      <c r="T555" s="153"/>
      <c r="U555" s="153"/>
      <c r="V555" s="153"/>
      <c r="W555" s="153"/>
      <c r="X555" s="153"/>
      <c r="Y555" s="153"/>
      <c r="Z555" s="153"/>
      <c r="AA555" s="153"/>
    </row>
    <row r="556" ht="39.75" customHeight="1">
      <c r="A556" s="153"/>
      <c r="B556" s="153"/>
      <c r="C556" s="153"/>
      <c r="D556" s="153"/>
      <c r="E556" s="251"/>
      <c r="F556" s="251"/>
      <c r="G556" s="153"/>
      <c r="H556" s="252"/>
      <c r="I556" s="153"/>
      <c r="J556" s="153"/>
      <c r="K556" s="252"/>
      <c r="L556" s="153"/>
      <c r="M556" s="252"/>
      <c r="N556" s="153"/>
      <c r="O556" s="153"/>
      <c r="P556" s="153"/>
      <c r="Q556" s="152"/>
      <c r="R556" s="153"/>
      <c r="S556" s="153"/>
      <c r="T556" s="153"/>
      <c r="U556" s="153"/>
      <c r="V556" s="153"/>
      <c r="W556" s="153"/>
      <c r="X556" s="153"/>
      <c r="Y556" s="153"/>
      <c r="Z556" s="153"/>
      <c r="AA556" s="153"/>
    </row>
    <row r="557" ht="39.75" customHeight="1">
      <c r="A557" s="153"/>
      <c r="B557" s="153"/>
      <c r="C557" s="153"/>
      <c r="D557" s="153"/>
      <c r="E557" s="251"/>
      <c r="F557" s="251"/>
      <c r="G557" s="153"/>
      <c r="H557" s="252"/>
      <c r="I557" s="153"/>
      <c r="J557" s="153"/>
      <c r="K557" s="252"/>
      <c r="L557" s="153"/>
      <c r="M557" s="252"/>
      <c r="N557" s="153"/>
      <c r="O557" s="153"/>
      <c r="P557" s="153"/>
      <c r="Q557" s="152"/>
      <c r="R557" s="153"/>
      <c r="S557" s="153"/>
      <c r="T557" s="153"/>
      <c r="U557" s="153"/>
      <c r="V557" s="153"/>
      <c r="W557" s="153"/>
      <c r="X557" s="153"/>
      <c r="Y557" s="153"/>
      <c r="Z557" s="153"/>
      <c r="AA557" s="153"/>
    </row>
    <row r="558" ht="39.75" customHeight="1">
      <c r="A558" s="153"/>
      <c r="B558" s="153"/>
      <c r="C558" s="153"/>
      <c r="D558" s="153"/>
      <c r="E558" s="251"/>
      <c r="F558" s="251"/>
      <c r="G558" s="153"/>
      <c r="H558" s="252"/>
      <c r="I558" s="153"/>
      <c r="J558" s="153"/>
      <c r="K558" s="252"/>
      <c r="L558" s="153"/>
      <c r="M558" s="252"/>
      <c r="N558" s="153"/>
      <c r="O558" s="153"/>
      <c r="P558" s="153"/>
      <c r="Q558" s="152"/>
      <c r="R558" s="153"/>
      <c r="S558" s="153"/>
      <c r="T558" s="153"/>
      <c r="U558" s="153"/>
      <c r="V558" s="153"/>
      <c r="W558" s="153"/>
      <c r="X558" s="153"/>
      <c r="Y558" s="153"/>
      <c r="Z558" s="153"/>
      <c r="AA558" s="153"/>
    </row>
    <row r="559" ht="39.75" customHeight="1">
      <c r="A559" s="153"/>
      <c r="B559" s="153"/>
      <c r="C559" s="153"/>
      <c r="D559" s="153"/>
      <c r="E559" s="251"/>
      <c r="F559" s="251"/>
      <c r="G559" s="153"/>
      <c r="H559" s="252"/>
      <c r="I559" s="153"/>
      <c r="J559" s="153"/>
      <c r="K559" s="252"/>
      <c r="L559" s="153"/>
      <c r="M559" s="252"/>
      <c r="N559" s="153"/>
      <c r="O559" s="153"/>
      <c r="P559" s="153"/>
      <c r="Q559" s="152"/>
      <c r="R559" s="153"/>
      <c r="S559" s="153"/>
      <c r="T559" s="153"/>
      <c r="U559" s="153"/>
      <c r="V559" s="153"/>
      <c r="W559" s="153"/>
      <c r="X559" s="153"/>
      <c r="Y559" s="153"/>
      <c r="Z559" s="153"/>
      <c r="AA559" s="153"/>
    </row>
    <row r="560" ht="39.75" customHeight="1">
      <c r="A560" s="153"/>
      <c r="B560" s="153"/>
      <c r="C560" s="153"/>
      <c r="D560" s="153"/>
      <c r="E560" s="251"/>
      <c r="F560" s="251"/>
      <c r="G560" s="153"/>
      <c r="H560" s="252"/>
      <c r="I560" s="153"/>
      <c r="J560" s="153"/>
      <c r="K560" s="252"/>
      <c r="L560" s="153"/>
      <c r="M560" s="252"/>
      <c r="N560" s="153"/>
      <c r="O560" s="153"/>
      <c r="P560" s="153"/>
      <c r="Q560" s="152"/>
      <c r="R560" s="153"/>
      <c r="S560" s="153"/>
      <c r="T560" s="153"/>
      <c r="U560" s="153"/>
      <c r="V560" s="153"/>
      <c r="W560" s="153"/>
      <c r="X560" s="153"/>
      <c r="Y560" s="153"/>
      <c r="Z560" s="153"/>
      <c r="AA560" s="153"/>
    </row>
    <row r="561" ht="39.75" customHeight="1">
      <c r="A561" s="153"/>
      <c r="B561" s="153"/>
      <c r="C561" s="153"/>
      <c r="D561" s="153"/>
      <c r="E561" s="251"/>
      <c r="F561" s="251"/>
      <c r="G561" s="153"/>
      <c r="H561" s="252"/>
      <c r="I561" s="153"/>
      <c r="J561" s="153"/>
      <c r="K561" s="252"/>
      <c r="L561" s="153"/>
      <c r="M561" s="252"/>
      <c r="N561" s="153"/>
      <c r="O561" s="153"/>
      <c r="P561" s="153"/>
      <c r="Q561" s="152"/>
      <c r="R561" s="153"/>
      <c r="S561" s="153"/>
      <c r="T561" s="153"/>
      <c r="U561" s="153"/>
      <c r="V561" s="153"/>
      <c r="W561" s="153"/>
      <c r="X561" s="153"/>
      <c r="Y561" s="153"/>
      <c r="Z561" s="153"/>
      <c r="AA561" s="153"/>
    </row>
    <row r="562" ht="39.75" customHeight="1">
      <c r="A562" s="153"/>
      <c r="B562" s="153"/>
      <c r="C562" s="153"/>
      <c r="D562" s="153"/>
      <c r="E562" s="251"/>
      <c r="F562" s="251"/>
      <c r="G562" s="153"/>
      <c r="H562" s="252"/>
      <c r="I562" s="153"/>
      <c r="J562" s="153"/>
      <c r="K562" s="252"/>
      <c r="L562" s="153"/>
      <c r="M562" s="252"/>
      <c r="N562" s="153"/>
      <c r="O562" s="153"/>
      <c r="P562" s="153"/>
      <c r="Q562" s="152"/>
      <c r="R562" s="153"/>
      <c r="S562" s="153"/>
      <c r="T562" s="153"/>
      <c r="U562" s="153"/>
      <c r="V562" s="153"/>
      <c r="W562" s="153"/>
      <c r="X562" s="153"/>
      <c r="Y562" s="153"/>
      <c r="Z562" s="153"/>
      <c r="AA562" s="153"/>
    </row>
    <row r="563" ht="39.75" customHeight="1">
      <c r="A563" s="153"/>
      <c r="B563" s="153"/>
      <c r="C563" s="153"/>
      <c r="D563" s="153"/>
      <c r="E563" s="251"/>
      <c r="F563" s="251"/>
      <c r="G563" s="153"/>
      <c r="H563" s="252"/>
      <c r="I563" s="153"/>
      <c r="J563" s="153"/>
      <c r="K563" s="252"/>
      <c r="L563" s="153"/>
      <c r="M563" s="252"/>
      <c r="N563" s="153"/>
      <c r="O563" s="153"/>
      <c r="P563" s="153"/>
      <c r="Q563" s="152"/>
      <c r="R563" s="153"/>
      <c r="S563" s="153"/>
      <c r="T563" s="153"/>
      <c r="U563" s="153"/>
      <c r="V563" s="153"/>
      <c r="W563" s="153"/>
      <c r="X563" s="153"/>
      <c r="Y563" s="153"/>
      <c r="Z563" s="153"/>
      <c r="AA563" s="153"/>
    </row>
    <row r="564" ht="39.75" customHeight="1">
      <c r="A564" s="153"/>
      <c r="B564" s="153"/>
      <c r="C564" s="153"/>
      <c r="D564" s="153"/>
      <c r="E564" s="251"/>
      <c r="F564" s="251"/>
      <c r="G564" s="153"/>
      <c r="H564" s="252"/>
      <c r="I564" s="153"/>
      <c r="J564" s="153"/>
      <c r="K564" s="252"/>
      <c r="L564" s="153"/>
      <c r="M564" s="252"/>
      <c r="N564" s="153"/>
      <c r="O564" s="153"/>
      <c r="P564" s="153"/>
      <c r="Q564" s="152"/>
      <c r="R564" s="153"/>
      <c r="S564" s="153"/>
      <c r="T564" s="153"/>
      <c r="U564" s="153"/>
      <c r="V564" s="153"/>
      <c r="W564" s="153"/>
      <c r="X564" s="153"/>
      <c r="Y564" s="153"/>
      <c r="Z564" s="153"/>
      <c r="AA564" s="153"/>
    </row>
    <row r="565" ht="39.75" customHeight="1">
      <c r="A565" s="153"/>
      <c r="B565" s="153"/>
      <c r="C565" s="153"/>
      <c r="D565" s="153"/>
      <c r="E565" s="251"/>
      <c r="F565" s="251"/>
      <c r="G565" s="153"/>
      <c r="H565" s="252"/>
      <c r="I565" s="153"/>
      <c r="J565" s="153"/>
      <c r="K565" s="252"/>
      <c r="L565" s="153"/>
      <c r="M565" s="252"/>
      <c r="N565" s="153"/>
      <c r="O565" s="153"/>
      <c r="P565" s="153"/>
      <c r="Q565" s="152"/>
      <c r="R565" s="153"/>
      <c r="S565" s="153"/>
      <c r="T565" s="153"/>
      <c r="U565" s="153"/>
      <c r="V565" s="153"/>
      <c r="W565" s="153"/>
      <c r="X565" s="153"/>
      <c r="Y565" s="153"/>
      <c r="Z565" s="153"/>
      <c r="AA565" s="153"/>
    </row>
    <row r="566" ht="39.75" customHeight="1">
      <c r="A566" s="153"/>
      <c r="B566" s="153"/>
      <c r="C566" s="153"/>
      <c r="D566" s="153"/>
      <c r="E566" s="251"/>
      <c r="F566" s="251"/>
      <c r="G566" s="153"/>
      <c r="H566" s="252"/>
      <c r="I566" s="153"/>
      <c r="J566" s="153"/>
      <c r="K566" s="252"/>
      <c r="L566" s="153"/>
      <c r="M566" s="252"/>
      <c r="N566" s="153"/>
      <c r="O566" s="153"/>
      <c r="P566" s="153"/>
      <c r="Q566" s="152"/>
      <c r="R566" s="153"/>
      <c r="S566" s="153"/>
      <c r="T566" s="153"/>
      <c r="U566" s="153"/>
      <c r="V566" s="153"/>
      <c r="W566" s="153"/>
      <c r="X566" s="153"/>
      <c r="Y566" s="153"/>
      <c r="Z566" s="153"/>
      <c r="AA566" s="153"/>
    </row>
    <row r="567" ht="39.75" customHeight="1">
      <c r="A567" s="153"/>
      <c r="B567" s="153"/>
      <c r="C567" s="153"/>
      <c r="D567" s="153"/>
      <c r="E567" s="251"/>
      <c r="F567" s="251"/>
      <c r="G567" s="153"/>
      <c r="H567" s="252"/>
      <c r="I567" s="153"/>
      <c r="J567" s="153"/>
      <c r="K567" s="252"/>
      <c r="L567" s="153"/>
      <c r="M567" s="252"/>
      <c r="N567" s="153"/>
      <c r="O567" s="153"/>
      <c r="P567" s="153"/>
      <c r="Q567" s="152"/>
      <c r="R567" s="153"/>
      <c r="S567" s="153"/>
      <c r="T567" s="153"/>
      <c r="U567" s="153"/>
      <c r="V567" s="153"/>
      <c r="W567" s="153"/>
      <c r="X567" s="153"/>
      <c r="Y567" s="153"/>
      <c r="Z567" s="153"/>
      <c r="AA567" s="153"/>
    </row>
    <row r="568" ht="39.75" customHeight="1">
      <c r="A568" s="153"/>
      <c r="B568" s="153"/>
      <c r="C568" s="153"/>
      <c r="D568" s="153"/>
      <c r="E568" s="251"/>
      <c r="F568" s="251"/>
      <c r="G568" s="153"/>
      <c r="H568" s="252"/>
      <c r="I568" s="153"/>
      <c r="J568" s="153"/>
      <c r="K568" s="252"/>
      <c r="L568" s="153"/>
      <c r="M568" s="252"/>
      <c r="N568" s="153"/>
      <c r="O568" s="153"/>
      <c r="P568" s="153"/>
      <c r="Q568" s="152"/>
      <c r="R568" s="153"/>
      <c r="S568" s="153"/>
      <c r="T568" s="153"/>
      <c r="U568" s="153"/>
      <c r="V568" s="153"/>
      <c r="W568" s="153"/>
      <c r="X568" s="153"/>
      <c r="Y568" s="153"/>
      <c r="Z568" s="153"/>
      <c r="AA568" s="153"/>
    </row>
    <row r="569" ht="39.75" customHeight="1">
      <c r="A569" s="153"/>
      <c r="B569" s="153"/>
      <c r="C569" s="153"/>
      <c r="D569" s="153"/>
      <c r="E569" s="251"/>
      <c r="F569" s="251"/>
      <c r="G569" s="153"/>
      <c r="H569" s="252"/>
      <c r="I569" s="153"/>
      <c r="J569" s="153"/>
      <c r="K569" s="252"/>
      <c r="L569" s="153"/>
      <c r="M569" s="252"/>
      <c r="N569" s="153"/>
      <c r="O569" s="153"/>
      <c r="P569" s="153"/>
      <c r="Q569" s="152"/>
      <c r="R569" s="153"/>
      <c r="S569" s="153"/>
      <c r="T569" s="153"/>
      <c r="U569" s="153"/>
      <c r="V569" s="153"/>
      <c r="W569" s="153"/>
      <c r="X569" s="153"/>
      <c r="Y569" s="153"/>
      <c r="Z569" s="153"/>
      <c r="AA569" s="153"/>
    </row>
    <row r="570" ht="39.75" customHeight="1">
      <c r="A570" s="153"/>
      <c r="B570" s="153"/>
      <c r="C570" s="153"/>
      <c r="D570" s="153"/>
      <c r="E570" s="251"/>
      <c r="F570" s="251"/>
      <c r="G570" s="153"/>
      <c r="H570" s="252"/>
      <c r="I570" s="153"/>
      <c r="J570" s="153"/>
      <c r="K570" s="252"/>
      <c r="L570" s="153"/>
      <c r="M570" s="252"/>
      <c r="N570" s="153"/>
      <c r="O570" s="153"/>
      <c r="P570" s="153"/>
      <c r="Q570" s="152"/>
      <c r="R570" s="153"/>
      <c r="S570" s="153"/>
      <c r="T570" s="153"/>
      <c r="U570" s="153"/>
      <c r="V570" s="153"/>
      <c r="W570" s="153"/>
      <c r="X570" s="153"/>
      <c r="Y570" s="153"/>
      <c r="Z570" s="153"/>
      <c r="AA570" s="153"/>
    </row>
    <row r="571" ht="39.75" customHeight="1">
      <c r="A571" s="153"/>
      <c r="B571" s="153"/>
      <c r="C571" s="153"/>
      <c r="D571" s="153"/>
      <c r="E571" s="251"/>
      <c r="F571" s="251"/>
      <c r="G571" s="153"/>
      <c r="H571" s="252"/>
      <c r="I571" s="153"/>
      <c r="J571" s="153"/>
      <c r="K571" s="252"/>
      <c r="L571" s="153"/>
      <c r="M571" s="252"/>
      <c r="N571" s="153"/>
      <c r="O571" s="153"/>
      <c r="P571" s="153"/>
      <c r="Q571" s="152"/>
      <c r="R571" s="153"/>
      <c r="S571" s="153"/>
      <c r="T571" s="153"/>
      <c r="U571" s="153"/>
      <c r="V571" s="153"/>
      <c r="W571" s="153"/>
      <c r="X571" s="153"/>
      <c r="Y571" s="153"/>
      <c r="Z571" s="153"/>
      <c r="AA571" s="153"/>
    </row>
    <row r="572" ht="39.75" customHeight="1">
      <c r="A572" s="153"/>
      <c r="B572" s="153"/>
      <c r="C572" s="153"/>
      <c r="D572" s="153"/>
      <c r="E572" s="251"/>
      <c r="F572" s="251"/>
      <c r="G572" s="153"/>
      <c r="H572" s="252"/>
      <c r="I572" s="153"/>
      <c r="J572" s="153"/>
      <c r="K572" s="252"/>
      <c r="L572" s="153"/>
      <c r="M572" s="252"/>
      <c r="N572" s="153"/>
      <c r="O572" s="153"/>
      <c r="P572" s="153"/>
      <c r="Q572" s="152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</row>
    <row r="573" ht="39.75" customHeight="1">
      <c r="A573" s="153"/>
      <c r="B573" s="153"/>
      <c r="C573" s="153"/>
      <c r="D573" s="153"/>
      <c r="E573" s="251"/>
      <c r="F573" s="251"/>
      <c r="G573" s="153"/>
      <c r="H573" s="252"/>
      <c r="I573" s="153"/>
      <c r="J573" s="153"/>
      <c r="K573" s="252"/>
      <c r="L573" s="153"/>
      <c r="M573" s="252"/>
      <c r="N573" s="153"/>
      <c r="O573" s="153"/>
      <c r="P573" s="153"/>
      <c r="Q573" s="152"/>
      <c r="R573" s="153"/>
      <c r="S573" s="153"/>
      <c r="T573" s="153"/>
      <c r="U573" s="153"/>
      <c r="V573" s="153"/>
      <c r="W573" s="153"/>
      <c r="X573" s="153"/>
      <c r="Y573" s="153"/>
      <c r="Z573" s="153"/>
      <c r="AA573" s="153"/>
    </row>
    <row r="574" ht="39.75" customHeight="1">
      <c r="A574" s="153"/>
      <c r="B574" s="153"/>
      <c r="C574" s="153"/>
      <c r="D574" s="153"/>
      <c r="E574" s="251"/>
      <c r="F574" s="251"/>
      <c r="G574" s="153"/>
      <c r="H574" s="252"/>
      <c r="I574" s="153"/>
      <c r="J574" s="153"/>
      <c r="K574" s="252"/>
      <c r="L574" s="153"/>
      <c r="M574" s="252"/>
      <c r="N574" s="153"/>
      <c r="O574" s="153"/>
      <c r="P574" s="153"/>
      <c r="Q574" s="152"/>
      <c r="R574" s="153"/>
      <c r="S574" s="153"/>
      <c r="T574" s="153"/>
      <c r="U574" s="153"/>
      <c r="V574" s="153"/>
      <c r="W574" s="153"/>
      <c r="X574" s="153"/>
      <c r="Y574" s="153"/>
      <c r="Z574" s="153"/>
      <c r="AA574" s="153"/>
    </row>
    <row r="575" ht="39.75" customHeight="1">
      <c r="A575" s="153"/>
      <c r="B575" s="153"/>
      <c r="C575" s="153"/>
      <c r="D575" s="153"/>
      <c r="E575" s="251"/>
      <c r="F575" s="251"/>
      <c r="G575" s="153"/>
      <c r="H575" s="252"/>
      <c r="I575" s="153"/>
      <c r="J575" s="153"/>
      <c r="K575" s="252"/>
      <c r="L575" s="153"/>
      <c r="M575" s="252"/>
      <c r="N575" s="153"/>
      <c r="O575" s="153"/>
      <c r="P575" s="153"/>
      <c r="Q575" s="152"/>
      <c r="R575" s="153"/>
      <c r="S575" s="153"/>
      <c r="T575" s="153"/>
      <c r="U575" s="153"/>
      <c r="V575" s="153"/>
      <c r="W575" s="153"/>
      <c r="X575" s="153"/>
      <c r="Y575" s="153"/>
      <c r="Z575" s="153"/>
      <c r="AA575" s="153"/>
    </row>
    <row r="576" ht="39.75" customHeight="1">
      <c r="A576" s="153"/>
      <c r="B576" s="153"/>
      <c r="C576" s="153"/>
      <c r="D576" s="153"/>
      <c r="E576" s="251"/>
      <c r="F576" s="251"/>
      <c r="G576" s="153"/>
      <c r="H576" s="252"/>
      <c r="I576" s="153"/>
      <c r="J576" s="153"/>
      <c r="K576" s="252"/>
      <c r="L576" s="153"/>
      <c r="M576" s="252"/>
      <c r="N576" s="153"/>
      <c r="O576" s="153"/>
      <c r="P576" s="153"/>
      <c r="Q576" s="152"/>
      <c r="R576" s="153"/>
      <c r="S576" s="153"/>
      <c r="T576" s="153"/>
      <c r="U576" s="153"/>
      <c r="V576" s="153"/>
      <c r="W576" s="153"/>
      <c r="X576" s="153"/>
      <c r="Y576" s="153"/>
      <c r="Z576" s="153"/>
      <c r="AA576" s="153"/>
    </row>
    <row r="577" ht="39.75" customHeight="1">
      <c r="A577" s="153"/>
      <c r="B577" s="153"/>
      <c r="C577" s="153"/>
      <c r="D577" s="153"/>
      <c r="E577" s="251"/>
      <c r="F577" s="251"/>
      <c r="G577" s="153"/>
      <c r="H577" s="252"/>
      <c r="I577" s="153"/>
      <c r="J577" s="153"/>
      <c r="K577" s="252"/>
      <c r="L577" s="153"/>
      <c r="M577" s="252"/>
      <c r="N577" s="153"/>
      <c r="O577" s="153"/>
      <c r="P577" s="153"/>
      <c r="Q577" s="152"/>
      <c r="R577" s="153"/>
      <c r="S577" s="153"/>
      <c r="T577" s="153"/>
      <c r="U577" s="153"/>
      <c r="V577" s="153"/>
      <c r="W577" s="153"/>
      <c r="X577" s="153"/>
      <c r="Y577" s="153"/>
      <c r="Z577" s="153"/>
      <c r="AA577" s="153"/>
    </row>
    <row r="578" ht="39.75" customHeight="1">
      <c r="A578" s="153"/>
      <c r="B578" s="153"/>
      <c r="C578" s="153"/>
      <c r="D578" s="153"/>
      <c r="E578" s="251"/>
      <c r="F578" s="251"/>
      <c r="G578" s="153"/>
      <c r="H578" s="252"/>
      <c r="I578" s="153"/>
      <c r="J578" s="153"/>
      <c r="K578" s="252"/>
      <c r="L578" s="153"/>
      <c r="M578" s="252"/>
      <c r="N578" s="153"/>
      <c r="O578" s="153"/>
      <c r="P578" s="153"/>
      <c r="Q578" s="152"/>
      <c r="R578" s="153"/>
      <c r="S578" s="153"/>
      <c r="T578" s="153"/>
      <c r="U578" s="153"/>
      <c r="V578" s="153"/>
      <c r="W578" s="153"/>
      <c r="X578" s="153"/>
      <c r="Y578" s="153"/>
      <c r="Z578" s="153"/>
      <c r="AA578" s="153"/>
    </row>
    <row r="579" ht="39.75" customHeight="1">
      <c r="A579" s="153"/>
      <c r="B579" s="153"/>
      <c r="C579" s="153"/>
      <c r="D579" s="153"/>
      <c r="E579" s="251"/>
      <c r="F579" s="251"/>
      <c r="G579" s="153"/>
      <c r="H579" s="252"/>
      <c r="I579" s="153"/>
      <c r="J579" s="153"/>
      <c r="K579" s="252"/>
      <c r="L579" s="153"/>
      <c r="M579" s="252"/>
      <c r="N579" s="153"/>
      <c r="O579" s="153"/>
      <c r="P579" s="153"/>
      <c r="Q579" s="152"/>
      <c r="R579" s="153"/>
      <c r="S579" s="153"/>
      <c r="T579" s="153"/>
      <c r="U579" s="153"/>
      <c r="V579" s="153"/>
      <c r="W579" s="153"/>
      <c r="X579" s="153"/>
      <c r="Y579" s="153"/>
      <c r="Z579" s="153"/>
      <c r="AA579" s="153"/>
    </row>
    <row r="580" ht="39.75" customHeight="1">
      <c r="A580" s="153"/>
      <c r="B580" s="153"/>
      <c r="C580" s="153"/>
      <c r="D580" s="153"/>
      <c r="E580" s="251"/>
      <c r="F580" s="251"/>
      <c r="G580" s="153"/>
      <c r="H580" s="252"/>
      <c r="I580" s="153"/>
      <c r="J580" s="153"/>
      <c r="K580" s="252"/>
      <c r="L580" s="153"/>
      <c r="M580" s="252"/>
      <c r="N580" s="153"/>
      <c r="O580" s="153"/>
      <c r="P580" s="153"/>
      <c r="Q580" s="152"/>
      <c r="R580" s="153"/>
      <c r="S580" s="153"/>
      <c r="T580" s="153"/>
      <c r="U580" s="153"/>
      <c r="V580" s="153"/>
      <c r="W580" s="153"/>
      <c r="X580" s="153"/>
      <c r="Y580" s="153"/>
      <c r="Z580" s="153"/>
      <c r="AA580" s="153"/>
    </row>
    <row r="581" ht="39.75" customHeight="1">
      <c r="A581" s="153"/>
      <c r="B581" s="153"/>
      <c r="C581" s="153"/>
      <c r="D581" s="153"/>
      <c r="E581" s="251"/>
      <c r="F581" s="251"/>
      <c r="G581" s="153"/>
      <c r="H581" s="252"/>
      <c r="I581" s="153"/>
      <c r="J581" s="153"/>
      <c r="K581" s="252"/>
      <c r="L581" s="153"/>
      <c r="M581" s="252"/>
      <c r="N581" s="153"/>
      <c r="O581" s="153"/>
      <c r="P581" s="153"/>
      <c r="Q581" s="152"/>
      <c r="R581" s="153"/>
      <c r="S581" s="153"/>
      <c r="T581" s="153"/>
      <c r="U581" s="153"/>
      <c r="V581" s="153"/>
      <c r="W581" s="153"/>
      <c r="X581" s="153"/>
      <c r="Y581" s="153"/>
      <c r="Z581" s="153"/>
      <c r="AA581" s="153"/>
    </row>
    <row r="582" ht="39.75" customHeight="1">
      <c r="A582" s="153"/>
      <c r="B582" s="153"/>
      <c r="C582" s="153"/>
      <c r="D582" s="153"/>
      <c r="E582" s="251"/>
      <c r="F582" s="251"/>
      <c r="G582" s="153"/>
      <c r="H582" s="252"/>
      <c r="I582" s="153"/>
      <c r="J582" s="153"/>
      <c r="K582" s="252"/>
      <c r="L582" s="153"/>
      <c r="M582" s="252"/>
      <c r="N582" s="153"/>
      <c r="O582" s="153"/>
      <c r="P582" s="153"/>
      <c r="Q582" s="152"/>
      <c r="R582" s="153"/>
      <c r="S582" s="153"/>
      <c r="T582" s="153"/>
      <c r="U582" s="153"/>
      <c r="V582" s="153"/>
      <c r="W582" s="153"/>
      <c r="X582" s="153"/>
      <c r="Y582" s="153"/>
      <c r="Z582" s="153"/>
      <c r="AA582" s="153"/>
    </row>
    <row r="583" ht="39.75" customHeight="1">
      <c r="A583" s="153"/>
      <c r="B583" s="153"/>
      <c r="C583" s="153"/>
      <c r="D583" s="153"/>
      <c r="E583" s="251"/>
      <c r="F583" s="251"/>
      <c r="G583" s="153"/>
      <c r="H583" s="252"/>
      <c r="I583" s="153"/>
      <c r="J583" s="153"/>
      <c r="K583" s="252"/>
      <c r="L583" s="153"/>
      <c r="M583" s="252"/>
      <c r="N583" s="153"/>
      <c r="O583" s="153"/>
      <c r="P583" s="153"/>
      <c r="Q583" s="152"/>
      <c r="R583" s="153"/>
      <c r="S583" s="153"/>
      <c r="T583" s="153"/>
      <c r="U583" s="153"/>
      <c r="V583" s="153"/>
      <c r="W583" s="153"/>
      <c r="X583" s="153"/>
      <c r="Y583" s="153"/>
      <c r="Z583" s="153"/>
      <c r="AA583" s="153"/>
    </row>
    <row r="584" ht="39.75" customHeight="1">
      <c r="A584" s="153"/>
      <c r="B584" s="153"/>
      <c r="C584" s="153"/>
      <c r="D584" s="153"/>
      <c r="E584" s="251"/>
      <c r="F584" s="251"/>
      <c r="G584" s="153"/>
      <c r="H584" s="252"/>
      <c r="I584" s="153"/>
      <c r="J584" s="153"/>
      <c r="K584" s="252"/>
      <c r="L584" s="153"/>
      <c r="M584" s="252"/>
      <c r="N584" s="153"/>
      <c r="O584" s="153"/>
      <c r="P584" s="153"/>
      <c r="Q584" s="152"/>
      <c r="R584" s="153"/>
      <c r="S584" s="153"/>
      <c r="T584" s="153"/>
      <c r="U584" s="153"/>
      <c r="V584" s="153"/>
      <c r="W584" s="153"/>
      <c r="X584" s="153"/>
      <c r="Y584" s="153"/>
      <c r="Z584" s="153"/>
      <c r="AA584" s="153"/>
    </row>
    <row r="585" ht="39.75" customHeight="1">
      <c r="A585" s="153"/>
      <c r="B585" s="153"/>
      <c r="C585" s="153"/>
      <c r="D585" s="153"/>
      <c r="E585" s="251"/>
      <c r="F585" s="251"/>
      <c r="G585" s="153"/>
      <c r="H585" s="252"/>
      <c r="I585" s="153"/>
      <c r="J585" s="153"/>
      <c r="K585" s="252"/>
      <c r="L585" s="153"/>
      <c r="M585" s="252"/>
      <c r="N585" s="153"/>
      <c r="O585" s="153"/>
      <c r="P585" s="153"/>
      <c r="Q585" s="152"/>
      <c r="R585" s="153"/>
      <c r="S585" s="153"/>
      <c r="T585" s="153"/>
      <c r="U585" s="153"/>
      <c r="V585" s="153"/>
      <c r="W585" s="153"/>
      <c r="X585" s="153"/>
      <c r="Y585" s="153"/>
      <c r="Z585" s="153"/>
      <c r="AA585" s="153"/>
    </row>
    <row r="586" ht="39.75" customHeight="1">
      <c r="A586" s="153"/>
      <c r="B586" s="153"/>
      <c r="C586" s="153"/>
      <c r="D586" s="153"/>
      <c r="E586" s="251"/>
      <c r="F586" s="251"/>
      <c r="G586" s="153"/>
      <c r="H586" s="252"/>
      <c r="I586" s="153"/>
      <c r="J586" s="153"/>
      <c r="K586" s="252"/>
      <c r="L586" s="153"/>
      <c r="M586" s="252"/>
      <c r="N586" s="153"/>
      <c r="O586" s="153"/>
      <c r="P586" s="153"/>
      <c r="Q586" s="152"/>
      <c r="R586" s="153"/>
      <c r="S586" s="153"/>
      <c r="T586" s="153"/>
      <c r="U586" s="153"/>
      <c r="V586" s="153"/>
      <c r="W586" s="153"/>
      <c r="X586" s="153"/>
      <c r="Y586" s="153"/>
      <c r="Z586" s="153"/>
      <c r="AA586" s="153"/>
    </row>
    <row r="587" ht="39.75" customHeight="1">
      <c r="A587" s="153"/>
      <c r="B587" s="153"/>
      <c r="C587" s="153"/>
      <c r="D587" s="153"/>
      <c r="E587" s="251"/>
      <c r="F587" s="251"/>
      <c r="G587" s="153"/>
      <c r="H587" s="252"/>
      <c r="I587" s="153"/>
      <c r="J587" s="153"/>
      <c r="K587" s="252"/>
      <c r="L587" s="153"/>
      <c r="M587" s="252"/>
      <c r="N587" s="153"/>
      <c r="O587" s="153"/>
      <c r="P587" s="153"/>
      <c r="Q587" s="152"/>
      <c r="R587" s="153"/>
      <c r="S587" s="153"/>
      <c r="T587" s="153"/>
      <c r="U587" s="153"/>
      <c r="V587" s="153"/>
      <c r="W587" s="153"/>
      <c r="X587" s="153"/>
      <c r="Y587" s="153"/>
      <c r="Z587" s="153"/>
      <c r="AA587" s="153"/>
    </row>
    <row r="588" ht="39.75" customHeight="1">
      <c r="A588" s="153"/>
      <c r="B588" s="153"/>
      <c r="C588" s="153"/>
      <c r="D588" s="153"/>
      <c r="E588" s="251"/>
      <c r="F588" s="251"/>
      <c r="G588" s="153"/>
      <c r="H588" s="252"/>
      <c r="I588" s="153"/>
      <c r="J588" s="153"/>
      <c r="K588" s="252"/>
      <c r="L588" s="153"/>
      <c r="M588" s="252"/>
      <c r="N588" s="153"/>
      <c r="O588" s="153"/>
      <c r="P588" s="153"/>
      <c r="Q588" s="152"/>
      <c r="R588" s="153"/>
      <c r="S588" s="153"/>
      <c r="T588" s="153"/>
      <c r="U588" s="153"/>
      <c r="V588" s="153"/>
      <c r="W588" s="153"/>
      <c r="X588" s="153"/>
      <c r="Y588" s="153"/>
      <c r="Z588" s="153"/>
      <c r="AA588" s="153"/>
    </row>
    <row r="589" ht="39.75" customHeight="1">
      <c r="A589" s="153"/>
      <c r="B589" s="153"/>
      <c r="C589" s="153"/>
      <c r="D589" s="153"/>
      <c r="E589" s="251"/>
      <c r="F589" s="251"/>
      <c r="G589" s="153"/>
      <c r="H589" s="252"/>
      <c r="I589" s="153"/>
      <c r="J589" s="153"/>
      <c r="K589" s="252"/>
      <c r="L589" s="153"/>
      <c r="M589" s="252"/>
      <c r="N589" s="153"/>
      <c r="O589" s="153"/>
      <c r="P589" s="153"/>
      <c r="Q589" s="152"/>
      <c r="R589" s="153"/>
      <c r="S589" s="153"/>
      <c r="T589" s="153"/>
      <c r="U589" s="153"/>
      <c r="V589" s="153"/>
      <c r="W589" s="153"/>
      <c r="X589" s="153"/>
      <c r="Y589" s="153"/>
      <c r="Z589" s="153"/>
      <c r="AA589" s="153"/>
    </row>
    <row r="590" ht="39.75" customHeight="1">
      <c r="A590" s="153"/>
      <c r="B590" s="153"/>
      <c r="C590" s="153"/>
      <c r="D590" s="153"/>
      <c r="E590" s="251"/>
      <c r="F590" s="251"/>
      <c r="G590" s="153"/>
      <c r="H590" s="252"/>
      <c r="I590" s="153"/>
      <c r="J590" s="153"/>
      <c r="K590" s="252"/>
      <c r="L590" s="153"/>
      <c r="M590" s="252"/>
      <c r="N590" s="153"/>
      <c r="O590" s="153"/>
      <c r="P590" s="153"/>
      <c r="Q590" s="152"/>
      <c r="R590" s="153"/>
      <c r="S590" s="153"/>
      <c r="T590" s="153"/>
      <c r="U590" s="153"/>
      <c r="V590" s="153"/>
      <c r="W590" s="153"/>
      <c r="X590" s="153"/>
      <c r="Y590" s="153"/>
      <c r="Z590" s="153"/>
      <c r="AA590" s="153"/>
    </row>
    <row r="591" ht="39.75" customHeight="1">
      <c r="A591" s="153"/>
      <c r="B591" s="153"/>
      <c r="C591" s="153"/>
      <c r="D591" s="153"/>
      <c r="E591" s="251"/>
      <c r="F591" s="251"/>
      <c r="G591" s="153"/>
      <c r="H591" s="252"/>
      <c r="I591" s="153"/>
      <c r="J591" s="153"/>
      <c r="K591" s="252"/>
      <c r="L591" s="153"/>
      <c r="M591" s="252"/>
      <c r="N591" s="153"/>
      <c r="O591" s="153"/>
      <c r="P591" s="153"/>
      <c r="Q591" s="152"/>
      <c r="R591" s="153"/>
      <c r="S591" s="153"/>
      <c r="T591" s="153"/>
      <c r="U591" s="153"/>
      <c r="V591" s="153"/>
      <c r="W591" s="153"/>
      <c r="X591" s="153"/>
      <c r="Y591" s="153"/>
      <c r="Z591" s="153"/>
      <c r="AA591" s="153"/>
    </row>
    <row r="592" ht="39.75" customHeight="1">
      <c r="A592" s="153"/>
      <c r="B592" s="153"/>
      <c r="C592" s="153"/>
      <c r="D592" s="153"/>
      <c r="E592" s="251"/>
      <c r="F592" s="251"/>
      <c r="G592" s="153"/>
      <c r="H592" s="252"/>
      <c r="I592" s="153"/>
      <c r="J592" s="153"/>
      <c r="K592" s="252"/>
      <c r="L592" s="153"/>
      <c r="M592" s="252"/>
      <c r="N592" s="153"/>
      <c r="O592" s="153"/>
      <c r="P592" s="153"/>
      <c r="Q592" s="152"/>
      <c r="R592" s="153"/>
      <c r="S592" s="153"/>
      <c r="T592" s="153"/>
      <c r="U592" s="153"/>
      <c r="V592" s="153"/>
      <c r="W592" s="153"/>
      <c r="X592" s="153"/>
      <c r="Y592" s="153"/>
      <c r="Z592" s="153"/>
      <c r="AA592" s="153"/>
    </row>
    <row r="593" ht="39.75" customHeight="1">
      <c r="A593" s="153"/>
      <c r="B593" s="153"/>
      <c r="C593" s="153"/>
      <c r="D593" s="153"/>
      <c r="E593" s="251"/>
      <c r="F593" s="251"/>
      <c r="G593" s="153"/>
      <c r="H593" s="252"/>
      <c r="I593" s="153"/>
      <c r="J593" s="153"/>
      <c r="K593" s="252"/>
      <c r="L593" s="153"/>
      <c r="M593" s="252"/>
      <c r="N593" s="153"/>
      <c r="O593" s="153"/>
      <c r="P593" s="153"/>
      <c r="Q593" s="152"/>
      <c r="R593" s="153"/>
      <c r="S593" s="153"/>
      <c r="T593" s="153"/>
      <c r="U593" s="153"/>
      <c r="V593" s="153"/>
      <c r="W593" s="153"/>
      <c r="X593" s="153"/>
      <c r="Y593" s="153"/>
      <c r="Z593" s="153"/>
      <c r="AA593" s="153"/>
    </row>
    <row r="594" ht="39.75" customHeight="1">
      <c r="A594" s="153"/>
      <c r="B594" s="153"/>
      <c r="C594" s="153"/>
      <c r="D594" s="153"/>
      <c r="E594" s="251"/>
      <c r="F594" s="251"/>
      <c r="G594" s="153"/>
      <c r="H594" s="252"/>
      <c r="I594" s="153"/>
      <c r="J594" s="153"/>
      <c r="K594" s="252"/>
      <c r="L594" s="153"/>
      <c r="M594" s="252"/>
      <c r="N594" s="153"/>
      <c r="O594" s="153"/>
      <c r="P594" s="153"/>
      <c r="Q594" s="152"/>
      <c r="R594" s="153"/>
      <c r="S594" s="153"/>
      <c r="T594" s="153"/>
      <c r="U594" s="153"/>
      <c r="V594" s="153"/>
      <c r="W594" s="153"/>
      <c r="X594" s="153"/>
      <c r="Y594" s="153"/>
      <c r="Z594" s="153"/>
      <c r="AA594" s="153"/>
    </row>
    <row r="595" ht="39.75" customHeight="1">
      <c r="A595" s="153"/>
      <c r="B595" s="153"/>
      <c r="C595" s="153"/>
      <c r="D595" s="153"/>
      <c r="E595" s="251"/>
      <c r="F595" s="251"/>
      <c r="G595" s="153"/>
      <c r="H595" s="252"/>
      <c r="I595" s="153"/>
      <c r="J595" s="153"/>
      <c r="K595" s="252"/>
      <c r="L595" s="153"/>
      <c r="M595" s="252"/>
      <c r="N595" s="153"/>
      <c r="O595" s="153"/>
      <c r="P595" s="153"/>
      <c r="Q595" s="152"/>
      <c r="R595" s="153"/>
      <c r="S595" s="153"/>
      <c r="T595" s="153"/>
      <c r="U595" s="153"/>
      <c r="V595" s="153"/>
      <c r="W595" s="153"/>
      <c r="X595" s="153"/>
      <c r="Y595" s="153"/>
      <c r="Z595" s="153"/>
      <c r="AA595" s="153"/>
    </row>
    <row r="596" ht="39.75" customHeight="1">
      <c r="A596" s="153"/>
      <c r="B596" s="153"/>
      <c r="C596" s="153"/>
      <c r="D596" s="153"/>
      <c r="E596" s="251"/>
      <c r="F596" s="251"/>
      <c r="G596" s="153"/>
      <c r="H596" s="252"/>
      <c r="I596" s="153"/>
      <c r="J596" s="153"/>
      <c r="K596" s="252"/>
      <c r="L596" s="153"/>
      <c r="M596" s="252"/>
      <c r="N596" s="153"/>
      <c r="O596" s="153"/>
      <c r="P596" s="153"/>
      <c r="Q596" s="152"/>
      <c r="R596" s="153"/>
      <c r="S596" s="153"/>
      <c r="T596" s="153"/>
      <c r="U596" s="153"/>
      <c r="V596" s="153"/>
      <c r="W596" s="153"/>
      <c r="X596" s="153"/>
      <c r="Y596" s="153"/>
      <c r="Z596" s="153"/>
      <c r="AA596" s="153"/>
    </row>
    <row r="597" ht="39.75" customHeight="1">
      <c r="A597" s="153"/>
      <c r="B597" s="153"/>
      <c r="C597" s="153"/>
      <c r="D597" s="153"/>
      <c r="E597" s="251"/>
      <c r="F597" s="251"/>
      <c r="G597" s="153"/>
      <c r="H597" s="252"/>
      <c r="I597" s="153"/>
      <c r="J597" s="153"/>
      <c r="K597" s="252"/>
      <c r="L597" s="153"/>
      <c r="M597" s="252"/>
      <c r="N597" s="153"/>
      <c r="O597" s="153"/>
      <c r="P597" s="153"/>
      <c r="Q597" s="152"/>
      <c r="R597" s="153"/>
      <c r="S597" s="153"/>
      <c r="T597" s="153"/>
      <c r="U597" s="153"/>
      <c r="V597" s="153"/>
      <c r="W597" s="153"/>
      <c r="X597" s="153"/>
      <c r="Y597" s="153"/>
      <c r="Z597" s="153"/>
      <c r="AA597" s="153"/>
    </row>
    <row r="598" ht="39.75" customHeight="1">
      <c r="A598" s="153"/>
      <c r="B598" s="153"/>
      <c r="C598" s="153"/>
      <c r="D598" s="153"/>
      <c r="E598" s="251"/>
      <c r="F598" s="251"/>
      <c r="G598" s="153"/>
      <c r="H598" s="252"/>
      <c r="I598" s="153"/>
      <c r="J598" s="153"/>
      <c r="K598" s="252"/>
      <c r="L598" s="153"/>
      <c r="M598" s="252"/>
      <c r="N598" s="153"/>
      <c r="O598" s="153"/>
      <c r="P598" s="153"/>
      <c r="Q598" s="152"/>
      <c r="R598" s="153"/>
      <c r="S598" s="153"/>
      <c r="T598" s="153"/>
      <c r="U598" s="153"/>
      <c r="V598" s="153"/>
      <c r="W598" s="153"/>
      <c r="X598" s="153"/>
      <c r="Y598" s="153"/>
      <c r="Z598" s="153"/>
      <c r="AA598" s="153"/>
    </row>
    <row r="599" ht="39.75" customHeight="1">
      <c r="A599" s="153"/>
      <c r="B599" s="153"/>
      <c r="C599" s="153"/>
      <c r="D599" s="153"/>
      <c r="E599" s="251"/>
      <c r="F599" s="251"/>
      <c r="G599" s="153"/>
      <c r="H599" s="252"/>
      <c r="I599" s="153"/>
      <c r="J599" s="153"/>
      <c r="K599" s="252"/>
      <c r="L599" s="153"/>
      <c r="M599" s="252"/>
      <c r="N599" s="153"/>
      <c r="O599" s="153"/>
      <c r="P599" s="153"/>
      <c r="Q599" s="152"/>
      <c r="R599" s="153"/>
      <c r="S599" s="153"/>
      <c r="T599" s="153"/>
      <c r="U599" s="153"/>
      <c r="V599" s="153"/>
      <c r="W599" s="153"/>
      <c r="X599" s="153"/>
      <c r="Y599" s="153"/>
      <c r="Z599" s="153"/>
      <c r="AA599" s="153"/>
    </row>
    <row r="600" ht="39.75" customHeight="1">
      <c r="A600" s="153"/>
      <c r="B600" s="153"/>
      <c r="C600" s="153"/>
      <c r="D600" s="153"/>
      <c r="E600" s="251"/>
      <c r="F600" s="251"/>
      <c r="G600" s="153"/>
      <c r="H600" s="252"/>
      <c r="I600" s="153"/>
      <c r="J600" s="153"/>
      <c r="K600" s="252"/>
      <c r="L600" s="153"/>
      <c r="M600" s="252"/>
      <c r="N600" s="153"/>
      <c r="O600" s="153"/>
      <c r="P600" s="153"/>
      <c r="Q600" s="152"/>
      <c r="R600" s="153"/>
      <c r="S600" s="153"/>
      <c r="T600" s="153"/>
      <c r="U600" s="153"/>
      <c r="V600" s="153"/>
      <c r="W600" s="153"/>
      <c r="X600" s="153"/>
      <c r="Y600" s="153"/>
      <c r="Z600" s="153"/>
      <c r="AA600" s="153"/>
    </row>
    <row r="601" ht="39.75" customHeight="1">
      <c r="A601" s="153"/>
      <c r="B601" s="153"/>
      <c r="C601" s="153"/>
      <c r="D601" s="153"/>
      <c r="E601" s="251"/>
      <c r="F601" s="251"/>
      <c r="G601" s="153"/>
      <c r="H601" s="252"/>
      <c r="I601" s="153"/>
      <c r="J601" s="153"/>
      <c r="K601" s="252"/>
      <c r="L601" s="153"/>
      <c r="M601" s="252"/>
      <c r="N601" s="153"/>
      <c r="O601" s="153"/>
      <c r="P601" s="153"/>
      <c r="Q601" s="152"/>
      <c r="R601" s="153"/>
      <c r="S601" s="153"/>
      <c r="T601" s="153"/>
      <c r="U601" s="153"/>
      <c r="V601" s="153"/>
      <c r="W601" s="153"/>
      <c r="X601" s="153"/>
      <c r="Y601" s="153"/>
      <c r="Z601" s="153"/>
      <c r="AA601" s="153"/>
    </row>
    <row r="602" ht="39.75" customHeight="1">
      <c r="A602" s="153"/>
      <c r="B602" s="153"/>
      <c r="C602" s="153"/>
      <c r="D602" s="153"/>
      <c r="E602" s="251"/>
      <c r="F602" s="251"/>
      <c r="G602" s="153"/>
      <c r="H602" s="252"/>
      <c r="I602" s="153"/>
      <c r="J602" s="153"/>
      <c r="K602" s="252"/>
      <c r="L602" s="153"/>
      <c r="M602" s="252"/>
      <c r="N602" s="153"/>
      <c r="O602" s="153"/>
      <c r="P602" s="153"/>
      <c r="Q602" s="152"/>
      <c r="R602" s="153"/>
      <c r="S602" s="153"/>
      <c r="T602" s="153"/>
      <c r="U602" s="153"/>
      <c r="V602" s="153"/>
      <c r="W602" s="153"/>
      <c r="X602" s="153"/>
      <c r="Y602" s="153"/>
      <c r="Z602" s="153"/>
      <c r="AA602" s="153"/>
    </row>
    <row r="603" ht="39.75" customHeight="1">
      <c r="A603" s="153"/>
      <c r="B603" s="153"/>
      <c r="C603" s="153"/>
      <c r="D603" s="153"/>
      <c r="E603" s="251"/>
      <c r="F603" s="251"/>
      <c r="G603" s="153"/>
      <c r="H603" s="252"/>
      <c r="I603" s="153"/>
      <c r="J603" s="153"/>
      <c r="K603" s="252"/>
      <c r="L603" s="153"/>
      <c r="M603" s="252"/>
      <c r="N603" s="153"/>
      <c r="O603" s="153"/>
      <c r="P603" s="153"/>
      <c r="Q603" s="152"/>
      <c r="R603" s="153"/>
      <c r="S603" s="153"/>
      <c r="T603" s="153"/>
      <c r="U603" s="153"/>
      <c r="V603" s="153"/>
      <c r="W603" s="153"/>
      <c r="X603" s="153"/>
      <c r="Y603" s="153"/>
      <c r="Z603" s="153"/>
      <c r="AA603" s="153"/>
    </row>
    <row r="604" ht="39.75" customHeight="1">
      <c r="A604" s="153"/>
      <c r="B604" s="153"/>
      <c r="C604" s="153"/>
      <c r="D604" s="153"/>
      <c r="E604" s="251"/>
      <c r="F604" s="251"/>
      <c r="G604" s="153"/>
      <c r="H604" s="252"/>
      <c r="I604" s="153"/>
      <c r="J604" s="153"/>
      <c r="K604" s="252"/>
      <c r="L604" s="153"/>
      <c r="M604" s="252"/>
      <c r="N604" s="153"/>
      <c r="O604" s="153"/>
      <c r="P604" s="153"/>
      <c r="Q604" s="152"/>
      <c r="R604" s="153"/>
      <c r="S604" s="153"/>
      <c r="T604" s="153"/>
      <c r="U604" s="153"/>
      <c r="V604" s="153"/>
      <c r="W604" s="153"/>
      <c r="X604" s="153"/>
      <c r="Y604" s="153"/>
      <c r="Z604" s="153"/>
      <c r="AA604" s="153"/>
    </row>
    <row r="605" ht="39.75" customHeight="1">
      <c r="A605" s="153"/>
      <c r="B605" s="153"/>
      <c r="C605" s="153"/>
      <c r="D605" s="153"/>
      <c r="E605" s="251"/>
      <c r="F605" s="251"/>
      <c r="G605" s="153"/>
      <c r="H605" s="252"/>
      <c r="I605" s="153"/>
      <c r="J605" s="153"/>
      <c r="K605" s="252"/>
      <c r="L605" s="153"/>
      <c r="M605" s="252"/>
      <c r="N605" s="153"/>
      <c r="O605" s="153"/>
      <c r="P605" s="153"/>
      <c r="Q605" s="152"/>
      <c r="R605" s="153"/>
      <c r="S605" s="153"/>
      <c r="T605" s="153"/>
      <c r="U605" s="153"/>
      <c r="V605" s="153"/>
      <c r="W605" s="153"/>
      <c r="X605" s="153"/>
      <c r="Y605" s="153"/>
      <c r="Z605" s="153"/>
      <c r="AA605" s="153"/>
    </row>
    <row r="606" ht="39.75" customHeight="1">
      <c r="A606" s="153"/>
      <c r="B606" s="153"/>
      <c r="C606" s="153"/>
      <c r="D606" s="153"/>
      <c r="E606" s="251"/>
      <c r="F606" s="251"/>
      <c r="G606" s="153"/>
      <c r="H606" s="252"/>
      <c r="I606" s="153"/>
      <c r="J606" s="153"/>
      <c r="K606" s="252"/>
      <c r="L606" s="153"/>
      <c r="M606" s="252"/>
      <c r="N606" s="153"/>
      <c r="O606" s="153"/>
      <c r="P606" s="153"/>
      <c r="Q606" s="152"/>
      <c r="R606" s="153"/>
      <c r="S606" s="153"/>
      <c r="T606" s="153"/>
      <c r="U606" s="153"/>
      <c r="V606" s="153"/>
      <c r="W606" s="153"/>
      <c r="X606" s="153"/>
      <c r="Y606" s="153"/>
      <c r="Z606" s="153"/>
      <c r="AA606" s="153"/>
    </row>
    <row r="607" ht="39.75" customHeight="1">
      <c r="A607" s="153"/>
      <c r="B607" s="153"/>
      <c r="C607" s="153"/>
      <c r="D607" s="153"/>
      <c r="E607" s="251"/>
      <c r="F607" s="251"/>
      <c r="G607" s="153"/>
      <c r="H607" s="252"/>
      <c r="I607" s="153"/>
      <c r="J607" s="153"/>
      <c r="K607" s="252"/>
      <c r="L607" s="153"/>
      <c r="M607" s="252"/>
      <c r="N607" s="153"/>
      <c r="O607" s="153"/>
      <c r="P607" s="153"/>
      <c r="Q607" s="152"/>
      <c r="R607" s="153"/>
      <c r="S607" s="153"/>
      <c r="T607" s="153"/>
      <c r="U607" s="153"/>
      <c r="V607" s="153"/>
      <c r="W607" s="153"/>
      <c r="X607" s="153"/>
      <c r="Y607" s="153"/>
      <c r="Z607" s="153"/>
      <c r="AA607" s="153"/>
    </row>
    <row r="608" ht="39.75" customHeight="1">
      <c r="A608" s="153"/>
      <c r="B608" s="153"/>
      <c r="C608" s="153"/>
      <c r="D608" s="153"/>
      <c r="E608" s="251"/>
      <c r="F608" s="251"/>
      <c r="G608" s="153"/>
      <c r="H608" s="252"/>
      <c r="I608" s="153"/>
      <c r="J608" s="153"/>
      <c r="K608" s="252"/>
      <c r="L608" s="153"/>
      <c r="M608" s="252"/>
      <c r="N608" s="153"/>
      <c r="O608" s="153"/>
      <c r="P608" s="153"/>
      <c r="Q608" s="152"/>
      <c r="R608" s="153"/>
      <c r="S608" s="153"/>
      <c r="T608" s="153"/>
      <c r="U608" s="153"/>
      <c r="V608" s="153"/>
      <c r="W608" s="153"/>
      <c r="X608" s="153"/>
      <c r="Y608" s="153"/>
      <c r="Z608" s="153"/>
      <c r="AA608" s="153"/>
    </row>
    <row r="609" ht="39.75" customHeight="1">
      <c r="A609" s="153"/>
      <c r="B609" s="153"/>
      <c r="C609" s="153"/>
      <c r="D609" s="153"/>
      <c r="E609" s="251"/>
      <c r="F609" s="251"/>
      <c r="G609" s="153"/>
      <c r="H609" s="252"/>
      <c r="I609" s="153"/>
      <c r="J609" s="153"/>
      <c r="K609" s="252"/>
      <c r="L609" s="153"/>
      <c r="M609" s="252"/>
      <c r="N609" s="153"/>
      <c r="O609" s="153"/>
      <c r="P609" s="153"/>
      <c r="Q609" s="152"/>
      <c r="R609" s="153"/>
      <c r="S609" s="153"/>
      <c r="T609" s="153"/>
      <c r="U609" s="153"/>
      <c r="V609" s="153"/>
      <c r="W609" s="153"/>
      <c r="X609" s="153"/>
      <c r="Y609" s="153"/>
      <c r="Z609" s="153"/>
      <c r="AA609" s="153"/>
    </row>
    <row r="610" ht="39.75" customHeight="1">
      <c r="A610" s="153"/>
      <c r="B610" s="153"/>
      <c r="C610" s="153"/>
      <c r="D610" s="153"/>
      <c r="E610" s="251"/>
      <c r="F610" s="251"/>
      <c r="G610" s="153"/>
      <c r="H610" s="252"/>
      <c r="I610" s="153"/>
      <c r="J610" s="153"/>
      <c r="K610" s="252"/>
      <c r="L610" s="153"/>
      <c r="M610" s="252"/>
      <c r="N610" s="153"/>
      <c r="O610" s="153"/>
      <c r="P610" s="153"/>
      <c r="Q610" s="152"/>
      <c r="R610" s="153"/>
      <c r="S610" s="153"/>
      <c r="T610" s="153"/>
      <c r="U610" s="153"/>
      <c r="V610" s="153"/>
      <c r="W610" s="153"/>
      <c r="X610" s="153"/>
      <c r="Y610" s="153"/>
      <c r="Z610" s="153"/>
      <c r="AA610" s="153"/>
    </row>
    <row r="611" ht="39.75" customHeight="1">
      <c r="A611" s="153"/>
      <c r="B611" s="153"/>
      <c r="C611" s="153"/>
      <c r="D611" s="153"/>
      <c r="E611" s="251"/>
      <c r="F611" s="251"/>
      <c r="G611" s="153"/>
      <c r="H611" s="252"/>
      <c r="I611" s="153"/>
      <c r="J611" s="153"/>
      <c r="K611" s="252"/>
      <c r="L611" s="153"/>
      <c r="M611" s="252"/>
      <c r="N611" s="153"/>
      <c r="O611" s="153"/>
      <c r="P611" s="153"/>
      <c r="Q611" s="152"/>
      <c r="R611" s="153"/>
      <c r="S611" s="153"/>
      <c r="T611" s="153"/>
      <c r="U611" s="153"/>
      <c r="V611" s="153"/>
      <c r="W611" s="153"/>
      <c r="X611" s="153"/>
      <c r="Y611" s="153"/>
      <c r="Z611" s="153"/>
      <c r="AA611" s="153"/>
    </row>
    <row r="612" ht="39.75" customHeight="1">
      <c r="A612" s="153"/>
      <c r="B612" s="153"/>
      <c r="C612" s="153"/>
      <c r="D612" s="153"/>
      <c r="E612" s="251"/>
      <c r="F612" s="251"/>
      <c r="G612" s="153"/>
      <c r="H612" s="252"/>
      <c r="I612" s="153"/>
      <c r="J612" s="153"/>
      <c r="K612" s="252"/>
      <c r="L612" s="153"/>
      <c r="M612" s="252"/>
      <c r="N612" s="153"/>
      <c r="O612" s="153"/>
      <c r="P612" s="153"/>
      <c r="Q612" s="152"/>
      <c r="R612" s="153"/>
      <c r="S612" s="153"/>
      <c r="T612" s="153"/>
      <c r="U612" s="153"/>
      <c r="V612" s="153"/>
      <c r="W612" s="153"/>
      <c r="X612" s="153"/>
      <c r="Y612" s="153"/>
      <c r="Z612" s="153"/>
      <c r="AA612" s="153"/>
    </row>
    <row r="613" ht="39.75" customHeight="1">
      <c r="A613" s="153"/>
      <c r="B613" s="153"/>
      <c r="C613" s="153"/>
      <c r="D613" s="153"/>
      <c r="E613" s="251"/>
      <c r="F613" s="251"/>
      <c r="G613" s="153"/>
      <c r="H613" s="252"/>
      <c r="I613" s="153"/>
      <c r="J613" s="153"/>
      <c r="K613" s="252"/>
      <c r="L613" s="153"/>
      <c r="M613" s="252"/>
      <c r="N613" s="153"/>
      <c r="O613" s="153"/>
      <c r="P613" s="153"/>
      <c r="Q613" s="152"/>
      <c r="R613" s="153"/>
      <c r="S613" s="153"/>
      <c r="T613" s="153"/>
      <c r="U613" s="153"/>
      <c r="V613" s="153"/>
      <c r="W613" s="153"/>
      <c r="X613" s="153"/>
      <c r="Y613" s="153"/>
      <c r="Z613" s="153"/>
      <c r="AA613" s="153"/>
    </row>
    <row r="614" ht="39.75" customHeight="1">
      <c r="A614" s="153"/>
      <c r="B614" s="153"/>
      <c r="C614" s="153"/>
      <c r="D614" s="153"/>
      <c r="E614" s="251"/>
      <c r="F614" s="251"/>
      <c r="G614" s="153"/>
      <c r="H614" s="252"/>
      <c r="I614" s="153"/>
      <c r="J614" s="153"/>
      <c r="K614" s="252"/>
      <c r="L614" s="153"/>
      <c r="M614" s="252"/>
      <c r="N614" s="153"/>
      <c r="O614" s="153"/>
      <c r="P614" s="153"/>
      <c r="Q614" s="152"/>
      <c r="R614" s="153"/>
      <c r="S614" s="153"/>
      <c r="T614" s="153"/>
      <c r="U614" s="153"/>
      <c r="V614" s="153"/>
      <c r="W614" s="153"/>
      <c r="X614" s="153"/>
      <c r="Y614" s="153"/>
      <c r="Z614" s="153"/>
      <c r="AA614" s="153"/>
    </row>
    <row r="615" ht="39.75" customHeight="1">
      <c r="A615" s="153"/>
      <c r="B615" s="153"/>
      <c r="C615" s="153"/>
      <c r="D615" s="153"/>
      <c r="E615" s="251"/>
      <c r="F615" s="251"/>
      <c r="G615" s="153"/>
      <c r="H615" s="252"/>
      <c r="I615" s="153"/>
      <c r="J615" s="153"/>
      <c r="K615" s="252"/>
      <c r="L615" s="153"/>
      <c r="M615" s="252"/>
      <c r="N615" s="153"/>
      <c r="O615" s="153"/>
      <c r="P615" s="153"/>
      <c r="Q615" s="152"/>
      <c r="R615" s="153"/>
      <c r="S615" s="153"/>
      <c r="T615" s="153"/>
      <c r="U615" s="153"/>
      <c r="V615" s="153"/>
      <c r="W615" s="153"/>
      <c r="X615" s="153"/>
      <c r="Y615" s="153"/>
      <c r="Z615" s="153"/>
      <c r="AA615" s="153"/>
    </row>
    <row r="616" ht="39.75" customHeight="1">
      <c r="A616" s="153"/>
      <c r="B616" s="153"/>
      <c r="C616" s="153"/>
      <c r="D616" s="153"/>
      <c r="E616" s="251"/>
      <c r="F616" s="251"/>
      <c r="G616" s="153"/>
      <c r="H616" s="252"/>
      <c r="I616" s="153"/>
      <c r="J616" s="153"/>
      <c r="K616" s="252"/>
      <c r="L616" s="153"/>
      <c r="M616" s="252"/>
      <c r="N616" s="153"/>
      <c r="O616" s="153"/>
      <c r="P616" s="153"/>
      <c r="Q616" s="152"/>
      <c r="R616" s="153"/>
      <c r="S616" s="153"/>
      <c r="T616" s="153"/>
      <c r="U616" s="153"/>
      <c r="V616" s="153"/>
      <c r="W616" s="153"/>
      <c r="X616" s="153"/>
      <c r="Y616" s="153"/>
      <c r="Z616" s="153"/>
      <c r="AA616" s="153"/>
    </row>
    <row r="617" ht="39.75" customHeight="1">
      <c r="A617" s="153"/>
      <c r="B617" s="153"/>
      <c r="C617" s="153"/>
      <c r="D617" s="153"/>
      <c r="E617" s="251"/>
      <c r="F617" s="251"/>
      <c r="G617" s="153"/>
      <c r="H617" s="252"/>
      <c r="I617" s="153"/>
      <c r="J617" s="153"/>
      <c r="K617" s="252"/>
      <c r="L617" s="153"/>
      <c r="M617" s="252"/>
      <c r="N617" s="153"/>
      <c r="O617" s="153"/>
      <c r="P617" s="153"/>
      <c r="Q617" s="152"/>
      <c r="R617" s="153"/>
      <c r="S617" s="153"/>
      <c r="T617" s="153"/>
      <c r="U617" s="153"/>
      <c r="V617" s="153"/>
      <c r="W617" s="153"/>
      <c r="X617" s="153"/>
      <c r="Y617" s="153"/>
      <c r="Z617" s="153"/>
      <c r="AA617" s="153"/>
    </row>
    <row r="618" ht="39.75" customHeight="1">
      <c r="A618" s="153"/>
      <c r="B618" s="153"/>
      <c r="C618" s="153"/>
      <c r="D618" s="153"/>
      <c r="E618" s="251"/>
      <c r="F618" s="251"/>
      <c r="G618" s="153"/>
      <c r="H618" s="252"/>
      <c r="I618" s="153"/>
      <c r="J618" s="153"/>
      <c r="K618" s="252"/>
      <c r="L618" s="153"/>
      <c r="M618" s="252"/>
      <c r="N618" s="153"/>
      <c r="O618" s="153"/>
      <c r="P618" s="153"/>
      <c r="Q618" s="152"/>
      <c r="R618" s="153"/>
      <c r="S618" s="153"/>
      <c r="T618" s="153"/>
      <c r="U618" s="153"/>
      <c r="V618" s="153"/>
      <c r="W618" s="153"/>
      <c r="X618" s="153"/>
      <c r="Y618" s="153"/>
      <c r="Z618" s="153"/>
      <c r="AA618" s="153"/>
    </row>
    <row r="619" ht="39.75" customHeight="1">
      <c r="A619" s="153"/>
      <c r="B619" s="153"/>
      <c r="C619" s="153"/>
      <c r="D619" s="153"/>
      <c r="E619" s="251"/>
      <c r="F619" s="251"/>
      <c r="G619" s="153"/>
      <c r="H619" s="252"/>
      <c r="I619" s="153"/>
      <c r="J619" s="153"/>
      <c r="K619" s="252"/>
      <c r="L619" s="153"/>
      <c r="M619" s="252"/>
      <c r="N619" s="153"/>
      <c r="O619" s="153"/>
      <c r="P619" s="153"/>
      <c r="Q619" s="152"/>
      <c r="R619" s="153"/>
      <c r="S619" s="153"/>
      <c r="T619" s="153"/>
      <c r="U619" s="153"/>
      <c r="V619" s="153"/>
      <c r="W619" s="153"/>
      <c r="X619" s="153"/>
      <c r="Y619" s="153"/>
      <c r="Z619" s="153"/>
      <c r="AA619" s="153"/>
    </row>
    <row r="620" ht="39.75" customHeight="1">
      <c r="A620" s="153"/>
      <c r="B620" s="153"/>
      <c r="C620" s="153"/>
      <c r="D620" s="153"/>
      <c r="E620" s="251"/>
      <c r="F620" s="251"/>
      <c r="G620" s="153"/>
      <c r="H620" s="252"/>
      <c r="I620" s="153"/>
      <c r="J620" s="153"/>
      <c r="K620" s="252"/>
      <c r="L620" s="153"/>
      <c r="M620" s="252"/>
      <c r="N620" s="153"/>
      <c r="O620" s="153"/>
      <c r="P620" s="153"/>
      <c r="Q620" s="152"/>
      <c r="R620" s="153"/>
      <c r="S620" s="153"/>
      <c r="T620" s="153"/>
      <c r="U620" s="153"/>
      <c r="V620" s="153"/>
      <c r="W620" s="153"/>
      <c r="X620" s="153"/>
      <c r="Y620" s="153"/>
      <c r="Z620" s="153"/>
      <c r="AA620" s="153"/>
    </row>
    <row r="621" ht="39.75" customHeight="1">
      <c r="A621" s="153"/>
      <c r="B621" s="153"/>
      <c r="C621" s="153"/>
      <c r="D621" s="153"/>
      <c r="E621" s="251"/>
      <c r="F621" s="251"/>
      <c r="G621" s="153"/>
      <c r="H621" s="252"/>
      <c r="I621" s="153"/>
      <c r="J621" s="153"/>
      <c r="K621" s="252"/>
      <c r="L621" s="153"/>
      <c r="M621" s="252"/>
      <c r="N621" s="153"/>
      <c r="O621" s="153"/>
      <c r="P621" s="153"/>
      <c r="Q621" s="152"/>
      <c r="R621" s="153"/>
      <c r="S621" s="153"/>
      <c r="T621" s="153"/>
      <c r="U621" s="153"/>
      <c r="V621" s="153"/>
      <c r="W621" s="153"/>
      <c r="X621" s="153"/>
      <c r="Y621" s="153"/>
      <c r="Z621" s="153"/>
      <c r="AA621" s="153"/>
    </row>
    <row r="622" ht="39.75" customHeight="1">
      <c r="A622" s="153"/>
      <c r="B622" s="153"/>
      <c r="C622" s="153"/>
      <c r="D622" s="153"/>
      <c r="E622" s="251"/>
      <c r="F622" s="251"/>
      <c r="G622" s="153"/>
      <c r="H622" s="252"/>
      <c r="I622" s="153"/>
      <c r="J622" s="153"/>
      <c r="K622" s="252"/>
      <c r="L622" s="153"/>
      <c r="M622" s="252"/>
      <c r="N622" s="153"/>
      <c r="O622" s="153"/>
      <c r="P622" s="153"/>
      <c r="Q622" s="152"/>
      <c r="R622" s="153"/>
      <c r="S622" s="153"/>
      <c r="T622" s="153"/>
      <c r="U622" s="153"/>
      <c r="V622" s="153"/>
      <c r="W622" s="153"/>
      <c r="X622" s="153"/>
      <c r="Y622" s="153"/>
      <c r="Z622" s="153"/>
      <c r="AA622" s="153"/>
    </row>
    <row r="623" ht="39.75" customHeight="1">
      <c r="A623" s="153"/>
      <c r="B623" s="153"/>
      <c r="C623" s="153"/>
      <c r="D623" s="153"/>
      <c r="E623" s="251"/>
      <c r="F623" s="251"/>
      <c r="G623" s="153"/>
      <c r="H623" s="252"/>
      <c r="I623" s="153"/>
      <c r="J623" s="153"/>
      <c r="K623" s="252"/>
      <c r="L623" s="153"/>
      <c r="M623" s="252"/>
      <c r="N623" s="153"/>
      <c r="O623" s="153"/>
      <c r="P623" s="153"/>
      <c r="Q623" s="152"/>
      <c r="R623" s="153"/>
      <c r="S623" s="153"/>
      <c r="T623" s="153"/>
      <c r="U623" s="153"/>
      <c r="V623" s="153"/>
      <c r="W623" s="153"/>
      <c r="X623" s="153"/>
      <c r="Y623" s="153"/>
      <c r="Z623" s="153"/>
      <c r="AA623" s="153"/>
    </row>
    <row r="624" ht="39.75" customHeight="1">
      <c r="A624" s="153"/>
      <c r="B624" s="153"/>
      <c r="C624" s="153"/>
      <c r="D624" s="153"/>
      <c r="E624" s="251"/>
      <c r="F624" s="251"/>
      <c r="G624" s="153"/>
      <c r="H624" s="252"/>
      <c r="I624" s="153"/>
      <c r="J624" s="153"/>
      <c r="K624" s="252"/>
      <c r="L624" s="153"/>
      <c r="M624" s="252"/>
      <c r="N624" s="153"/>
      <c r="O624" s="153"/>
      <c r="P624" s="153"/>
      <c r="Q624" s="152"/>
      <c r="R624" s="153"/>
      <c r="S624" s="153"/>
      <c r="T624" s="153"/>
      <c r="U624" s="153"/>
      <c r="V624" s="153"/>
      <c r="W624" s="153"/>
      <c r="X624" s="153"/>
      <c r="Y624" s="153"/>
      <c r="Z624" s="153"/>
      <c r="AA624" s="153"/>
    </row>
    <row r="625" ht="39.75" customHeight="1">
      <c r="A625" s="153"/>
      <c r="B625" s="153"/>
      <c r="C625" s="153"/>
      <c r="D625" s="153"/>
      <c r="E625" s="251"/>
      <c r="F625" s="251"/>
      <c r="G625" s="153"/>
      <c r="H625" s="252"/>
      <c r="I625" s="153"/>
      <c r="J625" s="153"/>
      <c r="K625" s="252"/>
      <c r="L625" s="153"/>
      <c r="M625" s="252"/>
      <c r="N625" s="153"/>
      <c r="O625" s="153"/>
      <c r="P625" s="153"/>
      <c r="Q625" s="152"/>
      <c r="R625" s="153"/>
      <c r="S625" s="153"/>
      <c r="T625" s="153"/>
      <c r="U625" s="153"/>
      <c r="V625" s="153"/>
      <c r="W625" s="153"/>
      <c r="X625" s="153"/>
      <c r="Y625" s="153"/>
      <c r="Z625" s="153"/>
      <c r="AA625" s="153"/>
    </row>
    <row r="626" ht="39.75" customHeight="1">
      <c r="A626" s="153"/>
      <c r="B626" s="153"/>
      <c r="C626" s="153"/>
      <c r="D626" s="153"/>
      <c r="E626" s="251"/>
      <c r="F626" s="251"/>
      <c r="G626" s="153"/>
      <c r="H626" s="252"/>
      <c r="I626" s="153"/>
      <c r="J626" s="153"/>
      <c r="K626" s="252"/>
      <c r="L626" s="153"/>
      <c r="M626" s="252"/>
      <c r="N626" s="153"/>
      <c r="O626" s="153"/>
      <c r="P626" s="153"/>
      <c r="Q626" s="152"/>
      <c r="R626" s="153"/>
      <c r="S626" s="153"/>
      <c r="T626" s="153"/>
      <c r="U626" s="153"/>
      <c r="V626" s="153"/>
      <c r="W626" s="153"/>
      <c r="X626" s="153"/>
      <c r="Y626" s="153"/>
      <c r="Z626" s="153"/>
      <c r="AA626" s="153"/>
    </row>
    <row r="627" ht="39.75" customHeight="1">
      <c r="A627" s="153"/>
      <c r="B627" s="153"/>
      <c r="C627" s="153"/>
      <c r="D627" s="153"/>
      <c r="E627" s="251"/>
      <c r="F627" s="251"/>
      <c r="G627" s="153"/>
      <c r="H627" s="252"/>
      <c r="I627" s="153"/>
      <c r="J627" s="153"/>
      <c r="K627" s="252"/>
      <c r="L627" s="153"/>
      <c r="M627" s="252"/>
      <c r="N627" s="153"/>
      <c r="O627" s="153"/>
      <c r="P627" s="153"/>
      <c r="Q627" s="152"/>
      <c r="R627" s="153"/>
      <c r="S627" s="153"/>
      <c r="T627" s="153"/>
      <c r="U627" s="153"/>
      <c r="V627" s="153"/>
      <c r="W627" s="153"/>
      <c r="X627" s="153"/>
      <c r="Y627" s="153"/>
      <c r="Z627" s="153"/>
      <c r="AA627" s="153"/>
    </row>
    <row r="628" ht="39.75" customHeight="1">
      <c r="A628" s="153"/>
      <c r="B628" s="153"/>
      <c r="C628" s="153"/>
      <c r="D628" s="153"/>
      <c r="E628" s="251"/>
      <c r="F628" s="251"/>
      <c r="G628" s="153"/>
      <c r="H628" s="252"/>
      <c r="I628" s="153"/>
      <c r="J628" s="153"/>
      <c r="K628" s="252"/>
      <c r="L628" s="153"/>
      <c r="M628" s="252"/>
      <c r="N628" s="153"/>
      <c r="O628" s="153"/>
      <c r="P628" s="153"/>
      <c r="Q628" s="152"/>
      <c r="R628" s="153"/>
      <c r="S628" s="153"/>
      <c r="T628" s="153"/>
      <c r="U628" s="153"/>
      <c r="V628" s="153"/>
      <c r="W628" s="153"/>
      <c r="X628" s="153"/>
      <c r="Y628" s="153"/>
      <c r="Z628" s="153"/>
      <c r="AA628" s="153"/>
    </row>
    <row r="629" ht="39.75" customHeight="1">
      <c r="A629" s="153"/>
      <c r="B629" s="153"/>
      <c r="C629" s="153"/>
      <c r="D629" s="153"/>
      <c r="E629" s="251"/>
      <c r="F629" s="251"/>
      <c r="G629" s="153"/>
      <c r="H629" s="252"/>
      <c r="I629" s="153"/>
      <c r="J629" s="153"/>
      <c r="K629" s="252"/>
      <c r="L629" s="153"/>
      <c r="M629" s="252"/>
      <c r="N629" s="153"/>
      <c r="O629" s="153"/>
      <c r="P629" s="153"/>
      <c r="Q629" s="152"/>
      <c r="R629" s="153"/>
      <c r="S629" s="153"/>
      <c r="T629" s="153"/>
      <c r="U629" s="153"/>
      <c r="V629" s="153"/>
      <c r="W629" s="153"/>
      <c r="X629" s="153"/>
      <c r="Y629" s="153"/>
      <c r="Z629" s="153"/>
      <c r="AA629" s="153"/>
    </row>
    <row r="630" ht="39.75" customHeight="1">
      <c r="A630" s="153"/>
      <c r="B630" s="153"/>
      <c r="C630" s="153"/>
      <c r="D630" s="153"/>
      <c r="E630" s="251"/>
      <c r="F630" s="251"/>
      <c r="G630" s="153"/>
      <c r="H630" s="252"/>
      <c r="I630" s="153"/>
      <c r="J630" s="153"/>
      <c r="K630" s="252"/>
      <c r="L630" s="153"/>
      <c r="M630" s="252"/>
      <c r="N630" s="153"/>
      <c r="O630" s="153"/>
      <c r="P630" s="153"/>
      <c r="Q630" s="152"/>
      <c r="R630" s="153"/>
      <c r="S630" s="153"/>
      <c r="T630" s="153"/>
      <c r="U630" s="153"/>
      <c r="V630" s="153"/>
      <c r="W630" s="153"/>
      <c r="X630" s="153"/>
      <c r="Y630" s="153"/>
      <c r="Z630" s="153"/>
      <c r="AA630" s="153"/>
    </row>
    <row r="631" ht="39.75" customHeight="1">
      <c r="A631" s="153"/>
      <c r="B631" s="153"/>
      <c r="C631" s="153"/>
      <c r="D631" s="153"/>
      <c r="E631" s="251"/>
      <c r="F631" s="251"/>
      <c r="G631" s="153"/>
      <c r="H631" s="252"/>
      <c r="I631" s="153"/>
      <c r="J631" s="153"/>
      <c r="K631" s="252"/>
      <c r="L631" s="153"/>
      <c r="M631" s="252"/>
      <c r="N631" s="153"/>
      <c r="O631" s="153"/>
      <c r="P631" s="153"/>
      <c r="Q631" s="152"/>
      <c r="R631" s="153"/>
      <c r="S631" s="153"/>
      <c r="T631" s="153"/>
      <c r="U631" s="153"/>
      <c r="V631" s="153"/>
      <c r="W631" s="153"/>
      <c r="X631" s="153"/>
      <c r="Y631" s="153"/>
      <c r="Z631" s="153"/>
      <c r="AA631" s="153"/>
    </row>
    <row r="632" ht="39.75" customHeight="1">
      <c r="A632" s="153"/>
      <c r="B632" s="153"/>
      <c r="C632" s="153"/>
      <c r="D632" s="153"/>
      <c r="E632" s="251"/>
      <c r="F632" s="251"/>
      <c r="G632" s="153"/>
      <c r="H632" s="252"/>
      <c r="I632" s="153"/>
      <c r="J632" s="153"/>
      <c r="K632" s="252"/>
      <c r="L632" s="153"/>
      <c r="M632" s="252"/>
      <c r="N632" s="153"/>
      <c r="O632" s="153"/>
      <c r="P632" s="153"/>
      <c r="Q632" s="152"/>
      <c r="R632" s="153"/>
      <c r="S632" s="153"/>
      <c r="T632" s="153"/>
      <c r="U632" s="153"/>
      <c r="V632" s="153"/>
      <c r="W632" s="153"/>
      <c r="X632" s="153"/>
      <c r="Y632" s="153"/>
      <c r="Z632" s="153"/>
      <c r="AA632" s="153"/>
    </row>
    <row r="633" ht="39.75" customHeight="1">
      <c r="A633" s="153"/>
      <c r="B633" s="153"/>
      <c r="C633" s="153"/>
      <c r="D633" s="153"/>
      <c r="E633" s="251"/>
      <c r="F633" s="251"/>
      <c r="G633" s="153"/>
      <c r="H633" s="252"/>
      <c r="I633" s="153"/>
      <c r="J633" s="153"/>
      <c r="K633" s="252"/>
      <c r="L633" s="153"/>
      <c r="M633" s="252"/>
      <c r="N633" s="153"/>
      <c r="O633" s="153"/>
      <c r="P633" s="153"/>
      <c r="Q633" s="152"/>
      <c r="R633" s="153"/>
      <c r="S633" s="153"/>
      <c r="T633" s="153"/>
      <c r="U633" s="153"/>
      <c r="V633" s="153"/>
      <c r="W633" s="153"/>
      <c r="X633" s="153"/>
      <c r="Y633" s="153"/>
      <c r="Z633" s="153"/>
      <c r="AA633" s="153"/>
    </row>
    <row r="634" ht="39.75" customHeight="1">
      <c r="A634" s="153"/>
      <c r="B634" s="153"/>
      <c r="C634" s="153"/>
      <c r="D634" s="153"/>
      <c r="E634" s="251"/>
      <c r="F634" s="251"/>
      <c r="G634" s="153"/>
      <c r="H634" s="252"/>
      <c r="I634" s="153"/>
      <c r="J634" s="153"/>
      <c r="K634" s="252"/>
      <c r="L634" s="153"/>
      <c r="M634" s="252"/>
      <c r="N634" s="153"/>
      <c r="O634" s="153"/>
      <c r="P634" s="153"/>
      <c r="Q634" s="152"/>
      <c r="R634" s="153"/>
      <c r="S634" s="153"/>
      <c r="T634" s="153"/>
      <c r="U634" s="153"/>
      <c r="V634" s="153"/>
      <c r="W634" s="153"/>
      <c r="X634" s="153"/>
      <c r="Y634" s="153"/>
      <c r="Z634" s="153"/>
      <c r="AA634" s="153"/>
    </row>
    <row r="635" ht="39.75" customHeight="1">
      <c r="A635" s="153"/>
      <c r="B635" s="153"/>
      <c r="C635" s="153"/>
      <c r="D635" s="153"/>
      <c r="E635" s="251"/>
      <c r="F635" s="251"/>
      <c r="G635" s="153"/>
      <c r="H635" s="252"/>
      <c r="I635" s="153"/>
      <c r="J635" s="153"/>
      <c r="K635" s="252"/>
      <c r="L635" s="153"/>
      <c r="M635" s="252"/>
      <c r="N635" s="153"/>
      <c r="O635" s="153"/>
      <c r="P635" s="153"/>
      <c r="Q635" s="152"/>
      <c r="R635" s="153"/>
      <c r="S635" s="153"/>
      <c r="T635" s="153"/>
      <c r="U635" s="153"/>
      <c r="V635" s="153"/>
      <c r="W635" s="153"/>
      <c r="X635" s="153"/>
      <c r="Y635" s="153"/>
      <c r="Z635" s="153"/>
      <c r="AA635" s="153"/>
    </row>
    <row r="636" ht="39.75" customHeight="1">
      <c r="A636" s="153"/>
      <c r="B636" s="153"/>
      <c r="C636" s="153"/>
      <c r="D636" s="153"/>
      <c r="E636" s="251"/>
      <c r="F636" s="251"/>
      <c r="G636" s="153"/>
      <c r="H636" s="252"/>
      <c r="I636" s="153"/>
      <c r="J636" s="153"/>
      <c r="K636" s="252"/>
      <c r="L636" s="153"/>
      <c r="M636" s="252"/>
      <c r="N636" s="153"/>
      <c r="O636" s="153"/>
      <c r="P636" s="153"/>
      <c r="Q636" s="152"/>
      <c r="R636" s="153"/>
      <c r="S636" s="153"/>
      <c r="T636" s="153"/>
      <c r="U636" s="153"/>
      <c r="V636" s="153"/>
      <c r="W636" s="153"/>
      <c r="X636" s="153"/>
      <c r="Y636" s="153"/>
      <c r="Z636" s="153"/>
      <c r="AA636" s="153"/>
    </row>
    <row r="637" ht="39.75" customHeight="1">
      <c r="A637" s="153"/>
      <c r="B637" s="153"/>
      <c r="C637" s="153"/>
      <c r="D637" s="153"/>
      <c r="E637" s="251"/>
      <c r="F637" s="251"/>
      <c r="G637" s="153"/>
      <c r="H637" s="252"/>
      <c r="I637" s="153"/>
      <c r="J637" s="153"/>
      <c r="K637" s="252"/>
      <c r="L637" s="153"/>
      <c r="M637" s="252"/>
      <c r="N637" s="153"/>
      <c r="O637" s="153"/>
      <c r="P637" s="153"/>
      <c r="Q637" s="152"/>
      <c r="R637" s="153"/>
      <c r="S637" s="153"/>
      <c r="T637" s="153"/>
      <c r="U637" s="153"/>
      <c r="V637" s="153"/>
      <c r="W637" s="153"/>
      <c r="X637" s="153"/>
      <c r="Y637" s="153"/>
      <c r="Z637" s="153"/>
      <c r="AA637" s="153"/>
    </row>
    <row r="638" ht="39.75" customHeight="1">
      <c r="A638" s="153"/>
      <c r="B638" s="153"/>
      <c r="C638" s="153"/>
      <c r="D638" s="153"/>
      <c r="E638" s="251"/>
      <c r="F638" s="251"/>
      <c r="G638" s="153"/>
      <c r="H638" s="252"/>
      <c r="I638" s="153"/>
      <c r="J638" s="153"/>
      <c r="K638" s="252"/>
      <c r="L638" s="153"/>
      <c r="M638" s="252"/>
      <c r="N638" s="153"/>
      <c r="O638" s="153"/>
      <c r="P638" s="153"/>
      <c r="Q638" s="152"/>
      <c r="R638" s="153"/>
      <c r="S638" s="153"/>
      <c r="T638" s="153"/>
      <c r="U638" s="153"/>
      <c r="V638" s="153"/>
      <c r="W638" s="153"/>
      <c r="X638" s="153"/>
      <c r="Y638" s="153"/>
      <c r="Z638" s="153"/>
      <c r="AA638" s="153"/>
    </row>
    <row r="639" ht="39.75" customHeight="1">
      <c r="A639" s="153"/>
      <c r="B639" s="153"/>
      <c r="C639" s="153"/>
      <c r="D639" s="153"/>
      <c r="E639" s="251"/>
      <c r="F639" s="251"/>
      <c r="G639" s="153"/>
      <c r="H639" s="252"/>
      <c r="I639" s="153"/>
      <c r="J639" s="153"/>
      <c r="K639" s="252"/>
      <c r="L639" s="153"/>
      <c r="M639" s="252"/>
      <c r="N639" s="153"/>
      <c r="O639" s="153"/>
      <c r="P639" s="153"/>
      <c r="Q639" s="152"/>
      <c r="R639" s="153"/>
      <c r="S639" s="153"/>
      <c r="T639" s="153"/>
      <c r="U639" s="153"/>
      <c r="V639" s="153"/>
      <c r="W639" s="153"/>
      <c r="X639" s="153"/>
      <c r="Y639" s="153"/>
      <c r="Z639" s="153"/>
      <c r="AA639" s="153"/>
    </row>
    <row r="640" ht="39.75" customHeight="1">
      <c r="A640" s="153"/>
      <c r="B640" s="153"/>
      <c r="C640" s="153"/>
      <c r="D640" s="153"/>
      <c r="E640" s="251"/>
      <c r="F640" s="251"/>
      <c r="G640" s="153"/>
      <c r="H640" s="252"/>
      <c r="I640" s="153"/>
      <c r="J640" s="153"/>
      <c r="K640" s="252"/>
      <c r="L640" s="153"/>
      <c r="M640" s="252"/>
      <c r="N640" s="153"/>
      <c r="O640" s="153"/>
      <c r="P640" s="153"/>
      <c r="Q640" s="152"/>
      <c r="R640" s="153"/>
      <c r="S640" s="153"/>
      <c r="T640" s="153"/>
      <c r="U640" s="153"/>
      <c r="V640" s="153"/>
      <c r="W640" s="153"/>
      <c r="X640" s="153"/>
      <c r="Y640" s="153"/>
      <c r="Z640" s="153"/>
      <c r="AA640" s="153"/>
    </row>
    <row r="641" ht="39.75" customHeight="1">
      <c r="A641" s="153"/>
      <c r="B641" s="153"/>
      <c r="C641" s="153"/>
      <c r="D641" s="153"/>
      <c r="E641" s="251"/>
      <c r="F641" s="251"/>
      <c r="G641" s="153"/>
      <c r="H641" s="252"/>
      <c r="I641" s="153"/>
      <c r="J641" s="153"/>
      <c r="K641" s="252"/>
      <c r="L641" s="153"/>
      <c r="M641" s="252"/>
      <c r="N641" s="153"/>
      <c r="O641" s="153"/>
      <c r="P641" s="153"/>
      <c r="Q641" s="152"/>
      <c r="R641" s="153"/>
      <c r="S641" s="153"/>
      <c r="T641" s="153"/>
      <c r="U641" s="153"/>
      <c r="V641" s="153"/>
      <c r="W641" s="153"/>
      <c r="X641" s="153"/>
      <c r="Y641" s="153"/>
      <c r="Z641" s="153"/>
      <c r="AA641" s="153"/>
    </row>
    <row r="642" ht="39.75" customHeight="1">
      <c r="A642" s="153"/>
      <c r="B642" s="153"/>
      <c r="C642" s="153"/>
      <c r="D642" s="153"/>
      <c r="E642" s="251"/>
      <c r="F642" s="251"/>
      <c r="G642" s="153"/>
      <c r="H642" s="252"/>
      <c r="I642" s="153"/>
      <c r="J642" s="153"/>
      <c r="K642" s="252"/>
      <c r="L642" s="153"/>
      <c r="M642" s="252"/>
      <c r="N642" s="153"/>
      <c r="O642" s="153"/>
      <c r="P642" s="153"/>
      <c r="Q642" s="152"/>
      <c r="R642" s="153"/>
      <c r="S642" s="153"/>
      <c r="T642" s="153"/>
      <c r="U642" s="153"/>
      <c r="V642" s="153"/>
      <c r="W642" s="153"/>
      <c r="X642" s="153"/>
      <c r="Y642" s="153"/>
      <c r="Z642" s="153"/>
      <c r="AA642" s="153"/>
    </row>
    <row r="643" ht="39.75" customHeight="1">
      <c r="A643" s="153"/>
      <c r="B643" s="153"/>
      <c r="C643" s="153"/>
      <c r="D643" s="153"/>
      <c r="E643" s="251"/>
      <c r="F643" s="251"/>
      <c r="G643" s="153"/>
      <c r="H643" s="252"/>
      <c r="I643" s="153"/>
      <c r="J643" s="153"/>
      <c r="K643" s="252"/>
      <c r="L643" s="153"/>
      <c r="M643" s="252"/>
      <c r="N643" s="153"/>
      <c r="O643" s="153"/>
      <c r="P643" s="153"/>
      <c r="Q643" s="152"/>
      <c r="R643" s="153"/>
      <c r="S643" s="153"/>
      <c r="T643" s="153"/>
      <c r="U643" s="153"/>
      <c r="V643" s="153"/>
      <c r="W643" s="153"/>
      <c r="X643" s="153"/>
      <c r="Y643" s="153"/>
      <c r="Z643" s="153"/>
      <c r="AA643" s="153"/>
    </row>
    <row r="644" ht="39.75" customHeight="1">
      <c r="A644" s="153"/>
      <c r="B644" s="153"/>
      <c r="C644" s="153"/>
      <c r="D644" s="153"/>
      <c r="E644" s="251"/>
      <c r="F644" s="251"/>
      <c r="G644" s="153"/>
      <c r="H644" s="252"/>
      <c r="I644" s="153"/>
      <c r="J644" s="153"/>
      <c r="K644" s="252"/>
      <c r="L644" s="153"/>
      <c r="M644" s="252"/>
      <c r="N644" s="153"/>
      <c r="O644" s="153"/>
      <c r="P644" s="153"/>
      <c r="Q644" s="152"/>
      <c r="R644" s="153"/>
      <c r="S644" s="153"/>
      <c r="T644" s="153"/>
      <c r="U644" s="153"/>
      <c r="V644" s="153"/>
      <c r="W644" s="153"/>
      <c r="X644" s="153"/>
      <c r="Y644" s="153"/>
      <c r="Z644" s="153"/>
      <c r="AA644" s="153"/>
    </row>
    <row r="645" ht="39.75" customHeight="1">
      <c r="A645" s="153"/>
      <c r="B645" s="153"/>
      <c r="C645" s="153"/>
      <c r="D645" s="153"/>
      <c r="E645" s="251"/>
      <c r="F645" s="251"/>
      <c r="G645" s="153"/>
      <c r="H645" s="252"/>
      <c r="I645" s="153"/>
      <c r="J645" s="153"/>
      <c r="K645" s="252"/>
      <c r="L645" s="153"/>
      <c r="M645" s="252"/>
      <c r="N645" s="153"/>
      <c r="O645" s="153"/>
      <c r="P645" s="153"/>
      <c r="Q645" s="152"/>
      <c r="R645" s="153"/>
      <c r="S645" s="153"/>
      <c r="T645" s="153"/>
      <c r="U645" s="153"/>
      <c r="V645" s="153"/>
      <c r="W645" s="153"/>
      <c r="X645" s="153"/>
      <c r="Y645" s="153"/>
      <c r="Z645" s="153"/>
      <c r="AA645" s="153"/>
    </row>
    <row r="646" ht="39.75" customHeight="1">
      <c r="A646" s="153"/>
      <c r="B646" s="153"/>
      <c r="C646" s="153"/>
      <c r="D646" s="153"/>
      <c r="E646" s="251"/>
      <c r="F646" s="251"/>
      <c r="G646" s="153"/>
      <c r="H646" s="252"/>
      <c r="I646" s="153"/>
      <c r="J646" s="153"/>
      <c r="K646" s="252"/>
      <c r="L646" s="153"/>
      <c r="M646" s="252"/>
      <c r="N646" s="153"/>
      <c r="O646" s="153"/>
      <c r="P646" s="153"/>
      <c r="Q646" s="152"/>
      <c r="R646" s="153"/>
      <c r="S646" s="153"/>
      <c r="T646" s="153"/>
      <c r="U646" s="153"/>
      <c r="V646" s="153"/>
      <c r="W646" s="153"/>
      <c r="X646" s="153"/>
      <c r="Y646" s="153"/>
      <c r="Z646" s="153"/>
      <c r="AA646" s="153"/>
    </row>
    <row r="647" ht="39.75" customHeight="1">
      <c r="A647" s="153"/>
      <c r="B647" s="153"/>
      <c r="C647" s="153"/>
      <c r="D647" s="153"/>
      <c r="E647" s="251"/>
      <c r="F647" s="251"/>
      <c r="G647" s="153"/>
      <c r="H647" s="252"/>
      <c r="I647" s="153"/>
      <c r="J647" s="153"/>
      <c r="K647" s="252"/>
      <c r="L647" s="153"/>
      <c r="M647" s="252"/>
      <c r="N647" s="153"/>
      <c r="O647" s="153"/>
      <c r="P647" s="153"/>
      <c r="Q647" s="152"/>
      <c r="R647" s="153"/>
      <c r="S647" s="153"/>
      <c r="T647" s="153"/>
      <c r="U647" s="153"/>
      <c r="V647" s="153"/>
      <c r="W647" s="153"/>
      <c r="X647" s="153"/>
      <c r="Y647" s="153"/>
      <c r="Z647" s="153"/>
      <c r="AA647" s="153"/>
    </row>
    <row r="648" ht="39.75" customHeight="1">
      <c r="A648" s="153"/>
      <c r="B648" s="153"/>
      <c r="C648" s="153"/>
      <c r="D648" s="153"/>
      <c r="E648" s="251"/>
      <c r="F648" s="251"/>
      <c r="G648" s="153"/>
      <c r="H648" s="252"/>
      <c r="I648" s="153"/>
      <c r="J648" s="153"/>
      <c r="K648" s="252"/>
      <c r="L648" s="153"/>
      <c r="M648" s="252"/>
      <c r="N648" s="153"/>
      <c r="O648" s="153"/>
      <c r="P648" s="153"/>
      <c r="Q648" s="152"/>
      <c r="R648" s="153"/>
      <c r="S648" s="153"/>
      <c r="T648" s="153"/>
      <c r="U648" s="153"/>
      <c r="V648" s="153"/>
      <c r="W648" s="153"/>
      <c r="X648" s="153"/>
      <c r="Y648" s="153"/>
      <c r="Z648" s="153"/>
      <c r="AA648" s="153"/>
    </row>
    <row r="649" ht="39.75" customHeight="1">
      <c r="A649" s="153"/>
      <c r="B649" s="153"/>
      <c r="C649" s="153"/>
      <c r="D649" s="153"/>
      <c r="E649" s="251"/>
      <c r="F649" s="251"/>
      <c r="G649" s="153"/>
      <c r="H649" s="252"/>
      <c r="I649" s="153"/>
      <c r="J649" s="153"/>
      <c r="K649" s="252"/>
      <c r="L649" s="153"/>
      <c r="M649" s="252"/>
      <c r="N649" s="153"/>
      <c r="O649" s="153"/>
      <c r="P649" s="153"/>
      <c r="Q649" s="152"/>
      <c r="R649" s="153"/>
      <c r="S649" s="153"/>
      <c r="T649" s="153"/>
      <c r="U649" s="153"/>
      <c r="V649" s="153"/>
      <c r="W649" s="153"/>
      <c r="X649" s="153"/>
      <c r="Y649" s="153"/>
      <c r="Z649" s="153"/>
      <c r="AA649" s="153"/>
    </row>
    <row r="650" ht="39.75" customHeight="1">
      <c r="A650" s="153"/>
      <c r="B650" s="153"/>
      <c r="C650" s="153"/>
      <c r="D650" s="153"/>
      <c r="E650" s="251"/>
      <c r="F650" s="251"/>
      <c r="G650" s="153"/>
      <c r="H650" s="252"/>
      <c r="I650" s="153"/>
      <c r="J650" s="153"/>
      <c r="K650" s="252"/>
      <c r="L650" s="153"/>
      <c r="M650" s="252"/>
      <c r="N650" s="153"/>
      <c r="O650" s="153"/>
      <c r="P650" s="153"/>
      <c r="Q650" s="152"/>
      <c r="R650" s="153"/>
      <c r="S650" s="153"/>
      <c r="T650" s="153"/>
      <c r="U650" s="153"/>
      <c r="V650" s="153"/>
      <c r="W650" s="153"/>
      <c r="X650" s="153"/>
      <c r="Y650" s="153"/>
      <c r="Z650" s="153"/>
      <c r="AA650" s="153"/>
    </row>
    <row r="651" ht="39.75" customHeight="1">
      <c r="A651" s="153"/>
      <c r="B651" s="153"/>
      <c r="C651" s="153"/>
      <c r="D651" s="153"/>
      <c r="E651" s="251"/>
      <c r="F651" s="251"/>
      <c r="G651" s="153"/>
      <c r="H651" s="252"/>
      <c r="I651" s="153"/>
      <c r="J651" s="153"/>
      <c r="K651" s="252"/>
      <c r="L651" s="153"/>
      <c r="M651" s="252"/>
      <c r="N651" s="153"/>
      <c r="O651" s="153"/>
      <c r="P651" s="153"/>
      <c r="Q651" s="152"/>
      <c r="R651" s="153"/>
      <c r="S651" s="153"/>
      <c r="T651" s="153"/>
      <c r="U651" s="153"/>
      <c r="V651" s="153"/>
      <c r="W651" s="153"/>
      <c r="X651" s="153"/>
      <c r="Y651" s="153"/>
      <c r="Z651" s="153"/>
      <c r="AA651" s="153"/>
    </row>
    <row r="652" ht="39.75" customHeight="1">
      <c r="A652" s="153"/>
      <c r="B652" s="153"/>
      <c r="C652" s="153"/>
      <c r="D652" s="153"/>
      <c r="E652" s="251"/>
      <c r="F652" s="251"/>
      <c r="G652" s="153"/>
      <c r="H652" s="252"/>
      <c r="I652" s="153"/>
      <c r="J652" s="153"/>
      <c r="K652" s="252"/>
      <c r="L652" s="153"/>
      <c r="M652" s="252"/>
      <c r="N652" s="153"/>
      <c r="O652" s="153"/>
      <c r="P652" s="153"/>
      <c r="Q652" s="152"/>
      <c r="R652" s="153"/>
      <c r="S652" s="153"/>
      <c r="T652" s="153"/>
      <c r="U652" s="153"/>
      <c r="V652" s="153"/>
      <c r="W652" s="153"/>
      <c r="X652" s="153"/>
      <c r="Y652" s="153"/>
      <c r="Z652" s="153"/>
      <c r="AA652" s="153"/>
    </row>
    <row r="653" ht="39.75" customHeight="1">
      <c r="A653" s="153"/>
      <c r="B653" s="153"/>
      <c r="C653" s="153"/>
      <c r="D653" s="153"/>
      <c r="E653" s="251"/>
      <c r="F653" s="251"/>
      <c r="G653" s="153"/>
      <c r="H653" s="252"/>
      <c r="I653" s="153"/>
      <c r="J653" s="153"/>
      <c r="K653" s="252"/>
      <c r="L653" s="153"/>
      <c r="M653" s="252"/>
      <c r="N653" s="153"/>
      <c r="O653" s="153"/>
      <c r="P653" s="153"/>
      <c r="Q653" s="152"/>
      <c r="R653" s="153"/>
      <c r="S653" s="153"/>
      <c r="T653" s="153"/>
      <c r="U653" s="153"/>
      <c r="V653" s="153"/>
      <c r="W653" s="153"/>
      <c r="X653" s="153"/>
      <c r="Y653" s="153"/>
      <c r="Z653" s="153"/>
      <c r="AA653" s="153"/>
    </row>
    <row r="654" ht="39.75" customHeight="1">
      <c r="A654" s="153"/>
      <c r="B654" s="153"/>
      <c r="C654" s="153"/>
      <c r="D654" s="153"/>
      <c r="E654" s="251"/>
      <c r="F654" s="251"/>
      <c r="G654" s="153"/>
      <c r="H654" s="252"/>
      <c r="I654" s="153"/>
      <c r="J654" s="153"/>
      <c r="K654" s="252"/>
      <c r="L654" s="153"/>
      <c r="M654" s="252"/>
      <c r="N654" s="153"/>
      <c r="O654" s="153"/>
      <c r="P654" s="153"/>
      <c r="Q654" s="152"/>
      <c r="R654" s="153"/>
      <c r="S654" s="153"/>
      <c r="T654" s="153"/>
      <c r="U654" s="153"/>
      <c r="V654" s="153"/>
      <c r="W654" s="153"/>
      <c r="X654" s="153"/>
      <c r="Y654" s="153"/>
      <c r="Z654" s="153"/>
      <c r="AA654" s="153"/>
    </row>
    <row r="655" ht="39.75" customHeight="1">
      <c r="A655" s="153"/>
      <c r="B655" s="153"/>
      <c r="C655" s="153"/>
      <c r="D655" s="153"/>
      <c r="E655" s="251"/>
      <c r="F655" s="251"/>
      <c r="G655" s="153"/>
      <c r="H655" s="252"/>
      <c r="I655" s="153"/>
      <c r="J655" s="153"/>
      <c r="K655" s="252"/>
      <c r="L655" s="153"/>
      <c r="M655" s="252"/>
      <c r="N655" s="153"/>
      <c r="O655" s="153"/>
      <c r="P655" s="153"/>
      <c r="Q655" s="152"/>
      <c r="R655" s="153"/>
      <c r="S655" s="153"/>
      <c r="T655" s="153"/>
      <c r="U655" s="153"/>
      <c r="V655" s="153"/>
      <c r="W655" s="153"/>
      <c r="X655" s="153"/>
      <c r="Y655" s="153"/>
      <c r="Z655" s="153"/>
      <c r="AA655" s="153"/>
    </row>
    <row r="656" ht="39.75" customHeight="1">
      <c r="A656" s="153"/>
      <c r="B656" s="153"/>
      <c r="C656" s="153"/>
      <c r="D656" s="153"/>
      <c r="E656" s="251"/>
      <c r="F656" s="251"/>
      <c r="G656" s="153"/>
      <c r="H656" s="252"/>
      <c r="I656" s="153"/>
      <c r="J656" s="153"/>
      <c r="K656" s="252"/>
      <c r="L656" s="153"/>
      <c r="M656" s="252"/>
      <c r="N656" s="153"/>
      <c r="O656" s="153"/>
      <c r="P656" s="153"/>
      <c r="Q656" s="152"/>
      <c r="R656" s="153"/>
      <c r="S656" s="153"/>
      <c r="T656" s="153"/>
      <c r="U656" s="153"/>
      <c r="V656" s="153"/>
      <c r="W656" s="153"/>
      <c r="X656" s="153"/>
      <c r="Y656" s="153"/>
      <c r="Z656" s="153"/>
      <c r="AA656" s="153"/>
    </row>
    <row r="657" ht="39.75" customHeight="1">
      <c r="A657" s="153"/>
      <c r="B657" s="153"/>
      <c r="C657" s="153"/>
      <c r="D657" s="153"/>
      <c r="E657" s="251"/>
      <c r="F657" s="251"/>
      <c r="G657" s="153"/>
      <c r="H657" s="252"/>
      <c r="I657" s="153"/>
      <c r="J657" s="153"/>
      <c r="K657" s="252"/>
      <c r="L657" s="153"/>
      <c r="M657" s="252"/>
      <c r="N657" s="153"/>
      <c r="O657" s="153"/>
      <c r="P657" s="153"/>
      <c r="Q657" s="152"/>
      <c r="R657" s="153"/>
      <c r="S657" s="153"/>
      <c r="T657" s="153"/>
      <c r="U657" s="153"/>
      <c r="V657" s="153"/>
      <c r="W657" s="153"/>
      <c r="X657" s="153"/>
      <c r="Y657" s="153"/>
      <c r="Z657" s="153"/>
      <c r="AA657" s="153"/>
    </row>
    <row r="658" ht="39.75" customHeight="1">
      <c r="A658" s="153"/>
      <c r="B658" s="153"/>
      <c r="C658" s="153"/>
      <c r="D658" s="153"/>
      <c r="E658" s="251"/>
      <c r="F658" s="251"/>
      <c r="G658" s="153"/>
      <c r="H658" s="252"/>
      <c r="I658" s="153"/>
      <c r="J658" s="153"/>
      <c r="K658" s="252"/>
      <c r="L658" s="153"/>
      <c r="M658" s="252"/>
      <c r="N658" s="153"/>
      <c r="O658" s="153"/>
      <c r="P658" s="153"/>
      <c r="Q658" s="152"/>
      <c r="R658" s="153"/>
      <c r="S658" s="153"/>
      <c r="T658" s="153"/>
      <c r="U658" s="153"/>
      <c r="V658" s="153"/>
      <c r="W658" s="153"/>
      <c r="X658" s="153"/>
      <c r="Y658" s="153"/>
      <c r="Z658" s="153"/>
      <c r="AA658" s="153"/>
    </row>
    <row r="659" ht="39.75" customHeight="1">
      <c r="A659" s="153"/>
      <c r="B659" s="153"/>
      <c r="C659" s="153"/>
      <c r="D659" s="153"/>
      <c r="E659" s="251"/>
      <c r="F659" s="251"/>
      <c r="G659" s="153"/>
      <c r="H659" s="252"/>
      <c r="I659" s="153"/>
      <c r="J659" s="153"/>
      <c r="K659" s="252"/>
      <c r="L659" s="153"/>
      <c r="M659" s="252"/>
      <c r="N659" s="153"/>
      <c r="O659" s="153"/>
      <c r="P659" s="153"/>
      <c r="Q659" s="152"/>
      <c r="R659" s="153"/>
      <c r="S659" s="153"/>
      <c r="T659" s="153"/>
      <c r="U659" s="153"/>
      <c r="V659" s="153"/>
      <c r="W659" s="153"/>
      <c r="X659" s="153"/>
      <c r="Y659" s="153"/>
      <c r="Z659" s="153"/>
      <c r="AA659" s="153"/>
    </row>
    <row r="660" ht="39.75" customHeight="1">
      <c r="A660" s="153"/>
      <c r="B660" s="153"/>
      <c r="C660" s="153"/>
      <c r="D660" s="153"/>
      <c r="E660" s="251"/>
      <c r="F660" s="251"/>
      <c r="G660" s="153"/>
      <c r="H660" s="252"/>
      <c r="I660" s="153"/>
      <c r="J660" s="153"/>
      <c r="K660" s="252"/>
      <c r="L660" s="153"/>
      <c r="M660" s="252"/>
      <c r="N660" s="153"/>
      <c r="O660" s="153"/>
      <c r="P660" s="153"/>
      <c r="Q660" s="152"/>
      <c r="R660" s="153"/>
      <c r="S660" s="153"/>
      <c r="T660" s="153"/>
      <c r="U660" s="153"/>
      <c r="V660" s="153"/>
      <c r="W660" s="153"/>
      <c r="X660" s="153"/>
      <c r="Y660" s="153"/>
      <c r="Z660" s="153"/>
      <c r="AA660" s="153"/>
    </row>
    <row r="661" ht="39.75" customHeight="1">
      <c r="A661" s="153"/>
      <c r="B661" s="153"/>
      <c r="C661" s="153"/>
      <c r="D661" s="153"/>
      <c r="E661" s="251"/>
      <c r="F661" s="251"/>
      <c r="G661" s="153"/>
      <c r="H661" s="252"/>
      <c r="I661" s="153"/>
      <c r="J661" s="153"/>
      <c r="K661" s="252"/>
      <c r="L661" s="153"/>
      <c r="M661" s="252"/>
      <c r="N661" s="153"/>
      <c r="O661" s="153"/>
      <c r="P661" s="153"/>
      <c r="Q661" s="152"/>
      <c r="R661" s="153"/>
      <c r="S661" s="153"/>
      <c r="T661" s="153"/>
      <c r="U661" s="153"/>
      <c r="V661" s="153"/>
      <c r="W661" s="153"/>
      <c r="X661" s="153"/>
      <c r="Y661" s="153"/>
      <c r="Z661" s="153"/>
      <c r="AA661" s="153"/>
    </row>
    <row r="662" ht="39.75" customHeight="1">
      <c r="A662" s="153"/>
      <c r="B662" s="153"/>
      <c r="C662" s="153"/>
      <c r="D662" s="153"/>
      <c r="E662" s="251"/>
      <c r="F662" s="251"/>
      <c r="G662" s="153"/>
      <c r="H662" s="252"/>
      <c r="I662" s="153"/>
      <c r="J662" s="153"/>
      <c r="K662" s="252"/>
      <c r="L662" s="153"/>
      <c r="M662" s="252"/>
      <c r="N662" s="153"/>
      <c r="O662" s="153"/>
      <c r="P662" s="153"/>
      <c r="Q662" s="152"/>
      <c r="R662" s="153"/>
      <c r="S662" s="153"/>
      <c r="T662" s="153"/>
      <c r="U662" s="153"/>
      <c r="V662" s="153"/>
      <c r="W662" s="153"/>
      <c r="X662" s="153"/>
      <c r="Y662" s="153"/>
      <c r="Z662" s="153"/>
      <c r="AA662" s="153"/>
    </row>
    <row r="663" ht="39.75" customHeight="1">
      <c r="A663" s="153"/>
      <c r="B663" s="153"/>
      <c r="C663" s="153"/>
      <c r="D663" s="153"/>
      <c r="E663" s="251"/>
      <c r="F663" s="251"/>
      <c r="G663" s="153"/>
      <c r="H663" s="252"/>
      <c r="I663" s="153"/>
      <c r="J663" s="153"/>
      <c r="K663" s="252"/>
      <c r="L663" s="153"/>
      <c r="M663" s="252"/>
      <c r="N663" s="153"/>
      <c r="O663" s="153"/>
      <c r="P663" s="153"/>
      <c r="Q663" s="152"/>
      <c r="R663" s="153"/>
      <c r="S663" s="153"/>
      <c r="T663" s="153"/>
      <c r="U663" s="153"/>
      <c r="V663" s="153"/>
      <c r="W663" s="153"/>
      <c r="X663" s="153"/>
      <c r="Y663" s="153"/>
      <c r="Z663" s="153"/>
      <c r="AA663" s="153"/>
    </row>
    <row r="664" ht="39.75" customHeight="1">
      <c r="A664" s="153"/>
      <c r="B664" s="153"/>
      <c r="C664" s="153"/>
      <c r="D664" s="153"/>
      <c r="E664" s="251"/>
      <c r="F664" s="251"/>
      <c r="G664" s="153"/>
      <c r="H664" s="252"/>
      <c r="I664" s="153"/>
      <c r="J664" s="153"/>
      <c r="K664" s="252"/>
      <c r="L664" s="153"/>
      <c r="M664" s="252"/>
      <c r="N664" s="153"/>
      <c r="O664" s="153"/>
      <c r="P664" s="153"/>
      <c r="Q664" s="152"/>
      <c r="R664" s="153"/>
      <c r="S664" s="153"/>
      <c r="T664" s="153"/>
      <c r="U664" s="153"/>
      <c r="V664" s="153"/>
      <c r="W664" s="153"/>
      <c r="X664" s="153"/>
      <c r="Y664" s="153"/>
      <c r="Z664" s="153"/>
      <c r="AA664" s="153"/>
    </row>
    <row r="665" ht="39.75" customHeight="1">
      <c r="A665" s="153"/>
      <c r="B665" s="153"/>
      <c r="C665" s="153"/>
      <c r="D665" s="153"/>
      <c r="E665" s="251"/>
      <c r="F665" s="251"/>
      <c r="G665" s="153"/>
      <c r="H665" s="252"/>
      <c r="I665" s="153"/>
      <c r="J665" s="153"/>
      <c r="K665" s="252"/>
      <c r="L665" s="153"/>
      <c r="M665" s="252"/>
      <c r="N665" s="153"/>
      <c r="O665" s="153"/>
      <c r="P665" s="153"/>
      <c r="Q665" s="152"/>
      <c r="R665" s="153"/>
      <c r="S665" s="153"/>
      <c r="T665" s="153"/>
      <c r="U665" s="153"/>
      <c r="V665" s="153"/>
      <c r="W665" s="153"/>
      <c r="X665" s="153"/>
      <c r="Y665" s="153"/>
      <c r="Z665" s="153"/>
      <c r="AA665" s="153"/>
    </row>
    <row r="666" ht="39.75" customHeight="1">
      <c r="A666" s="153"/>
      <c r="B666" s="153"/>
      <c r="C666" s="153"/>
      <c r="D666" s="153"/>
      <c r="E666" s="251"/>
      <c r="F666" s="251"/>
      <c r="G666" s="153"/>
      <c r="H666" s="252"/>
      <c r="I666" s="153"/>
      <c r="J666" s="153"/>
      <c r="K666" s="252"/>
      <c r="L666" s="153"/>
      <c r="M666" s="252"/>
      <c r="N666" s="153"/>
      <c r="O666" s="153"/>
      <c r="P666" s="153"/>
      <c r="Q666" s="152"/>
      <c r="R666" s="153"/>
      <c r="S666" s="153"/>
      <c r="T666" s="153"/>
      <c r="U666" s="153"/>
      <c r="V666" s="153"/>
      <c r="W666" s="153"/>
      <c r="X666" s="153"/>
      <c r="Y666" s="153"/>
      <c r="Z666" s="153"/>
      <c r="AA666" s="153"/>
    </row>
    <row r="667" ht="39.75" customHeight="1">
      <c r="A667" s="153"/>
      <c r="B667" s="153"/>
      <c r="C667" s="153"/>
      <c r="D667" s="153"/>
      <c r="E667" s="251"/>
      <c r="F667" s="251"/>
      <c r="G667" s="153"/>
      <c r="H667" s="252"/>
      <c r="I667" s="153"/>
      <c r="J667" s="153"/>
      <c r="K667" s="252"/>
      <c r="L667" s="153"/>
      <c r="M667" s="252"/>
      <c r="N667" s="153"/>
      <c r="O667" s="153"/>
      <c r="P667" s="153"/>
      <c r="Q667" s="152"/>
      <c r="R667" s="153"/>
      <c r="S667" s="153"/>
      <c r="T667" s="153"/>
      <c r="U667" s="153"/>
      <c r="V667" s="153"/>
      <c r="W667" s="153"/>
      <c r="X667" s="153"/>
      <c r="Y667" s="153"/>
      <c r="Z667" s="153"/>
      <c r="AA667" s="153"/>
    </row>
    <row r="668" ht="39.75" customHeight="1">
      <c r="A668" s="153"/>
      <c r="B668" s="153"/>
      <c r="C668" s="153"/>
      <c r="D668" s="153"/>
      <c r="E668" s="251"/>
      <c r="F668" s="251"/>
      <c r="G668" s="153"/>
      <c r="H668" s="252"/>
      <c r="I668" s="153"/>
      <c r="J668" s="153"/>
      <c r="K668" s="252"/>
      <c r="L668" s="153"/>
      <c r="M668" s="252"/>
      <c r="N668" s="153"/>
      <c r="O668" s="153"/>
      <c r="P668" s="153"/>
      <c r="Q668" s="152"/>
      <c r="R668" s="153"/>
      <c r="S668" s="153"/>
      <c r="T668" s="153"/>
      <c r="U668" s="153"/>
      <c r="V668" s="153"/>
      <c r="W668" s="153"/>
      <c r="X668" s="153"/>
      <c r="Y668" s="153"/>
      <c r="Z668" s="153"/>
      <c r="AA668" s="153"/>
    </row>
    <row r="669" ht="39.75" customHeight="1">
      <c r="A669" s="153"/>
      <c r="B669" s="153"/>
      <c r="C669" s="153"/>
      <c r="D669" s="153"/>
      <c r="E669" s="251"/>
      <c r="F669" s="251"/>
      <c r="G669" s="153"/>
      <c r="H669" s="252"/>
      <c r="I669" s="153"/>
      <c r="J669" s="153"/>
      <c r="K669" s="252"/>
      <c r="L669" s="153"/>
      <c r="M669" s="252"/>
      <c r="N669" s="153"/>
      <c r="O669" s="153"/>
      <c r="P669" s="153"/>
      <c r="Q669" s="152"/>
      <c r="R669" s="153"/>
      <c r="S669" s="153"/>
      <c r="T669" s="153"/>
      <c r="U669" s="153"/>
      <c r="V669" s="153"/>
      <c r="W669" s="153"/>
      <c r="X669" s="153"/>
      <c r="Y669" s="153"/>
      <c r="Z669" s="153"/>
      <c r="AA669" s="153"/>
    </row>
    <row r="670" ht="39.75" customHeight="1">
      <c r="A670" s="153"/>
      <c r="B670" s="153"/>
      <c r="C670" s="153"/>
      <c r="D670" s="153"/>
      <c r="E670" s="251"/>
      <c r="F670" s="251"/>
      <c r="G670" s="153"/>
      <c r="H670" s="252"/>
      <c r="I670" s="153"/>
      <c r="J670" s="153"/>
      <c r="K670" s="252"/>
      <c r="L670" s="153"/>
      <c r="M670" s="252"/>
      <c r="N670" s="153"/>
      <c r="O670" s="153"/>
      <c r="P670" s="153"/>
      <c r="Q670" s="152"/>
      <c r="R670" s="153"/>
      <c r="S670" s="153"/>
      <c r="T670" s="153"/>
      <c r="U670" s="153"/>
      <c r="V670" s="153"/>
      <c r="W670" s="153"/>
      <c r="X670" s="153"/>
      <c r="Y670" s="153"/>
      <c r="Z670" s="153"/>
      <c r="AA670" s="153"/>
    </row>
    <row r="671" ht="39.75" customHeight="1">
      <c r="A671" s="153"/>
      <c r="B671" s="153"/>
      <c r="C671" s="153"/>
      <c r="D671" s="153"/>
      <c r="E671" s="251"/>
      <c r="F671" s="251"/>
      <c r="G671" s="153"/>
      <c r="H671" s="252"/>
      <c r="I671" s="153"/>
      <c r="J671" s="153"/>
      <c r="K671" s="252"/>
      <c r="L671" s="153"/>
      <c r="M671" s="252"/>
      <c r="N671" s="153"/>
      <c r="O671" s="153"/>
      <c r="P671" s="153"/>
      <c r="Q671" s="152"/>
      <c r="R671" s="153"/>
      <c r="S671" s="153"/>
      <c r="T671" s="153"/>
      <c r="U671" s="153"/>
      <c r="V671" s="153"/>
      <c r="W671" s="153"/>
      <c r="X671" s="153"/>
      <c r="Y671" s="153"/>
      <c r="Z671" s="153"/>
      <c r="AA671" s="153"/>
    </row>
    <row r="672" ht="39.75" customHeight="1">
      <c r="A672" s="153"/>
      <c r="B672" s="153"/>
      <c r="C672" s="153"/>
      <c r="D672" s="153"/>
      <c r="E672" s="251"/>
      <c r="F672" s="251"/>
      <c r="G672" s="153"/>
      <c r="H672" s="252"/>
      <c r="I672" s="153"/>
      <c r="J672" s="153"/>
      <c r="K672" s="252"/>
      <c r="L672" s="153"/>
      <c r="M672" s="252"/>
      <c r="N672" s="153"/>
      <c r="O672" s="153"/>
      <c r="P672" s="153"/>
      <c r="Q672" s="152"/>
      <c r="R672" s="153"/>
      <c r="S672" s="153"/>
      <c r="T672" s="153"/>
      <c r="U672" s="153"/>
      <c r="V672" s="153"/>
      <c r="W672" s="153"/>
      <c r="X672" s="153"/>
      <c r="Y672" s="153"/>
      <c r="Z672" s="153"/>
      <c r="AA672" s="153"/>
    </row>
    <row r="673" ht="39.75" customHeight="1">
      <c r="A673" s="153"/>
      <c r="B673" s="153"/>
      <c r="C673" s="153"/>
      <c r="D673" s="153"/>
      <c r="E673" s="251"/>
      <c r="F673" s="251"/>
      <c r="G673" s="153"/>
      <c r="H673" s="252"/>
      <c r="I673" s="153"/>
      <c r="J673" s="153"/>
      <c r="K673" s="252"/>
      <c r="L673" s="153"/>
      <c r="M673" s="252"/>
      <c r="N673" s="153"/>
      <c r="O673" s="153"/>
      <c r="P673" s="153"/>
      <c r="Q673" s="152"/>
      <c r="R673" s="153"/>
      <c r="S673" s="153"/>
      <c r="T673" s="153"/>
      <c r="U673" s="153"/>
      <c r="V673" s="153"/>
      <c r="W673" s="153"/>
      <c r="X673" s="153"/>
      <c r="Y673" s="153"/>
      <c r="Z673" s="153"/>
      <c r="AA673" s="153"/>
    </row>
    <row r="674" ht="39.75" customHeight="1">
      <c r="A674" s="153"/>
      <c r="B674" s="153"/>
      <c r="C674" s="153"/>
      <c r="D674" s="153"/>
      <c r="E674" s="251"/>
      <c r="F674" s="251"/>
      <c r="G674" s="153"/>
      <c r="H674" s="252"/>
      <c r="I674" s="153"/>
      <c r="J674" s="153"/>
      <c r="K674" s="252"/>
      <c r="L674" s="153"/>
      <c r="M674" s="252"/>
      <c r="N674" s="153"/>
      <c r="O674" s="153"/>
      <c r="P674" s="153"/>
      <c r="Q674" s="152"/>
      <c r="R674" s="153"/>
      <c r="S674" s="153"/>
      <c r="T674" s="153"/>
      <c r="U674" s="153"/>
      <c r="V674" s="153"/>
      <c r="W674" s="153"/>
      <c r="X674" s="153"/>
      <c r="Y674" s="153"/>
      <c r="Z674" s="153"/>
      <c r="AA674" s="153"/>
    </row>
    <row r="675" ht="39.75" customHeight="1">
      <c r="A675" s="153"/>
      <c r="B675" s="153"/>
      <c r="C675" s="153"/>
      <c r="D675" s="153"/>
      <c r="E675" s="251"/>
      <c r="F675" s="251"/>
      <c r="G675" s="153"/>
      <c r="H675" s="252"/>
      <c r="I675" s="153"/>
      <c r="J675" s="153"/>
      <c r="K675" s="252"/>
      <c r="L675" s="153"/>
      <c r="M675" s="252"/>
      <c r="N675" s="153"/>
      <c r="O675" s="153"/>
      <c r="P675" s="153"/>
      <c r="Q675" s="152"/>
      <c r="R675" s="153"/>
      <c r="S675" s="153"/>
      <c r="T675" s="153"/>
      <c r="U675" s="153"/>
      <c r="V675" s="153"/>
      <c r="W675" s="153"/>
      <c r="X675" s="153"/>
      <c r="Y675" s="153"/>
      <c r="Z675" s="153"/>
      <c r="AA675" s="153"/>
    </row>
    <row r="676" ht="39.75" customHeight="1">
      <c r="A676" s="153"/>
      <c r="B676" s="153"/>
      <c r="C676" s="153"/>
      <c r="D676" s="153"/>
      <c r="E676" s="251"/>
      <c r="F676" s="251"/>
      <c r="G676" s="153"/>
      <c r="H676" s="252"/>
      <c r="I676" s="153"/>
      <c r="J676" s="153"/>
      <c r="K676" s="252"/>
      <c r="L676" s="153"/>
      <c r="M676" s="252"/>
      <c r="N676" s="153"/>
      <c r="O676" s="153"/>
      <c r="P676" s="153"/>
      <c r="Q676" s="152"/>
      <c r="R676" s="153"/>
      <c r="S676" s="153"/>
      <c r="T676" s="153"/>
      <c r="U676" s="153"/>
      <c r="V676" s="153"/>
      <c r="W676" s="153"/>
      <c r="X676" s="153"/>
      <c r="Y676" s="153"/>
      <c r="Z676" s="153"/>
      <c r="AA676" s="153"/>
    </row>
    <row r="677" ht="39.75" customHeight="1">
      <c r="A677" s="153"/>
      <c r="B677" s="153"/>
      <c r="C677" s="153"/>
      <c r="D677" s="153"/>
      <c r="E677" s="251"/>
      <c r="F677" s="251"/>
      <c r="G677" s="153"/>
      <c r="H677" s="252"/>
      <c r="I677" s="153"/>
      <c r="J677" s="153"/>
      <c r="K677" s="252"/>
      <c r="L677" s="153"/>
      <c r="M677" s="252"/>
      <c r="N677" s="153"/>
      <c r="O677" s="153"/>
      <c r="P677" s="153"/>
      <c r="Q677" s="152"/>
      <c r="R677" s="153"/>
      <c r="S677" s="153"/>
      <c r="T677" s="153"/>
      <c r="U677" s="153"/>
      <c r="V677" s="153"/>
      <c r="W677" s="153"/>
      <c r="X677" s="153"/>
      <c r="Y677" s="153"/>
      <c r="Z677" s="153"/>
      <c r="AA677" s="153"/>
    </row>
    <row r="678" ht="39.75" customHeight="1">
      <c r="A678" s="153"/>
      <c r="B678" s="153"/>
      <c r="C678" s="153"/>
      <c r="D678" s="153"/>
      <c r="E678" s="251"/>
      <c r="F678" s="251"/>
      <c r="G678" s="153"/>
      <c r="H678" s="252"/>
      <c r="I678" s="153"/>
      <c r="J678" s="153"/>
      <c r="K678" s="252"/>
      <c r="L678" s="153"/>
      <c r="M678" s="252"/>
      <c r="N678" s="153"/>
      <c r="O678" s="153"/>
      <c r="P678" s="153"/>
      <c r="Q678" s="152"/>
      <c r="R678" s="153"/>
      <c r="S678" s="153"/>
      <c r="T678" s="153"/>
      <c r="U678" s="153"/>
      <c r="V678" s="153"/>
      <c r="W678" s="153"/>
      <c r="X678" s="153"/>
      <c r="Y678" s="153"/>
      <c r="Z678" s="153"/>
      <c r="AA678" s="153"/>
    </row>
    <row r="679" ht="39.75" customHeight="1">
      <c r="A679" s="153"/>
      <c r="B679" s="153"/>
      <c r="C679" s="153"/>
      <c r="D679" s="153"/>
      <c r="E679" s="251"/>
      <c r="F679" s="251"/>
      <c r="G679" s="153"/>
      <c r="H679" s="252"/>
      <c r="I679" s="153"/>
      <c r="J679" s="153"/>
      <c r="K679" s="252"/>
      <c r="L679" s="153"/>
      <c r="M679" s="252"/>
      <c r="N679" s="153"/>
      <c r="O679" s="153"/>
      <c r="P679" s="153"/>
      <c r="Q679" s="152"/>
      <c r="R679" s="153"/>
      <c r="S679" s="153"/>
      <c r="T679" s="153"/>
      <c r="U679" s="153"/>
      <c r="V679" s="153"/>
      <c r="W679" s="153"/>
      <c r="X679" s="153"/>
      <c r="Y679" s="153"/>
      <c r="Z679" s="153"/>
      <c r="AA679" s="153"/>
    </row>
    <row r="680" ht="39.75" customHeight="1">
      <c r="A680" s="153"/>
      <c r="B680" s="153"/>
      <c r="C680" s="153"/>
      <c r="D680" s="153"/>
      <c r="E680" s="251"/>
      <c r="F680" s="251"/>
      <c r="G680" s="153"/>
      <c r="H680" s="252"/>
      <c r="I680" s="153"/>
      <c r="J680" s="153"/>
      <c r="K680" s="252"/>
      <c r="L680" s="153"/>
      <c r="M680" s="252"/>
      <c r="N680" s="153"/>
      <c r="O680" s="153"/>
      <c r="P680" s="153"/>
      <c r="Q680" s="152"/>
      <c r="R680" s="153"/>
      <c r="S680" s="153"/>
      <c r="T680" s="153"/>
      <c r="U680" s="153"/>
      <c r="V680" s="153"/>
      <c r="W680" s="153"/>
      <c r="X680" s="153"/>
      <c r="Y680" s="153"/>
      <c r="Z680" s="153"/>
      <c r="AA680" s="153"/>
    </row>
    <row r="681" ht="39.75" customHeight="1">
      <c r="A681" s="153"/>
      <c r="B681" s="153"/>
      <c r="C681" s="153"/>
      <c r="D681" s="153"/>
      <c r="E681" s="251"/>
      <c r="F681" s="251"/>
      <c r="G681" s="153"/>
      <c r="H681" s="252"/>
      <c r="I681" s="153"/>
      <c r="J681" s="153"/>
      <c r="K681" s="252"/>
      <c r="L681" s="153"/>
      <c r="M681" s="252"/>
      <c r="N681" s="153"/>
      <c r="O681" s="153"/>
      <c r="P681" s="153"/>
      <c r="Q681" s="152"/>
      <c r="R681" s="153"/>
      <c r="S681" s="153"/>
      <c r="T681" s="153"/>
      <c r="U681" s="153"/>
      <c r="V681" s="153"/>
      <c r="W681" s="153"/>
      <c r="X681" s="153"/>
      <c r="Y681" s="153"/>
      <c r="Z681" s="153"/>
      <c r="AA681" s="153"/>
    </row>
    <row r="682" ht="39.75" customHeight="1">
      <c r="A682" s="153"/>
      <c r="B682" s="153"/>
      <c r="C682" s="153"/>
      <c r="D682" s="153"/>
      <c r="E682" s="251"/>
      <c r="F682" s="251"/>
      <c r="G682" s="153"/>
      <c r="H682" s="252"/>
      <c r="I682" s="153"/>
      <c r="J682" s="153"/>
      <c r="K682" s="252"/>
      <c r="L682" s="153"/>
      <c r="M682" s="252"/>
      <c r="N682" s="153"/>
      <c r="O682" s="153"/>
      <c r="P682" s="153"/>
      <c r="Q682" s="152"/>
      <c r="R682" s="153"/>
      <c r="S682" s="153"/>
      <c r="T682" s="153"/>
      <c r="U682" s="153"/>
      <c r="V682" s="153"/>
      <c r="W682" s="153"/>
      <c r="X682" s="153"/>
      <c r="Y682" s="153"/>
      <c r="Z682" s="153"/>
      <c r="AA682" s="153"/>
    </row>
    <row r="683" ht="39.75" customHeight="1">
      <c r="A683" s="153"/>
      <c r="B683" s="153"/>
      <c r="C683" s="153"/>
      <c r="D683" s="153"/>
      <c r="E683" s="251"/>
      <c r="F683" s="251"/>
      <c r="G683" s="153"/>
      <c r="H683" s="252"/>
      <c r="I683" s="153"/>
      <c r="J683" s="153"/>
      <c r="K683" s="252"/>
      <c r="L683" s="153"/>
      <c r="M683" s="252"/>
      <c r="N683" s="153"/>
      <c r="O683" s="153"/>
      <c r="P683" s="153"/>
      <c r="Q683" s="152"/>
      <c r="R683" s="153"/>
      <c r="S683" s="153"/>
      <c r="T683" s="153"/>
      <c r="U683" s="153"/>
      <c r="V683" s="153"/>
      <c r="W683" s="153"/>
      <c r="X683" s="153"/>
      <c r="Y683" s="153"/>
      <c r="Z683" s="153"/>
      <c r="AA683" s="153"/>
    </row>
    <row r="684" ht="39.75" customHeight="1">
      <c r="A684" s="153"/>
      <c r="B684" s="153"/>
      <c r="C684" s="153"/>
      <c r="D684" s="153"/>
      <c r="E684" s="251"/>
      <c r="F684" s="251"/>
      <c r="G684" s="153"/>
      <c r="H684" s="252"/>
      <c r="I684" s="153"/>
      <c r="J684" s="153"/>
      <c r="K684" s="252"/>
      <c r="L684" s="153"/>
      <c r="M684" s="252"/>
      <c r="N684" s="153"/>
      <c r="O684" s="153"/>
      <c r="P684" s="153"/>
      <c r="Q684" s="152"/>
      <c r="R684" s="153"/>
      <c r="S684" s="153"/>
      <c r="T684" s="153"/>
      <c r="U684" s="153"/>
      <c r="V684" s="153"/>
      <c r="W684" s="153"/>
      <c r="X684" s="153"/>
      <c r="Y684" s="153"/>
      <c r="Z684" s="153"/>
      <c r="AA684" s="153"/>
    </row>
    <row r="685" ht="39.75" customHeight="1">
      <c r="A685" s="153"/>
      <c r="B685" s="153"/>
      <c r="C685" s="153"/>
      <c r="D685" s="153"/>
      <c r="E685" s="251"/>
      <c r="F685" s="251"/>
      <c r="G685" s="153"/>
      <c r="H685" s="252"/>
      <c r="I685" s="153"/>
      <c r="J685" s="153"/>
      <c r="K685" s="252"/>
      <c r="L685" s="153"/>
      <c r="M685" s="252"/>
      <c r="N685" s="153"/>
      <c r="O685" s="153"/>
      <c r="P685" s="153"/>
      <c r="Q685" s="152"/>
      <c r="R685" s="153"/>
      <c r="S685" s="153"/>
      <c r="T685" s="153"/>
      <c r="U685" s="153"/>
      <c r="V685" s="153"/>
      <c r="W685" s="153"/>
      <c r="X685" s="153"/>
      <c r="Y685" s="153"/>
      <c r="Z685" s="153"/>
      <c r="AA685" s="153"/>
    </row>
    <row r="686" ht="39.75" customHeight="1">
      <c r="A686" s="153"/>
      <c r="B686" s="153"/>
      <c r="C686" s="153"/>
      <c r="D686" s="153"/>
      <c r="E686" s="251"/>
      <c r="F686" s="251"/>
      <c r="G686" s="153"/>
      <c r="H686" s="252"/>
      <c r="I686" s="153"/>
      <c r="J686" s="153"/>
      <c r="K686" s="252"/>
      <c r="L686" s="153"/>
      <c r="M686" s="252"/>
      <c r="N686" s="153"/>
      <c r="O686" s="153"/>
      <c r="P686" s="153"/>
      <c r="Q686" s="152"/>
      <c r="R686" s="153"/>
      <c r="S686" s="153"/>
      <c r="T686" s="153"/>
      <c r="U686" s="153"/>
      <c r="V686" s="153"/>
      <c r="W686" s="153"/>
      <c r="X686" s="153"/>
      <c r="Y686" s="153"/>
      <c r="Z686" s="153"/>
      <c r="AA686" s="153"/>
    </row>
    <row r="687" ht="39.75" customHeight="1">
      <c r="A687" s="153"/>
      <c r="B687" s="153"/>
      <c r="C687" s="153"/>
      <c r="D687" s="153"/>
      <c r="E687" s="251"/>
      <c r="F687" s="251"/>
      <c r="G687" s="153"/>
      <c r="H687" s="252"/>
      <c r="I687" s="153"/>
      <c r="J687" s="153"/>
      <c r="K687" s="252"/>
      <c r="L687" s="153"/>
      <c r="M687" s="252"/>
      <c r="N687" s="153"/>
      <c r="O687" s="153"/>
      <c r="P687" s="153"/>
      <c r="Q687" s="152"/>
      <c r="R687" s="153"/>
      <c r="S687" s="153"/>
      <c r="T687" s="153"/>
      <c r="U687" s="153"/>
      <c r="V687" s="153"/>
      <c r="W687" s="153"/>
      <c r="X687" s="153"/>
      <c r="Y687" s="153"/>
      <c r="Z687" s="153"/>
      <c r="AA687" s="153"/>
    </row>
    <row r="688" ht="39.75" customHeight="1">
      <c r="A688" s="153"/>
      <c r="B688" s="153"/>
      <c r="C688" s="153"/>
      <c r="D688" s="153"/>
      <c r="E688" s="251"/>
      <c r="F688" s="251"/>
      <c r="G688" s="153"/>
      <c r="H688" s="252"/>
      <c r="I688" s="153"/>
      <c r="J688" s="153"/>
      <c r="K688" s="252"/>
      <c r="L688" s="153"/>
      <c r="M688" s="252"/>
      <c r="N688" s="153"/>
      <c r="O688" s="153"/>
      <c r="P688" s="153"/>
      <c r="Q688" s="152"/>
      <c r="R688" s="153"/>
      <c r="S688" s="153"/>
      <c r="T688" s="153"/>
      <c r="U688" s="153"/>
      <c r="V688" s="153"/>
      <c r="W688" s="153"/>
      <c r="X688" s="153"/>
      <c r="Y688" s="153"/>
      <c r="Z688" s="153"/>
      <c r="AA688" s="153"/>
    </row>
    <row r="689" ht="39.75" customHeight="1">
      <c r="A689" s="153"/>
      <c r="B689" s="153"/>
      <c r="C689" s="153"/>
      <c r="D689" s="153"/>
      <c r="E689" s="251"/>
      <c r="F689" s="251"/>
      <c r="G689" s="153"/>
      <c r="H689" s="252"/>
      <c r="I689" s="153"/>
      <c r="J689" s="153"/>
      <c r="K689" s="252"/>
      <c r="L689" s="153"/>
      <c r="M689" s="252"/>
      <c r="N689" s="153"/>
      <c r="O689" s="153"/>
      <c r="P689" s="153"/>
      <c r="Q689" s="152"/>
      <c r="R689" s="153"/>
      <c r="S689" s="153"/>
      <c r="T689" s="153"/>
      <c r="U689" s="153"/>
      <c r="V689" s="153"/>
      <c r="W689" s="153"/>
      <c r="X689" s="153"/>
      <c r="Y689" s="153"/>
      <c r="Z689" s="153"/>
      <c r="AA689" s="153"/>
    </row>
    <row r="690" ht="39.75" customHeight="1">
      <c r="A690" s="153"/>
      <c r="B690" s="153"/>
      <c r="C690" s="153"/>
      <c r="D690" s="153"/>
      <c r="E690" s="251"/>
      <c r="F690" s="251"/>
      <c r="G690" s="153"/>
      <c r="H690" s="252"/>
      <c r="I690" s="153"/>
      <c r="J690" s="153"/>
      <c r="K690" s="252"/>
      <c r="L690" s="153"/>
      <c r="M690" s="252"/>
      <c r="N690" s="153"/>
      <c r="O690" s="153"/>
      <c r="P690" s="153"/>
      <c r="Q690" s="152"/>
      <c r="R690" s="153"/>
      <c r="S690" s="153"/>
      <c r="T690" s="153"/>
      <c r="U690" s="153"/>
      <c r="V690" s="153"/>
      <c r="W690" s="153"/>
      <c r="X690" s="153"/>
      <c r="Y690" s="153"/>
      <c r="Z690" s="153"/>
      <c r="AA690" s="153"/>
    </row>
    <row r="691" ht="39.75" customHeight="1">
      <c r="A691" s="153"/>
      <c r="B691" s="153"/>
      <c r="C691" s="153"/>
      <c r="D691" s="153"/>
      <c r="E691" s="251"/>
      <c r="F691" s="251"/>
      <c r="G691" s="153"/>
      <c r="H691" s="252"/>
      <c r="I691" s="153"/>
      <c r="J691" s="153"/>
      <c r="K691" s="252"/>
      <c r="L691" s="153"/>
      <c r="M691" s="252"/>
      <c r="N691" s="153"/>
      <c r="O691" s="153"/>
      <c r="P691" s="153"/>
      <c r="Q691" s="152"/>
      <c r="R691" s="153"/>
      <c r="S691" s="153"/>
      <c r="T691" s="153"/>
      <c r="U691" s="153"/>
      <c r="V691" s="153"/>
      <c r="W691" s="153"/>
      <c r="X691" s="153"/>
      <c r="Y691" s="153"/>
      <c r="Z691" s="153"/>
      <c r="AA691" s="153"/>
    </row>
    <row r="692" ht="39.75" customHeight="1">
      <c r="A692" s="153"/>
      <c r="B692" s="153"/>
      <c r="C692" s="153"/>
      <c r="D692" s="153"/>
      <c r="E692" s="251"/>
      <c r="F692" s="251"/>
      <c r="G692" s="153"/>
      <c r="H692" s="252"/>
      <c r="I692" s="153"/>
      <c r="J692" s="153"/>
      <c r="K692" s="252"/>
      <c r="L692" s="153"/>
      <c r="M692" s="252"/>
      <c r="N692" s="153"/>
      <c r="O692" s="153"/>
      <c r="P692" s="153"/>
      <c r="Q692" s="152"/>
      <c r="R692" s="153"/>
      <c r="S692" s="153"/>
      <c r="T692" s="153"/>
      <c r="U692" s="153"/>
      <c r="V692" s="153"/>
      <c r="W692" s="153"/>
      <c r="X692" s="153"/>
      <c r="Y692" s="153"/>
      <c r="Z692" s="153"/>
      <c r="AA692" s="153"/>
    </row>
    <row r="693" ht="39.75" customHeight="1">
      <c r="A693" s="153"/>
      <c r="B693" s="153"/>
      <c r="C693" s="153"/>
      <c r="D693" s="153"/>
      <c r="E693" s="251"/>
      <c r="F693" s="251"/>
      <c r="G693" s="153"/>
      <c r="H693" s="252"/>
      <c r="I693" s="153"/>
      <c r="J693" s="153"/>
      <c r="K693" s="252"/>
      <c r="L693" s="153"/>
      <c r="M693" s="252"/>
      <c r="N693" s="153"/>
      <c r="O693" s="153"/>
      <c r="P693" s="153"/>
      <c r="Q693" s="152"/>
      <c r="R693" s="153"/>
      <c r="S693" s="153"/>
      <c r="T693" s="153"/>
      <c r="U693" s="153"/>
      <c r="V693" s="153"/>
      <c r="W693" s="153"/>
      <c r="X693" s="153"/>
      <c r="Y693" s="153"/>
      <c r="Z693" s="153"/>
      <c r="AA693" s="153"/>
    </row>
    <row r="694" ht="39.75" customHeight="1">
      <c r="A694" s="153"/>
      <c r="B694" s="153"/>
      <c r="C694" s="153"/>
      <c r="D694" s="153"/>
      <c r="E694" s="251"/>
      <c r="F694" s="251"/>
      <c r="G694" s="153"/>
      <c r="H694" s="252"/>
      <c r="I694" s="153"/>
      <c r="J694" s="153"/>
      <c r="K694" s="252"/>
      <c r="L694" s="153"/>
      <c r="M694" s="252"/>
      <c r="N694" s="153"/>
      <c r="O694" s="153"/>
      <c r="P694" s="153"/>
      <c r="Q694" s="152"/>
      <c r="R694" s="153"/>
      <c r="S694" s="153"/>
      <c r="T694" s="153"/>
      <c r="U694" s="153"/>
      <c r="V694" s="153"/>
      <c r="W694" s="153"/>
      <c r="X694" s="153"/>
      <c r="Y694" s="153"/>
      <c r="Z694" s="153"/>
      <c r="AA694" s="153"/>
    </row>
    <row r="695" ht="39.75" customHeight="1">
      <c r="A695" s="153"/>
      <c r="B695" s="153"/>
      <c r="C695" s="153"/>
      <c r="D695" s="153"/>
      <c r="E695" s="251"/>
      <c r="F695" s="251"/>
      <c r="G695" s="153"/>
      <c r="H695" s="252"/>
      <c r="I695" s="153"/>
      <c r="J695" s="153"/>
      <c r="K695" s="252"/>
      <c r="L695" s="153"/>
      <c r="M695" s="252"/>
      <c r="N695" s="153"/>
      <c r="O695" s="153"/>
      <c r="P695" s="153"/>
      <c r="Q695" s="152"/>
      <c r="R695" s="153"/>
      <c r="S695" s="153"/>
      <c r="T695" s="153"/>
      <c r="U695" s="153"/>
      <c r="V695" s="153"/>
      <c r="W695" s="153"/>
      <c r="X695" s="153"/>
      <c r="Y695" s="153"/>
      <c r="Z695" s="153"/>
      <c r="AA695" s="153"/>
    </row>
    <row r="696" ht="39.75" customHeight="1">
      <c r="A696" s="153"/>
      <c r="B696" s="153"/>
      <c r="C696" s="153"/>
      <c r="D696" s="153"/>
      <c r="E696" s="251"/>
      <c r="F696" s="251"/>
      <c r="G696" s="153"/>
      <c r="H696" s="252"/>
      <c r="I696" s="153"/>
      <c r="J696" s="153"/>
      <c r="K696" s="252"/>
      <c r="L696" s="153"/>
      <c r="M696" s="252"/>
      <c r="N696" s="153"/>
      <c r="O696" s="153"/>
      <c r="P696" s="153"/>
      <c r="Q696" s="152"/>
      <c r="R696" s="153"/>
      <c r="S696" s="153"/>
      <c r="T696" s="153"/>
      <c r="U696" s="153"/>
      <c r="V696" s="153"/>
      <c r="W696" s="153"/>
      <c r="X696" s="153"/>
      <c r="Y696" s="153"/>
      <c r="Z696" s="153"/>
      <c r="AA696" s="153"/>
    </row>
    <row r="697" ht="39.75" customHeight="1">
      <c r="A697" s="153"/>
      <c r="B697" s="153"/>
      <c r="C697" s="153"/>
      <c r="D697" s="153"/>
      <c r="E697" s="251"/>
      <c r="F697" s="251"/>
      <c r="G697" s="153"/>
      <c r="H697" s="252"/>
      <c r="I697" s="153"/>
      <c r="J697" s="153"/>
      <c r="K697" s="252"/>
      <c r="L697" s="153"/>
      <c r="M697" s="252"/>
      <c r="N697" s="153"/>
      <c r="O697" s="153"/>
      <c r="P697" s="153"/>
      <c r="Q697" s="152"/>
      <c r="R697" s="153"/>
      <c r="S697" s="153"/>
      <c r="T697" s="153"/>
      <c r="U697" s="153"/>
      <c r="V697" s="153"/>
      <c r="W697" s="153"/>
      <c r="X697" s="153"/>
      <c r="Y697" s="153"/>
      <c r="Z697" s="153"/>
      <c r="AA697" s="153"/>
    </row>
    <row r="698" ht="39.75" customHeight="1">
      <c r="A698" s="153"/>
      <c r="B698" s="153"/>
      <c r="C698" s="153"/>
      <c r="D698" s="153"/>
      <c r="E698" s="251"/>
      <c r="F698" s="251"/>
      <c r="G698" s="153"/>
      <c r="H698" s="252"/>
      <c r="I698" s="153"/>
      <c r="J698" s="153"/>
      <c r="K698" s="252"/>
      <c r="L698" s="153"/>
      <c r="M698" s="252"/>
      <c r="N698" s="153"/>
      <c r="O698" s="153"/>
      <c r="P698" s="153"/>
      <c r="Q698" s="152"/>
      <c r="R698" s="153"/>
      <c r="S698" s="153"/>
      <c r="T698" s="153"/>
      <c r="U698" s="153"/>
      <c r="V698" s="153"/>
      <c r="W698" s="153"/>
      <c r="X698" s="153"/>
      <c r="Y698" s="153"/>
      <c r="Z698" s="153"/>
      <c r="AA698" s="153"/>
    </row>
    <row r="699" ht="39.75" customHeight="1">
      <c r="A699" s="153"/>
      <c r="B699" s="153"/>
      <c r="C699" s="153"/>
      <c r="D699" s="153"/>
      <c r="E699" s="251"/>
      <c r="F699" s="251"/>
      <c r="G699" s="153"/>
      <c r="H699" s="252"/>
      <c r="I699" s="153"/>
      <c r="J699" s="153"/>
      <c r="K699" s="252"/>
      <c r="L699" s="153"/>
      <c r="M699" s="252"/>
      <c r="N699" s="153"/>
      <c r="O699" s="153"/>
      <c r="P699" s="153"/>
      <c r="Q699" s="152"/>
      <c r="R699" s="153"/>
      <c r="S699" s="153"/>
      <c r="T699" s="153"/>
      <c r="U699" s="153"/>
      <c r="V699" s="153"/>
      <c r="W699" s="153"/>
      <c r="X699" s="153"/>
      <c r="Y699" s="153"/>
      <c r="Z699" s="153"/>
      <c r="AA699" s="153"/>
    </row>
    <row r="700" ht="39.75" customHeight="1">
      <c r="A700" s="153"/>
      <c r="B700" s="153"/>
      <c r="C700" s="153"/>
      <c r="D700" s="153"/>
      <c r="E700" s="251"/>
      <c r="F700" s="251"/>
      <c r="G700" s="153"/>
      <c r="H700" s="252"/>
      <c r="I700" s="153"/>
      <c r="J700" s="153"/>
      <c r="K700" s="252"/>
      <c r="L700" s="153"/>
      <c r="M700" s="252"/>
      <c r="N700" s="153"/>
      <c r="O700" s="153"/>
      <c r="P700" s="153"/>
      <c r="Q700" s="152"/>
      <c r="R700" s="153"/>
      <c r="S700" s="153"/>
      <c r="T700" s="153"/>
      <c r="U700" s="153"/>
      <c r="V700" s="153"/>
      <c r="W700" s="153"/>
      <c r="X700" s="153"/>
      <c r="Y700" s="153"/>
      <c r="Z700" s="153"/>
      <c r="AA700" s="153"/>
    </row>
    <row r="701" ht="39.75" customHeight="1">
      <c r="A701" s="153"/>
      <c r="B701" s="153"/>
      <c r="C701" s="153"/>
      <c r="D701" s="153"/>
      <c r="E701" s="251"/>
      <c r="F701" s="251"/>
      <c r="G701" s="153"/>
      <c r="H701" s="252"/>
      <c r="I701" s="153"/>
      <c r="J701" s="153"/>
      <c r="K701" s="252"/>
      <c r="L701" s="153"/>
      <c r="M701" s="252"/>
      <c r="N701" s="153"/>
      <c r="O701" s="153"/>
      <c r="P701" s="153"/>
      <c r="Q701" s="152"/>
      <c r="R701" s="153"/>
      <c r="S701" s="153"/>
      <c r="T701" s="153"/>
      <c r="U701" s="153"/>
      <c r="V701" s="153"/>
      <c r="W701" s="153"/>
      <c r="X701" s="153"/>
      <c r="Y701" s="153"/>
      <c r="Z701" s="153"/>
      <c r="AA701" s="153"/>
    </row>
    <row r="702" ht="39.75" customHeight="1">
      <c r="A702" s="153"/>
      <c r="B702" s="153"/>
      <c r="C702" s="153"/>
      <c r="D702" s="153"/>
      <c r="E702" s="251"/>
      <c r="F702" s="251"/>
      <c r="G702" s="153"/>
      <c r="H702" s="252"/>
      <c r="I702" s="153"/>
      <c r="J702" s="153"/>
      <c r="K702" s="252"/>
      <c r="L702" s="153"/>
      <c r="M702" s="252"/>
      <c r="N702" s="153"/>
      <c r="O702" s="153"/>
      <c r="P702" s="153"/>
      <c r="Q702" s="152"/>
      <c r="R702" s="153"/>
      <c r="S702" s="153"/>
      <c r="T702" s="153"/>
      <c r="U702" s="153"/>
      <c r="V702" s="153"/>
      <c r="W702" s="153"/>
      <c r="X702" s="153"/>
      <c r="Y702" s="153"/>
      <c r="Z702" s="153"/>
      <c r="AA702" s="153"/>
    </row>
    <row r="703" ht="39.75" customHeight="1">
      <c r="A703" s="153"/>
      <c r="B703" s="153"/>
      <c r="C703" s="153"/>
      <c r="D703" s="153"/>
      <c r="E703" s="251"/>
      <c r="F703" s="251"/>
      <c r="G703" s="153"/>
      <c r="H703" s="252"/>
      <c r="I703" s="153"/>
      <c r="J703" s="153"/>
      <c r="K703" s="252"/>
      <c r="L703" s="153"/>
      <c r="M703" s="252"/>
      <c r="N703" s="153"/>
      <c r="O703" s="153"/>
      <c r="P703" s="153"/>
      <c r="Q703" s="152"/>
      <c r="R703" s="153"/>
      <c r="S703" s="153"/>
      <c r="T703" s="153"/>
      <c r="U703" s="153"/>
      <c r="V703" s="153"/>
      <c r="W703" s="153"/>
      <c r="X703" s="153"/>
      <c r="Y703" s="153"/>
      <c r="Z703" s="153"/>
      <c r="AA703" s="153"/>
    </row>
    <row r="704" ht="39.75" customHeight="1">
      <c r="A704" s="153"/>
      <c r="B704" s="153"/>
      <c r="C704" s="153"/>
      <c r="D704" s="153"/>
      <c r="E704" s="251"/>
      <c r="F704" s="251"/>
      <c r="G704" s="153"/>
      <c r="H704" s="252"/>
      <c r="I704" s="153"/>
      <c r="J704" s="153"/>
      <c r="K704" s="252"/>
      <c r="L704" s="153"/>
      <c r="M704" s="252"/>
      <c r="N704" s="153"/>
      <c r="O704" s="153"/>
      <c r="P704" s="153"/>
      <c r="Q704" s="152"/>
      <c r="R704" s="153"/>
      <c r="S704" s="153"/>
      <c r="T704" s="153"/>
      <c r="U704" s="153"/>
      <c r="V704" s="153"/>
      <c r="W704" s="153"/>
      <c r="X704" s="153"/>
      <c r="Y704" s="153"/>
      <c r="Z704" s="153"/>
      <c r="AA704" s="153"/>
    </row>
    <row r="705" ht="39.75" customHeight="1">
      <c r="A705" s="153"/>
      <c r="B705" s="153"/>
      <c r="C705" s="153"/>
      <c r="D705" s="153"/>
      <c r="E705" s="251"/>
      <c r="F705" s="251"/>
      <c r="G705" s="153"/>
      <c r="H705" s="252"/>
      <c r="I705" s="153"/>
      <c r="J705" s="153"/>
      <c r="K705" s="252"/>
      <c r="L705" s="153"/>
      <c r="M705" s="252"/>
      <c r="N705" s="153"/>
      <c r="O705" s="153"/>
      <c r="P705" s="153"/>
      <c r="Q705" s="152"/>
      <c r="R705" s="153"/>
      <c r="S705" s="153"/>
      <c r="T705" s="153"/>
      <c r="U705" s="153"/>
      <c r="V705" s="153"/>
      <c r="W705" s="153"/>
      <c r="X705" s="153"/>
      <c r="Y705" s="153"/>
      <c r="Z705" s="153"/>
      <c r="AA705" s="153"/>
    </row>
    <row r="706" ht="39.75" customHeight="1">
      <c r="A706" s="153"/>
      <c r="B706" s="153"/>
      <c r="C706" s="153"/>
      <c r="D706" s="153"/>
      <c r="E706" s="251"/>
      <c r="F706" s="251"/>
      <c r="G706" s="153"/>
      <c r="H706" s="252"/>
      <c r="I706" s="153"/>
      <c r="J706" s="153"/>
      <c r="K706" s="252"/>
      <c r="L706" s="153"/>
      <c r="M706" s="252"/>
      <c r="N706" s="153"/>
      <c r="O706" s="153"/>
      <c r="P706" s="153"/>
      <c r="Q706" s="152"/>
      <c r="R706" s="153"/>
      <c r="S706" s="153"/>
      <c r="T706" s="153"/>
      <c r="U706" s="153"/>
      <c r="V706" s="153"/>
      <c r="W706" s="153"/>
      <c r="X706" s="153"/>
      <c r="Y706" s="153"/>
      <c r="Z706" s="153"/>
      <c r="AA706" s="153"/>
    </row>
    <row r="707" ht="39.75" customHeight="1">
      <c r="A707" s="153"/>
      <c r="B707" s="153"/>
      <c r="C707" s="153"/>
      <c r="D707" s="153"/>
      <c r="E707" s="251"/>
      <c r="F707" s="251"/>
      <c r="G707" s="153"/>
      <c r="H707" s="252"/>
      <c r="I707" s="153"/>
      <c r="J707" s="153"/>
      <c r="K707" s="252"/>
      <c r="L707" s="153"/>
      <c r="M707" s="252"/>
      <c r="N707" s="153"/>
      <c r="O707" s="153"/>
      <c r="P707" s="153"/>
      <c r="Q707" s="152"/>
      <c r="R707" s="153"/>
      <c r="S707" s="153"/>
      <c r="T707" s="153"/>
      <c r="U707" s="153"/>
      <c r="V707" s="153"/>
      <c r="W707" s="153"/>
      <c r="X707" s="153"/>
      <c r="Y707" s="153"/>
      <c r="Z707" s="153"/>
      <c r="AA707" s="153"/>
    </row>
    <row r="708" ht="39.75" customHeight="1">
      <c r="A708" s="153"/>
      <c r="B708" s="153"/>
      <c r="C708" s="153"/>
      <c r="D708" s="153"/>
      <c r="E708" s="251"/>
      <c r="F708" s="251"/>
      <c r="G708" s="153"/>
      <c r="H708" s="252"/>
      <c r="I708" s="153"/>
      <c r="J708" s="153"/>
      <c r="K708" s="252"/>
      <c r="L708" s="153"/>
      <c r="M708" s="252"/>
      <c r="N708" s="153"/>
      <c r="O708" s="153"/>
      <c r="P708" s="153"/>
      <c r="Q708" s="152"/>
      <c r="R708" s="153"/>
      <c r="S708" s="153"/>
      <c r="T708" s="153"/>
      <c r="U708" s="153"/>
      <c r="V708" s="153"/>
      <c r="W708" s="153"/>
      <c r="X708" s="153"/>
      <c r="Y708" s="153"/>
      <c r="Z708" s="153"/>
      <c r="AA708" s="153"/>
    </row>
    <row r="709" ht="39.75" customHeight="1">
      <c r="A709" s="153"/>
      <c r="B709" s="153"/>
      <c r="C709" s="153"/>
      <c r="D709" s="153"/>
      <c r="E709" s="251"/>
      <c r="F709" s="251"/>
      <c r="G709" s="153"/>
      <c r="H709" s="252"/>
      <c r="I709" s="153"/>
      <c r="J709" s="153"/>
      <c r="K709" s="252"/>
      <c r="L709" s="153"/>
      <c r="M709" s="252"/>
      <c r="N709" s="153"/>
      <c r="O709" s="153"/>
      <c r="P709" s="153"/>
      <c r="Q709" s="152"/>
      <c r="R709" s="153"/>
      <c r="S709" s="153"/>
      <c r="T709" s="153"/>
      <c r="U709" s="153"/>
      <c r="V709" s="153"/>
      <c r="W709" s="153"/>
      <c r="X709" s="153"/>
      <c r="Y709" s="153"/>
      <c r="Z709" s="153"/>
      <c r="AA709" s="153"/>
    </row>
    <row r="710" ht="39.75" customHeight="1">
      <c r="A710" s="153"/>
      <c r="B710" s="153"/>
      <c r="C710" s="153"/>
      <c r="D710" s="153"/>
      <c r="E710" s="251"/>
      <c r="F710" s="251"/>
      <c r="G710" s="153"/>
      <c r="H710" s="252"/>
      <c r="I710" s="153"/>
      <c r="J710" s="153"/>
      <c r="K710" s="252"/>
      <c r="L710" s="153"/>
      <c r="M710" s="252"/>
      <c r="N710" s="153"/>
      <c r="O710" s="153"/>
      <c r="P710" s="153"/>
      <c r="Q710" s="152"/>
      <c r="R710" s="153"/>
      <c r="S710" s="153"/>
      <c r="T710" s="153"/>
      <c r="U710" s="153"/>
      <c r="V710" s="153"/>
      <c r="W710" s="153"/>
      <c r="X710" s="153"/>
      <c r="Y710" s="153"/>
      <c r="Z710" s="153"/>
      <c r="AA710" s="153"/>
    </row>
    <row r="711" ht="39.75" customHeight="1">
      <c r="A711" s="153"/>
      <c r="B711" s="153"/>
      <c r="C711" s="153"/>
      <c r="D711" s="153"/>
      <c r="E711" s="251"/>
      <c r="F711" s="251"/>
      <c r="G711" s="153"/>
      <c r="H711" s="252"/>
      <c r="I711" s="153"/>
      <c r="J711" s="153"/>
      <c r="K711" s="252"/>
      <c r="L711" s="153"/>
      <c r="M711" s="252"/>
      <c r="N711" s="153"/>
      <c r="O711" s="153"/>
      <c r="P711" s="153"/>
      <c r="Q711" s="152"/>
      <c r="R711" s="153"/>
      <c r="S711" s="153"/>
      <c r="T711" s="153"/>
      <c r="U711" s="153"/>
      <c r="V711" s="153"/>
      <c r="W711" s="153"/>
      <c r="X711" s="153"/>
      <c r="Y711" s="153"/>
      <c r="Z711" s="153"/>
      <c r="AA711" s="153"/>
    </row>
    <row r="712" ht="39.75" customHeight="1">
      <c r="A712" s="153"/>
      <c r="B712" s="153"/>
      <c r="C712" s="153"/>
      <c r="D712" s="153"/>
      <c r="E712" s="251"/>
      <c r="F712" s="251"/>
      <c r="G712" s="153"/>
      <c r="H712" s="252"/>
      <c r="I712" s="153"/>
      <c r="J712" s="153"/>
      <c r="K712" s="252"/>
      <c r="L712" s="153"/>
      <c r="M712" s="252"/>
      <c r="N712" s="153"/>
      <c r="O712" s="153"/>
      <c r="P712" s="153"/>
      <c r="Q712" s="152"/>
      <c r="R712" s="153"/>
      <c r="S712" s="153"/>
      <c r="T712" s="153"/>
      <c r="U712" s="153"/>
      <c r="V712" s="153"/>
      <c r="W712" s="153"/>
      <c r="X712" s="153"/>
      <c r="Y712" s="153"/>
      <c r="Z712" s="153"/>
      <c r="AA712" s="153"/>
    </row>
    <row r="713" ht="39.75" customHeight="1">
      <c r="A713" s="153"/>
      <c r="B713" s="153"/>
      <c r="C713" s="153"/>
      <c r="D713" s="153"/>
      <c r="E713" s="251"/>
      <c r="F713" s="251"/>
      <c r="G713" s="153"/>
      <c r="H713" s="252"/>
      <c r="I713" s="153"/>
      <c r="J713" s="153"/>
      <c r="K713" s="252"/>
      <c r="L713" s="153"/>
      <c r="M713" s="252"/>
      <c r="N713" s="153"/>
      <c r="O713" s="153"/>
      <c r="P713" s="153"/>
      <c r="Q713" s="152"/>
      <c r="R713" s="153"/>
      <c r="S713" s="153"/>
      <c r="T713" s="153"/>
      <c r="U713" s="153"/>
      <c r="V713" s="153"/>
      <c r="W713" s="153"/>
      <c r="X713" s="153"/>
      <c r="Y713" s="153"/>
      <c r="Z713" s="153"/>
      <c r="AA713" s="153"/>
    </row>
    <row r="714" ht="39.75" customHeight="1">
      <c r="A714" s="153"/>
      <c r="B714" s="153"/>
      <c r="C714" s="153"/>
      <c r="D714" s="153"/>
      <c r="E714" s="251"/>
      <c r="F714" s="251"/>
      <c r="G714" s="153"/>
      <c r="H714" s="252"/>
      <c r="I714" s="153"/>
      <c r="J714" s="153"/>
      <c r="K714" s="252"/>
      <c r="L714" s="153"/>
      <c r="M714" s="252"/>
      <c r="N714" s="153"/>
      <c r="O714" s="153"/>
      <c r="P714" s="153"/>
      <c r="Q714" s="152"/>
      <c r="R714" s="153"/>
      <c r="S714" s="153"/>
      <c r="T714" s="153"/>
      <c r="U714" s="153"/>
      <c r="V714" s="153"/>
      <c r="W714" s="153"/>
      <c r="X714" s="153"/>
      <c r="Y714" s="153"/>
      <c r="Z714" s="153"/>
      <c r="AA714" s="153"/>
    </row>
    <row r="715" ht="39.75" customHeight="1">
      <c r="A715" s="153"/>
      <c r="B715" s="153"/>
      <c r="C715" s="153"/>
      <c r="D715" s="153"/>
      <c r="E715" s="251"/>
      <c r="F715" s="251"/>
      <c r="G715" s="153"/>
      <c r="H715" s="252"/>
      <c r="I715" s="153"/>
      <c r="J715" s="153"/>
      <c r="K715" s="252"/>
      <c r="L715" s="153"/>
      <c r="M715" s="252"/>
      <c r="N715" s="153"/>
      <c r="O715" s="153"/>
      <c r="P715" s="153"/>
      <c r="Q715" s="152"/>
      <c r="R715" s="153"/>
      <c r="S715" s="153"/>
      <c r="T715" s="153"/>
      <c r="U715" s="153"/>
      <c r="V715" s="153"/>
      <c r="W715" s="153"/>
      <c r="X715" s="153"/>
      <c r="Y715" s="153"/>
      <c r="Z715" s="153"/>
      <c r="AA715" s="153"/>
    </row>
    <row r="716" ht="39.75" customHeight="1">
      <c r="A716" s="153"/>
      <c r="B716" s="153"/>
      <c r="C716" s="153"/>
      <c r="D716" s="153"/>
      <c r="E716" s="251"/>
      <c r="F716" s="251"/>
      <c r="G716" s="153"/>
      <c r="H716" s="252"/>
      <c r="I716" s="153"/>
      <c r="J716" s="153"/>
      <c r="K716" s="252"/>
      <c r="L716" s="153"/>
      <c r="M716" s="252"/>
      <c r="N716" s="153"/>
      <c r="O716" s="153"/>
      <c r="P716" s="153"/>
      <c r="Q716" s="152"/>
      <c r="R716" s="153"/>
      <c r="S716" s="153"/>
      <c r="T716" s="153"/>
      <c r="U716" s="153"/>
      <c r="V716" s="153"/>
      <c r="W716" s="153"/>
      <c r="X716" s="153"/>
      <c r="Y716" s="153"/>
      <c r="Z716" s="153"/>
      <c r="AA716" s="153"/>
    </row>
    <row r="717" ht="39.75" customHeight="1">
      <c r="A717" s="153"/>
      <c r="B717" s="153"/>
      <c r="C717" s="153"/>
      <c r="D717" s="153"/>
      <c r="E717" s="251"/>
      <c r="F717" s="251"/>
      <c r="G717" s="153"/>
      <c r="H717" s="252"/>
      <c r="I717" s="153"/>
      <c r="J717" s="153"/>
      <c r="K717" s="252"/>
      <c r="L717" s="153"/>
      <c r="M717" s="252"/>
      <c r="N717" s="153"/>
      <c r="O717" s="153"/>
      <c r="P717" s="153"/>
      <c r="Q717" s="152"/>
      <c r="R717" s="153"/>
      <c r="S717" s="153"/>
      <c r="T717" s="153"/>
      <c r="U717" s="153"/>
      <c r="V717" s="153"/>
      <c r="W717" s="153"/>
      <c r="X717" s="153"/>
      <c r="Y717" s="153"/>
      <c r="Z717" s="153"/>
      <c r="AA717" s="153"/>
    </row>
    <row r="718" ht="39.75" customHeight="1">
      <c r="A718" s="153"/>
      <c r="B718" s="153"/>
      <c r="C718" s="153"/>
      <c r="D718" s="153"/>
      <c r="E718" s="251"/>
      <c r="F718" s="251"/>
      <c r="G718" s="153"/>
      <c r="H718" s="252"/>
      <c r="I718" s="153"/>
      <c r="J718" s="153"/>
      <c r="K718" s="252"/>
      <c r="L718" s="153"/>
      <c r="M718" s="252"/>
      <c r="N718" s="153"/>
      <c r="O718" s="153"/>
      <c r="P718" s="153"/>
      <c r="Q718" s="152"/>
      <c r="R718" s="153"/>
      <c r="S718" s="153"/>
      <c r="T718" s="153"/>
      <c r="U718" s="153"/>
      <c r="V718" s="153"/>
      <c r="W718" s="153"/>
      <c r="X718" s="153"/>
      <c r="Y718" s="153"/>
      <c r="Z718" s="153"/>
      <c r="AA718" s="153"/>
    </row>
    <row r="719" ht="39.75" customHeight="1">
      <c r="A719" s="153"/>
      <c r="B719" s="153"/>
      <c r="C719" s="153"/>
      <c r="D719" s="153"/>
      <c r="E719" s="251"/>
      <c r="F719" s="251"/>
      <c r="G719" s="153"/>
      <c r="H719" s="252"/>
      <c r="I719" s="153"/>
      <c r="J719" s="153"/>
      <c r="K719" s="252"/>
      <c r="L719" s="153"/>
      <c r="M719" s="252"/>
      <c r="N719" s="153"/>
      <c r="O719" s="153"/>
      <c r="P719" s="153"/>
      <c r="Q719" s="152"/>
      <c r="R719" s="153"/>
      <c r="S719" s="153"/>
      <c r="T719" s="153"/>
      <c r="U719" s="153"/>
      <c r="V719" s="153"/>
      <c r="W719" s="153"/>
      <c r="X719" s="153"/>
      <c r="Y719" s="153"/>
      <c r="Z719" s="153"/>
      <c r="AA719" s="153"/>
    </row>
    <row r="720" ht="39.75" customHeight="1">
      <c r="A720" s="153"/>
      <c r="B720" s="153"/>
      <c r="C720" s="153"/>
      <c r="D720" s="153"/>
      <c r="E720" s="251"/>
      <c r="F720" s="251"/>
      <c r="G720" s="153"/>
      <c r="H720" s="252"/>
      <c r="I720" s="153"/>
      <c r="J720" s="153"/>
      <c r="K720" s="252"/>
      <c r="L720" s="153"/>
      <c r="M720" s="252"/>
      <c r="N720" s="153"/>
      <c r="O720" s="153"/>
      <c r="P720" s="153"/>
      <c r="Q720" s="152"/>
      <c r="R720" s="153"/>
      <c r="S720" s="153"/>
      <c r="T720" s="153"/>
      <c r="U720" s="153"/>
      <c r="V720" s="153"/>
      <c r="W720" s="153"/>
      <c r="X720" s="153"/>
      <c r="Y720" s="153"/>
      <c r="Z720" s="153"/>
      <c r="AA720" s="153"/>
    </row>
    <row r="721" ht="39.75" customHeight="1">
      <c r="A721" s="153"/>
      <c r="B721" s="153"/>
      <c r="C721" s="153"/>
      <c r="D721" s="153"/>
      <c r="E721" s="251"/>
      <c r="F721" s="251"/>
      <c r="G721" s="153"/>
      <c r="H721" s="252"/>
      <c r="I721" s="153"/>
      <c r="J721" s="153"/>
      <c r="K721" s="252"/>
      <c r="L721" s="153"/>
      <c r="M721" s="252"/>
      <c r="N721" s="153"/>
      <c r="O721" s="153"/>
      <c r="P721" s="153"/>
      <c r="Q721" s="152"/>
      <c r="R721" s="153"/>
      <c r="S721" s="153"/>
      <c r="T721" s="153"/>
      <c r="U721" s="153"/>
      <c r="V721" s="153"/>
      <c r="W721" s="153"/>
      <c r="X721" s="153"/>
      <c r="Y721" s="153"/>
      <c r="Z721" s="153"/>
      <c r="AA721" s="153"/>
    </row>
    <row r="722" ht="39.75" customHeight="1">
      <c r="A722" s="153"/>
      <c r="B722" s="153"/>
      <c r="C722" s="153"/>
      <c r="D722" s="153"/>
      <c r="E722" s="251"/>
      <c r="F722" s="251"/>
      <c r="G722" s="153"/>
      <c r="H722" s="252"/>
      <c r="I722" s="153"/>
      <c r="J722" s="153"/>
      <c r="K722" s="252"/>
      <c r="L722" s="153"/>
      <c r="M722" s="252"/>
      <c r="N722" s="153"/>
      <c r="O722" s="153"/>
      <c r="P722" s="153"/>
      <c r="Q722" s="152"/>
      <c r="R722" s="153"/>
      <c r="S722" s="153"/>
      <c r="T722" s="153"/>
      <c r="U722" s="153"/>
      <c r="V722" s="153"/>
      <c r="W722" s="153"/>
      <c r="X722" s="153"/>
      <c r="Y722" s="153"/>
      <c r="Z722" s="153"/>
      <c r="AA722" s="153"/>
    </row>
    <row r="723" ht="39.75" customHeight="1">
      <c r="A723" s="153"/>
      <c r="B723" s="153"/>
      <c r="C723" s="153"/>
      <c r="D723" s="153"/>
      <c r="E723" s="251"/>
      <c r="F723" s="251"/>
      <c r="G723" s="153"/>
      <c r="H723" s="252"/>
      <c r="I723" s="153"/>
      <c r="J723" s="153"/>
      <c r="K723" s="252"/>
      <c r="L723" s="153"/>
      <c r="M723" s="252"/>
      <c r="N723" s="153"/>
      <c r="O723" s="153"/>
      <c r="P723" s="153"/>
      <c r="Q723" s="152"/>
      <c r="R723" s="153"/>
      <c r="S723" s="153"/>
      <c r="T723" s="153"/>
      <c r="U723" s="153"/>
      <c r="V723" s="153"/>
      <c r="W723" s="153"/>
      <c r="X723" s="153"/>
      <c r="Y723" s="153"/>
      <c r="Z723" s="153"/>
      <c r="AA723" s="153"/>
    </row>
    <row r="724" ht="39.75" customHeight="1">
      <c r="A724" s="153"/>
      <c r="B724" s="153"/>
      <c r="C724" s="153"/>
      <c r="D724" s="153"/>
      <c r="E724" s="251"/>
      <c r="F724" s="251"/>
      <c r="G724" s="153"/>
      <c r="H724" s="252"/>
      <c r="I724" s="153"/>
      <c r="J724" s="153"/>
      <c r="K724" s="252"/>
      <c r="L724" s="153"/>
      <c r="M724" s="252"/>
      <c r="N724" s="153"/>
      <c r="O724" s="153"/>
      <c r="P724" s="153"/>
      <c r="Q724" s="152"/>
      <c r="R724" s="153"/>
      <c r="S724" s="153"/>
      <c r="T724" s="153"/>
      <c r="U724" s="153"/>
      <c r="V724" s="153"/>
      <c r="W724" s="153"/>
      <c r="X724" s="153"/>
      <c r="Y724" s="153"/>
      <c r="Z724" s="153"/>
      <c r="AA724" s="153"/>
    </row>
    <row r="725" ht="39.75" customHeight="1">
      <c r="A725" s="153"/>
      <c r="B725" s="153"/>
      <c r="C725" s="153"/>
      <c r="D725" s="153"/>
      <c r="E725" s="251"/>
      <c r="F725" s="251"/>
      <c r="G725" s="153"/>
      <c r="H725" s="252"/>
      <c r="I725" s="153"/>
      <c r="J725" s="153"/>
      <c r="K725" s="252"/>
      <c r="L725" s="153"/>
      <c r="M725" s="252"/>
      <c r="N725" s="153"/>
      <c r="O725" s="153"/>
      <c r="P725" s="153"/>
      <c r="Q725" s="152"/>
      <c r="R725" s="153"/>
      <c r="S725" s="153"/>
      <c r="T725" s="153"/>
      <c r="U725" s="153"/>
      <c r="V725" s="153"/>
      <c r="W725" s="153"/>
      <c r="X725" s="153"/>
      <c r="Y725" s="153"/>
      <c r="Z725" s="153"/>
      <c r="AA725" s="153"/>
    </row>
    <row r="726" ht="39.75" customHeight="1">
      <c r="A726" s="153"/>
      <c r="B726" s="153"/>
      <c r="C726" s="153"/>
      <c r="D726" s="153"/>
      <c r="E726" s="251"/>
      <c r="F726" s="251"/>
      <c r="G726" s="153"/>
      <c r="H726" s="252"/>
      <c r="I726" s="153"/>
      <c r="J726" s="153"/>
      <c r="K726" s="252"/>
      <c r="L726" s="153"/>
      <c r="M726" s="252"/>
      <c r="N726" s="153"/>
      <c r="O726" s="153"/>
      <c r="P726" s="153"/>
      <c r="Q726" s="152"/>
      <c r="R726" s="153"/>
      <c r="S726" s="153"/>
      <c r="T726" s="153"/>
      <c r="U726" s="153"/>
      <c r="V726" s="153"/>
      <c r="W726" s="153"/>
      <c r="X726" s="153"/>
      <c r="Y726" s="153"/>
      <c r="Z726" s="153"/>
      <c r="AA726" s="153"/>
    </row>
    <row r="727" ht="39.75" customHeight="1">
      <c r="A727" s="153"/>
      <c r="B727" s="153"/>
      <c r="C727" s="153"/>
      <c r="D727" s="153"/>
      <c r="E727" s="251"/>
      <c r="F727" s="251"/>
      <c r="G727" s="153"/>
      <c r="H727" s="252"/>
      <c r="I727" s="153"/>
      <c r="J727" s="153"/>
      <c r="K727" s="252"/>
      <c r="L727" s="153"/>
      <c r="M727" s="252"/>
      <c r="N727" s="153"/>
      <c r="O727" s="153"/>
      <c r="P727" s="153"/>
      <c r="Q727" s="152"/>
      <c r="R727" s="153"/>
      <c r="S727" s="153"/>
      <c r="T727" s="153"/>
      <c r="U727" s="153"/>
      <c r="V727" s="153"/>
      <c r="W727" s="153"/>
      <c r="X727" s="153"/>
      <c r="Y727" s="153"/>
      <c r="Z727" s="153"/>
      <c r="AA727" s="153"/>
    </row>
    <row r="728" ht="39.75" customHeight="1">
      <c r="A728" s="153"/>
      <c r="B728" s="153"/>
      <c r="C728" s="153"/>
      <c r="D728" s="153"/>
      <c r="E728" s="251"/>
      <c r="F728" s="251"/>
      <c r="G728" s="153"/>
      <c r="H728" s="252"/>
      <c r="I728" s="153"/>
      <c r="J728" s="153"/>
      <c r="K728" s="252"/>
      <c r="L728" s="153"/>
      <c r="M728" s="252"/>
      <c r="N728" s="153"/>
      <c r="O728" s="153"/>
      <c r="P728" s="153"/>
      <c r="Q728" s="152"/>
      <c r="R728" s="153"/>
      <c r="S728" s="153"/>
      <c r="T728" s="153"/>
      <c r="U728" s="153"/>
      <c r="V728" s="153"/>
      <c r="W728" s="153"/>
      <c r="X728" s="153"/>
      <c r="Y728" s="153"/>
      <c r="Z728" s="153"/>
      <c r="AA728" s="153"/>
    </row>
    <row r="729" ht="39.75" customHeight="1">
      <c r="A729" s="153"/>
      <c r="B729" s="153"/>
      <c r="C729" s="153"/>
      <c r="D729" s="153"/>
      <c r="E729" s="251"/>
      <c r="F729" s="251"/>
      <c r="G729" s="153"/>
      <c r="H729" s="252"/>
      <c r="I729" s="153"/>
      <c r="J729" s="153"/>
      <c r="K729" s="252"/>
      <c r="L729" s="153"/>
      <c r="M729" s="252"/>
      <c r="N729" s="153"/>
      <c r="O729" s="153"/>
      <c r="P729" s="153"/>
      <c r="Q729" s="152"/>
      <c r="R729" s="153"/>
      <c r="S729" s="153"/>
      <c r="T729" s="153"/>
      <c r="U729" s="153"/>
      <c r="V729" s="153"/>
      <c r="W729" s="153"/>
      <c r="X729" s="153"/>
      <c r="Y729" s="153"/>
      <c r="Z729" s="153"/>
      <c r="AA729" s="153"/>
    </row>
    <row r="730" ht="39.75" customHeight="1">
      <c r="A730" s="153"/>
      <c r="B730" s="153"/>
      <c r="C730" s="153"/>
      <c r="D730" s="153"/>
      <c r="E730" s="251"/>
      <c r="F730" s="251"/>
      <c r="G730" s="153"/>
      <c r="H730" s="252"/>
      <c r="I730" s="153"/>
      <c r="J730" s="153"/>
      <c r="K730" s="252"/>
      <c r="L730" s="153"/>
      <c r="M730" s="252"/>
      <c r="N730" s="153"/>
      <c r="O730" s="153"/>
      <c r="P730" s="153"/>
      <c r="Q730" s="152"/>
      <c r="R730" s="153"/>
      <c r="S730" s="153"/>
      <c r="T730" s="153"/>
      <c r="U730" s="153"/>
      <c r="V730" s="153"/>
      <c r="W730" s="153"/>
      <c r="X730" s="153"/>
      <c r="Y730" s="153"/>
      <c r="Z730" s="153"/>
      <c r="AA730" s="153"/>
    </row>
    <row r="731" ht="39.75" customHeight="1">
      <c r="A731" s="153"/>
      <c r="B731" s="153"/>
      <c r="C731" s="153"/>
      <c r="D731" s="153"/>
      <c r="E731" s="251"/>
      <c r="F731" s="251"/>
      <c r="G731" s="153"/>
      <c r="H731" s="252"/>
      <c r="I731" s="153"/>
      <c r="J731" s="153"/>
      <c r="K731" s="252"/>
      <c r="L731" s="153"/>
      <c r="M731" s="252"/>
      <c r="N731" s="153"/>
      <c r="O731" s="153"/>
      <c r="P731" s="153"/>
      <c r="Q731" s="152"/>
      <c r="R731" s="153"/>
      <c r="S731" s="153"/>
      <c r="T731" s="153"/>
      <c r="U731" s="153"/>
      <c r="V731" s="153"/>
      <c r="W731" s="153"/>
      <c r="X731" s="153"/>
      <c r="Y731" s="153"/>
      <c r="Z731" s="153"/>
      <c r="AA731" s="153"/>
    </row>
    <row r="732" ht="39.75" customHeight="1">
      <c r="A732" s="153"/>
      <c r="B732" s="153"/>
      <c r="C732" s="153"/>
      <c r="D732" s="153"/>
      <c r="E732" s="251"/>
      <c r="F732" s="251"/>
      <c r="G732" s="153"/>
      <c r="H732" s="252"/>
      <c r="I732" s="153"/>
      <c r="J732" s="153"/>
      <c r="K732" s="252"/>
      <c r="L732" s="153"/>
      <c r="M732" s="252"/>
      <c r="N732" s="153"/>
      <c r="O732" s="153"/>
      <c r="P732" s="153"/>
      <c r="Q732" s="152"/>
      <c r="R732" s="153"/>
      <c r="S732" s="153"/>
      <c r="T732" s="153"/>
      <c r="U732" s="153"/>
      <c r="V732" s="153"/>
      <c r="W732" s="153"/>
      <c r="X732" s="153"/>
      <c r="Y732" s="153"/>
      <c r="Z732" s="153"/>
      <c r="AA732" s="153"/>
    </row>
    <row r="733" ht="39.75" customHeight="1">
      <c r="A733" s="153"/>
      <c r="B733" s="153"/>
      <c r="C733" s="153"/>
      <c r="D733" s="153"/>
      <c r="E733" s="251"/>
      <c r="F733" s="251"/>
      <c r="G733" s="153"/>
      <c r="H733" s="252"/>
      <c r="I733" s="153"/>
      <c r="J733" s="153"/>
      <c r="K733" s="252"/>
      <c r="L733" s="153"/>
      <c r="M733" s="252"/>
      <c r="N733" s="153"/>
      <c r="O733" s="153"/>
      <c r="P733" s="153"/>
      <c r="Q733" s="152"/>
      <c r="R733" s="153"/>
      <c r="S733" s="153"/>
      <c r="T733" s="153"/>
      <c r="U733" s="153"/>
      <c r="V733" s="153"/>
      <c r="W733" s="153"/>
      <c r="X733" s="153"/>
      <c r="Y733" s="153"/>
      <c r="Z733" s="153"/>
      <c r="AA733" s="153"/>
    </row>
    <row r="734" ht="39.75" customHeight="1">
      <c r="A734" s="153"/>
      <c r="B734" s="153"/>
      <c r="C734" s="153"/>
      <c r="D734" s="153"/>
      <c r="E734" s="251"/>
      <c r="F734" s="251"/>
      <c r="G734" s="153"/>
      <c r="H734" s="252"/>
      <c r="I734" s="153"/>
      <c r="J734" s="153"/>
      <c r="K734" s="252"/>
      <c r="L734" s="153"/>
      <c r="M734" s="252"/>
      <c r="N734" s="153"/>
      <c r="O734" s="153"/>
      <c r="P734" s="153"/>
      <c r="Q734" s="152"/>
      <c r="R734" s="153"/>
      <c r="S734" s="153"/>
      <c r="T734" s="153"/>
      <c r="U734" s="153"/>
      <c r="V734" s="153"/>
      <c r="W734" s="153"/>
      <c r="X734" s="153"/>
      <c r="Y734" s="153"/>
      <c r="Z734" s="153"/>
      <c r="AA734" s="153"/>
    </row>
    <row r="735" ht="39.75" customHeight="1">
      <c r="A735" s="153"/>
      <c r="B735" s="153"/>
      <c r="C735" s="153"/>
      <c r="D735" s="153"/>
      <c r="E735" s="251"/>
      <c r="F735" s="251"/>
      <c r="G735" s="153"/>
      <c r="H735" s="252"/>
      <c r="I735" s="153"/>
      <c r="J735" s="153"/>
      <c r="K735" s="252"/>
      <c r="L735" s="153"/>
      <c r="M735" s="252"/>
      <c r="N735" s="153"/>
      <c r="O735" s="153"/>
      <c r="P735" s="153"/>
      <c r="Q735" s="152"/>
      <c r="R735" s="153"/>
      <c r="S735" s="153"/>
      <c r="T735" s="153"/>
      <c r="U735" s="153"/>
      <c r="V735" s="153"/>
      <c r="W735" s="153"/>
      <c r="X735" s="153"/>
      <c r="Y735" s="153"/>
      <c r="Z735" s="153"/>
      <c r="AA735" s="153"/>
    </row>
    <row r="736" ht="39.75" customHeight="1">
      <c r="A736" s="153"/>
      <c r="B736" s="153"/>
      <c r="C736" s="153"/>
      <c r="D736" s="153"/>
      <c r="E736" s="251"/>
      <c r="F736" s="251"/>
      <c r="G736" s="153"/>
      <c r="H736" s="252"/>
      <c r="I736" s="153"/>
      <c r="J736" s="153"/>
      <c r="K736" s="252"/>
      <c r="L736" s="153"/>
      <c r="M736" s="252"/>
      <c r="N736" s="153"/>
      <c r="O736" s="153"/>
      <c r="P736" s="153"/>
      <c r="Q736" s="152"/>
      <c r="R736" s="153"/>
      <c r="S736" s="153"/>
      <c r="T736" s="153"/>
      <c r="U736" s="153"/>
      <c r="V736" s="153"/>
      <c r="W736" s="153"/>
      <c r="X736" s="153"/>
      <c r="Y736" s="153"/>
      <c r="Z736" s="153"/>
      <c r="AA736" s="153"/>
    </row>
    <row r="737" ht="39.75" customHeight="1">
      <c r="A737" s="153"/>
      <c r="B737" s="153"/>
      <c r="C737" s="153"/>
      <c r="D737" s="153"/>
      <c r="E737" s="251"/>
      <c r="F737" s="251"/>
      <c r="G737" s="153"/>
      <c r="H737" s="252"/>
      <c r="I737" s="153"/>
      <c r="J737" s="153"/>
      <c r="K737" s="252"/>
      <c r="L737" s="153"/>
      <c r="M737" s="252"/>
      <c r="N737" s="153"/>
      <c r="O737" s="153"/>
      <c r="P737" s="153"/>
      <c r="Q737" s="152"/>
      <c r="R737" s="153"/>
      <c r="S737" s="153"/>
      <c r="T737" s="153"/>
      <c r="U737" s="153"/>
      <c r="V737" s="153"/>
      <c r="W737" s="153"/>
      <c r="X737" s="153"/>
      <c r="Y737" s="153"/>
      <c r="Z737" s="153"/>
      <c r="AA737" s="153"/>
    </row>
    <row r="738" ht="39.75" customHeight="1">
      <c r="A738" s="153"/>
      <c r="B738" s="153"/>
      <c r="C738" s="153"/>
      <c r="D738" s="153"/>
      <c r="E738" s="251"/>
      <c r="F738" s="251"/>
      <c r="G738" s="153"/>
      <c r="H738" s="252"/>
      <c r="I738" s="153"/>
      <c r="J738" s="153"/>
      <c r="K738" s="252"/>
      <c r="L738" s="153"/>
      <c r="M738" s="252"/>
      <c r="N738" s="153"/>
      <c r="O738" s="153"/>
      <c r="P738" s="153"/>
      <c r="Q738" s="152"/>
      <c r="R738" s="153"/>
      <c r="S738" s="153"/>
      <c r="T738" s="153"/>
      <c r="U738" s="153"/>
      <c r="V738" s="153"/>
      <c r="W738" s="153"/>
      <c r="X738" s="153"/>
      <c r="Y738" s="153"/>
      <c r="Z738" s="153"/>
      <c r="AA738" s="153"/>
    </row>
    <row r="739" ht="39.75" customHeight="1">
      <c r="A739" s="153"/>
      <c r="B739" s="153"/>
      <c r="C739" s="153"/>
      <c r="D739" s="153"/>
      <c r="E739" s="251"/>
      <c r="F739" s="251"/>
      <c r="G739" s="153"/>
      <c r="H739" s="252"/>
      <c r="I739" s="153"/>
      <c r="J739" s="153"/>
      <c r="K739" s="252"/>
      <c r="L739" s="153"/>
      <c r="M739" s="252"/>
      <c r="N739" s="153"/>
      <c r="O739" s="153"/>
      <c r="P739" s="153"/>
      <c r="Q739" s="152"/>
      <c r="R739" s="153"/>
      <c r="S739" s="153"/>
      <c r="T739" s="153"/>
      <c r="U739" s="153"/>
      <c r="V739" s="153"/>
      <c r="W739" s="153"/>
      <c r="X739" s="153"/>
      <c r="Y739" s="153"/>
      <c r="Z739" s="153"/>
      <c r="AA739" s="153"/>
    </row>
    <row r="740" ht="39.75" customHeight="1">
      <c r="A740" s="153"/>
      <c r="B740" s="153"/>
      <c r="C740" s="153"/>
      <c r="D740" s="153"/>
      <c r="E740" s="251"/>
      <c r="F740" s="251"/>
      <c r="G740" s="153"/>
      <c r="H740" s="252"/>
      <c r="I740" s="153"/>
      <c r="J740" s="153"/>
      <c r="K740" s="252"/>
      <c r="L740" s="153"/>
      <c r="M740" s="252"/>
      <c r="N740" s="153"/>
      <c r="O740" s="153"/>
      <c r="P740" s="153"/>
      <c r="Q740" s="152"/>
      <c r="R740" s="153"/>
      <c r="S740" s="153"/>
      <c r="T740" s="153"/>
      <c r="U740" s="153"/>
      <c r="V740" s="153"/>
      <c r="W740" s="153"/>
      <c r="X740" s="153"/>
      <c r="Y740" s="153"/>
      <c r="Z740" s="153"/>
      <c r="AA740" s="153"/>
    </row>
    <row r="741" ht="39.75" customHeight="1">
      <c r="A741" s="153"/>
      <c r="B741" s="153"/>
      <c r="C741" s="153"/>
      <c r="D741" s="153"/>
      <c r="E741" s="251"/>
      <c r="F741" s="251"/>
      <c r="G741" s="153"/>
      <c r="H741" s="252"/>
      <c r="I741" s="153"/>
      <c r="J741" s="153"/>
      <c r="K741" s="252"/>
      <c r="L741" s="153"/>
      <c r="M741" s="252"/>
      <c r="N741" s="153"/>
      <c r="O741" s="153"/>
      <c r="P741" s="153"/>
      <c r="Q741" s="152"/>
      <c r="R741" s="153"/>
      <c r="S741" s="153"/>
      <c r="T741" s="153"/>
      <c r="U741" s="153"/>
      <c r="V741" s="153"/>
      <c r="W741" s="153"/>
      <c r="X741" s="153"/>
      <c r="Y741" s="153"/>
      <c r="Z741" s="153"/>
      <c r="AA741" s="153"/>
    </row>
    <row r="742" ht="39.75" customHeight="1">
      <c r="A742" s="153"/>
      <c r="B742" s="153"/>
      <c r="C742" s="153"/>
      <c r="D742" s="153"/>
      <c r="E742" s="251"/>
      <c r="F742" s="251"/>
      <c r="G742" s="153"/>
      <c r="H742" s="252"/>
      <c r="I742" s="153"/>
      <c r="J742" s="153"/>
      <c r="K742" s="252"/>
      <c r="L742" s="153"/>
      <c r="M742" s="252"/>
      <c r="N742" s="153"/>
      <c r="O742" s="153"/>
      <c r="P742" s="153"/>
      <c r="Q742" s="152"/>
      <c r="R742" s="153"/>
      <c r="S742" s="153"/>
      <c r="T742" s="153"/>
      <c r="U742" s="153"/>
      <c r="V742" s="153"/>
      <c r="W742" s="153"/>
      <c r="X742" s="153"/>
      <c r="Y742" s="153"/>
      <c r="Z742" s="153"/>
      <c r="AA742" s="153"/>
    </row>
    <row r="743" ht="39.75" customHeight="1">
      <c r="A743" s="153"/>
      <c r="B743" s="153"/>
      <c r="C743" s="153"/>
      <c r="D743" s="153"/>
      <c r="E743" s="251"/>
      <c r="F743" s="251"/>
      <c r="G743" s="153"/>
      <c r="H743" s="252"/>
      <c r="I743" s="153"/>
      <c r="J743" s="153"/>
      <c r="K743" s="252"/>
      <c r="L743" s="153"/>
      <c r="M743" s="252"/>
      <c r="N743" s="153"/>
      <c r="O743" s="153"/>
      <c r="P743" s="153"/>
      <c r="Q743" s="152"/>
      <c r="R743" s="153"/>
      <c r="S743" s="153"/>
      <c r="T743" s="153"/>
      <c r="U743" s="153"/>
      <c r="V743" s="153"/>
      <c r="W743" s="153"/>
      <c r="X743" s="153"/>
      <c r="Y743" s="153"/>
      <c r="Z743" s="153"/>
      <c r="AA743" s="153"/>
    </row>
    <row r="744" ht="39.75" customHeight="1">
      <c r="A744" s="153"/>
      <c r="B744" s="153"/>
      <c r="C744" s="153"/>
      <c r="D744" s="153"/>
      <c r="E744" s="251"/>
      <c r="F744" s="251"/>
      <c r="G744" s="153"/>
      <c r="H744" s="252"/>
      <c r="I744" s="153"/>
      <c r="J744" s="153"/>
      <c r="K744" s="252"/>
      <c r="L744" s="153"/>
      <c r="M744" s="252"/>
      <c r="N744" s="153"/>
      <c r="O744" s="153"/>
      <c r="P744" s="153"/>
      <c r="Q744" s="152"/>
      <c r="R744" s="153"/>
      <c r="S744" s="153"/>
      <c r="T744" s="153"/>
      <c r="U744" s="153"/>
      <c r="V744" s="153"/>
      <c r="W744" s="153"/>
      <c r="X744" s="153"/>
      <c r="Y744" s="153"/>
      <c r="Z744" s="153"/>
      <c r="AA744" s="153"/>
    </row>
    <row r="745" ht="39.75" customHeight="1">
      <c r="A745" s="153"/>
      <c r="B745" s="153"/>
      <c r="C745" s="153"/>
      <c r="D745" s="153"/>
      <c r="E745" s="251"/>
      <c r="F745" s="251"/>
      <c r="G745" s="153"/>
      <c r="H745" s="252"/>
      <c r="I745" s="153"/>
      <c r="J745" s="153"/>
      <c r="K745" s="252"/>
      <c r="L745" s="153"/>
      <c r="M745" s="252"/>
      <c r="N745" s="153"/>
      <c r="O745" s="153"/>
      <c r="P745" s="153"/>
      <c r="Q745" s="152"/>
      <c r="R745" s="153"/>
      <c r="S745" s="153"/>
      <c r="T745" s="153"/>
      <c r="U745" s="153"/>
      <c r="V745" s="153"/>
      <c r="W745" s="153"/>
      <c r="X745" s="153"/>
      <c r="Y745" s="153"/>
      <c r="Z745" s="153"/>
      <c r="AA745" s="153"/>
    </row>
    <row r="746" ht="39.75" customHeight="1">
      <c r="A746" s="153"/>
      <c r="B746" s="153"/>
      <c r="C746" s="153"/>
      <c r="D746" s="153"/>
      <c r="E746" s="251"/>
      <c r="F746" s="251"/>
      <c r="G746" s="153"/>
      <c r="H746" s="252"/>
      <c r="I746" s="153"/>
      <c r="J746" s="153"/>
      <c r="K746" s="252"/>
      <c r="L746" s="153"/>
      <c r="M746" s="252"/>
      <c r="N746" s="153"/>
      <c r="O746" s="153"/>
      <c r="P746" s="153"/>
      <c r="Q746" s="152"/>
      <c r="R746" s="153"/>
      <c r="S746" s="153"/>
      <c r="T746" s="153"/>
      <c r="U746" s="153"/>
      <c r="V746" s="153"/>
      <c r="W746" s="153"/>
      <c r="X746" s="153"/>
      <c r="Y746" s="153"/>
      <c r="Z746" s="153"/>
      <c r="AA746" s="153"/>
    </row>
    <row r="747" ht="39.75" customHeight="1">
      <c r="A747" s="153"/>
      <c r="B747" s="153"/>
      <c r="C747" s="153"/>
      <c r="D747" s="153"/>
      <c r="E747" s="251"/>
      <c r="F747" s="251"/>
      <c r="G747" s="153"/>
      <c r="H747" s="252"/>
      <c r="I747" s="153"/>
      <c r="J747" s="153"/>
      <c r="K747" s="252"/>
      <c r="L747" s="153"/>
      <c r="M747" s="252"/>
      <c r="N747" s="153"/>
      <c r="O747" s="153"/>
      <c r="P747" s="153"/>
      <c r="Q747" s="152"/>
      <c r="R747" s="153"/>
      <c r="S747" s="153"/>
      <c r="T747" s="153"/>
      <c r="U747" s="153"/>
      <c r="V747" s="153"/>
      <c r="W747" s="153"/>
      <c r="X747" s="153"/>
      <c r="Y747" s="153"/>
      <c r="Z747" s="153"/>
      <c r="AA747" s="153"/>
    </row>
    <row r="748" ht="39.75" customHeight="1">
      <c r="A748" s="153"/>
      <c r="B748" s="153"/>
      <c r="C748" s="153"/>
      <c r="D748" s="153"/>
      <c r="E748" s="251"/>
      <c r="F748" s="251"/>
      <c r="G748" s="153"/>
      <c r="H748" s="252"/>
      <c r="I748" s="153"/>
      <c r="J748" s="153"/>
      <c r="K748" s="252"/>
      <c r="L748" s="153"/>
      <c r="M748" s="252"/>
      <c r="N748" s="153"/>
      <c r="O748" s="153"/>
      <c r="P748" s="153"/>
      <c r="Q748" s="152"/>
      <c r="R748" s="153"/>
      <c r="S748" s="153"/>
      <c r="T748" s="153"/>
      <c r="U748" s="153"/>
      <c r="V748" s="153"/>
      <c r="W748" s="153"/>
      <c r="X748" s="153"/>
      <c r="Y748" s="153"/>
      <c r="Z748" s="153"/>
      <c r="AA748" s="153"/>
    </row>
    <row r="749" ht="39.75" customHeight="1">
      <c r="A749" s="153"/>
      <c r="B749" s="153"/>
      <c r="C749" s="153"/>
      <c r="D749" s="153"/>
      <c r="E749" s="251"/>
      <c r="F749" s="251"/>
      <c r="G749" s="153"/>
      <c r="H749" s="252"/>
      <c r="I749" s="153"/>
      <c r="J749" s="153"/>
      <c r="K749" s="252"/>
      <c r="L749" s="153"/>
      <c r="M749" s="252"/>
      <c r="N749" s="153"/>
      <c r="O749" s="153"/>
      <c r="P749" s="153"/>
      <c r="Q749" s="152"/>
      <c r="R749" s="153"/>
      <c r="S749" s="153"/>
      <c r="T749" s="153"/>
      <c r="U749" s="153"/>
      <c r="V749" s="153"/>
      <c r="W749" s="153"/>
      <c r="X749" s="153"/>
      <c r="Y749" s="153"/>
      <c r="Z749" s="153"/>
      <c r="AA749" s="153"/>
    </row>
    <row r="750" ht="39.75" customHeight="1">
      <c r="A750" s="153"/>
      <c r="B750" s="153"/>
      <c r="C750" s="153"/>
      <c r="D750" s="153"/>
      <c r="E750" s="251"/>
      <c r="F750" s="251"/>
      <c r="G750" s="153"/>
      <c r="H750" s="252"/>
      <c r="I750" s="153"/>
      <c r="J750" s="153"/>
      <c r="K750" s="252"/>
      <c r="L750" s="153"/>
      <c r="M750" s="252"/>
      <c r="N750" s="153"/>
      <c r="O750" s="153"/>
      <c r="P750" s="153"/>
      <c r="Q750" s="152"/>
      <c r="R750" s="153"/>
      <c r="S750" s="153"/>
      <c r="T750" s="153"/>
      <c r="U750" s="153"/>
      <c r="V750" s="153"/>
      <c r="W750" s="153"/>
      <c r="X750" s="153"/>
      <c r="Y750" s="153"/>
      <c r="Z750" s="153"/>
      <c r="AA750" s="153"/>
    </row>
    <row r="751" ht="39.75" customHeight="1">
      <c r="A751" s="153"/>
      <c r="B751" s="153"/>
      <c r="C751" s="153"/>
      <c r="D751" s="153"/>
      <c r="E751" s="251"/>
      <c r="F751" s="251"/>
      <c r="G751" s="153"/>
      <c r="H751" s="252"/>
      <c r="I751" s="153"/>
      <c r="J751" s="153"/>
      <c r="K751" s="252"/>
      <c r="L751" s="153"/>
      <c r="M751" s="252"/>
      <c r="N751" s="153"/>
      <c r="O751" s="153"/>
      <c r="P751" s="153"/>
      <c r="Q751" s="152"/>
      <c r="R751" s="153"/>
      <c r="S751" s="153"/>
      <c r="T751" s="153"/>
      <c r="U751" s="153"/>
      <c r="V751" s="153"/>
      <c r="W751" s="153"/>
      <c r="X751" s="153"/>
      <c r="Y751" s="153"/>
      <c r="Z751" s="153"/>
      <c r="AA751" s="153"/>
    </row>
    <row r="752" ht="39.75" customHeight="1">
      <c r="A752" s="153"/>
      <c r="B752" s="153"/>
      <c r="C752" s="153"/>
      <c r="D752" s="153"/>
      <c r="E752" s="251"/>
      <c r="F752" s="251"/>
      <c r="G752" s="153"/>
      <c r="H752" s="252"/>
      <c r="I752" s="153"/>
      <c r="J752" s="153"/>
      <c r="K752" s="252"/>
      <c r="L752" s="153"/>
      <c r="M752" s="252"/>
      <c r="N752" s="153"/>
      <c r="O752" s="153"/>
      <c r="P752" s="153"/>
      <c r="Q752" s="152"/>
      <c r="R752" s="153"/>
      <c r="S752" s="153"/>
      <c r="T752" s="153"/>
      <c r="U752" s="153"/>
      <c r="V752" s="153"/>
      <c r="W752" s="153"/>
      <c r="X752" s="153"/>
      <c r="Y752" s="153"/>
      <c r="Z752" s="153"/>
      <c r="AA752" s="153"/>
    </row>
    <row r="753" ht="39.75" customHeight="1">
      <c r="A753" s="153"/>
      <c r="B753" s="153"/>
      <c r="C753" s="153"/>
      <c r="D753" s="153"/>
      <c r="E753" s="251"/>
      <c r="F753" s="251"/>
      <c r="G753" s="153"/>
      <c r="H753" s="252"/>
      <c r="I753" s="153"/>
      <c r="J753" s="153"/>
      <c r="K753" s="252"/>
      <c r="L753" s="153"/>
      <c r="M753" s="252"/>
      <c r="N753" s="153"/>
      <c r="O753" s="153"/>
      <c r="P753" s="153"/>
      <c r="Q753" s="152"/>
      <c r="R753" s="153"/>
      <c r="S753" s="153"/>
      <c r="T753" s="153"/>
      <c r="U753" s="153"/>
      <c r="V753" s="153"/>
      <c r="W753" s="153"/>
      <c r="X753" s="153"/>
      <c r="Y753" s="153"/>
      <c r="Z753" s="153"/>
      <c r="AA753" s="153"/>
    </row>
    <row r="754" ht="39.75" customHeight="1">
      <c r="A754" s="153"/>
      <c r="B754" s="153"/>
      <c r="C754" s="153"/>
      <c r="D754" s="153"/>
      <c r="E754" s="251"/>
      <c r="F754" s="251"/>
      <c r="G754" s="153"/>
      <c r="H754" s="252"/>
      <c r="I754" s="153"/>
      <c r="J754" s="153"/>
      <c r="K754" s="252"/>
      <c r="L754" s="153"/>
      <c r="M754" s="252"/>
      <c r="N754" s="153"/>
      <c r="O754" s="153"/>
      <c r="P754" s="153"/>
      <c r="Q754" s="152"/>
      <c r="R754" s="153"/>
      <c r="S754" s="153"/>
      <c r="T754" s="153"/>
      <c r="U754" s="153"/>
      <c r="V754" s="153"/>
      <c r="W754" s="153"/>
      <c r="X754" s="153"/>
      <c r="Y754" s="153"/>
      <c r="Z754" s="153"/>
      <c r="AA754" s="153"/>
    </row>
    <row r="755" ht="39.75" customHeight="1">
      <c r="A755" s="153"/>
      <c r="B755" s="153"/>
      <c r="C755" s="153"/>
      <c r="D755" s="153"/>
      <c r="E755" s="251"/>
      <c r="F755" s="251"/>
      <c r="G755" s="153"/>
      <c r="H755" s="252"/>
      <c r="I755" s="153"/>
      <c r="J755" s="153"/>
      <c r="K755" s="252"/>
      <c r="L755" s="153"/>
      <c r="M755" s="252"/>
      <c r="N755" s="153"/>
      <c r="O755" s="153"/>
      <c r="P755" s="153"/>
      <c r="Q755" s="152"/>
      <c r="R755" s="153"/>
      <c r="S755" s="153"/>
      <c r="T755" s="153"/>
      <c r="U755" s="153"/>
      <c r="V755" s="153"/>
      <c r="W755" s="153"/>
      <c r="X755" s="153"/>
      <c r="Y755" s="153"/>
      <c r="Z755" s="153"/>
      <c r="AA755" s="153"/>
    </row>
    <row r="756" ht="39.75" customHeight="1">
      <c r="A756" s="153"/>
      <c r="B756" s="153"/>
      <c r="C756" s="153"/>
      <c r="D756" s="153"/>
      <c r="E756" s="251"/>
      <c r="F756" s="251"/>
      <c r="G756" s="153"/>
      <c r="H756" s="252"/>
      <c r="I756" s="153"/>
      <c r="J756" s="153"/>
      <c r="K756" s="252"/>
      <c r="L756" s="153"/>
      <c r="M756" s="252"/>
      <c r="N756" s="153"/>
      <c r="O756" s="153"/>
      <c r="P756" s="153"/>
      <c r="Q756" s="152"/>
      <c r="R756" s="153"/>
      <c r="S756" s="153"/>
      <c r="T756" s="153"/>
      <c r="U756" s="153"/>
      <c r="V756" s="153"/>
      <c r="W756" s="153"/>
      <c r="X756" s="153"/>
      <c r="Y756" s="153"/>
      <c r="Z756" s="153"/>
      <c r="AA756" s="153"/>
    </row>
    <row r="757" ht="39.75" customHeight="1">
      <c r="A757" s="153"/>
      <c r="B757" s="153"/>
      <c r="C757" s="153"/>
      <c r="D757" s="153"/>
      <c r="E757" s="251"/>
      <c r="F757" s="251"/>
      <c r="G757" s="153"/>
      <c r="H757" s="252"/>
      <c r="I757" s="153"/>
      <c r="J757" s="153"/>
      <c r="K757" s="252"/>
      <c r="L757" s="153"/>
      <c r="M757" s="252"/>
      <c r="N757" s="153"/>
      <c r="O757" s="153"/>
      <c r="P757" s="153"/>
      <c r="Q757" s="152"/>
      <c r="R757" s="153"/>
      <c r="S757" s="153"/>
      <c r="T757" s="153"/>
      <c r="U757" s="153"/>
      <c r="V757" s="153"/>
      <c r="W757" s="153"/>
      <c r="X757" s="153"/>
      <c r="Y757" s="153"/>
      <c r="Z757" s="153"/>
      <c r="AA757" s="153"/>
    </row>
    <row r="758" ht="39.75" customHeight="1">
      <c r="A758" s="153"/>
      <c r="B758" s="153"/>
      <c r="C758" s="153"/>
      <c r="D758" s="153"/>
      <c r="E758" s="251"/>
      <c r="F758" s="251"/>
      <c r="G758" s="153"/>
      <c r="H758" s="252"/>
      <c r="I758" s="153"/>
      <c r="J758" s="153"/>
      <c r="K758" s="252"/>
      <c r="L758" s="153"/>
      <c r="M758" s="252"/>
      <c r="N758" s="153"/>
      <c r="O758" s="153"/>
      <c r="P758" s="153"/>
      <c r="Q758" s="152"/>
      <c r="R758" s="153"/>
      <c r="S758" s="153"/>
      <c r="T758" s="153"/>
      <c r="U758" s="153"/>
      <c r="V758" s="153"/>
      <c r="W758" s="153"/>
      <c r="X758" s="153"/>
      <c r="Y758" s="153"/>
      <c r="Z758" s="153"/>
      <c r="AA758" s="153"/>
    </row>
    <row r="759" ht="39.75" customHeight="1">
      <c r="A759" s="153"/>
      <c r="B759" s="153"/>
      <c r="C759" s="153"/>
      <c r="D759" s="153"/>
      <c r="E759" s="251"/>
      <c r="F759" s="251"/>
      <c r="G759" s="153"/>
      <c r="H759" s="252"/>
      <c r="I759" s="153"/>
      <c r="J759" s="153"/>
      <c r="K759" s="252"/>
      <c r="L759" s="153"/>
      <c r="M759" s="252"/>
      <c r="N759" s="153"/>
      <c r="O759" s="153"/>
      <c r="P759" s="153"/>
      <c r="Q759" s="152"/>
      <c r="R759" s="153"/>
      <c r="S759" s="153"/>
      <c r="T759" s="153"/>
      <c r="U759" s="153"/>
      <c r="V759" s="153"/>
      <c r="W759" s="153"/>
      <c r="X759" s="153"/>
      <c r="Y759" s="153"/>
      <c r="Z759" s="153"/>
      <c r="AA759" s="153"/>
    </row>
    <row r="760" ht="39.75" customHeight="1">
      <c r="A760" s="153"/>
      <c r="B760" s="153"/>
      <c r="C760" s="153"/>
      <c r="D760" s="153"/>
      <c r="E760" s="251"/>
      <c r="F760" s="251"/>
      <c r="G760" s="153"/>
      <c r="H760" s="252"/>
      <c r="I760" s="153"/>
      <c r="J760" s="153"/>
      <c r="K760" s="252"/>
      <c r="L760" s="153"/>
      <c r="M760" s="252"/>
      <c r="N760" s="153"/>
      <c r="O760" s="153"/>
      <c r="P760" s="153"/>
      <c r="Q760" s="152"/>
      <c r="R760" s="153"/>
      <c r="S760" s="153"/>
      <c r="T760" s="153"/>
      <c r="U760" s="153"/>
      <c r="V760" s="153"/>
      <c r="W760" s="153"/>
      <c r="X760" s="153"/>
      <c r="Y760" s="153"/>
      <c r="Z760" s="153"/>
      <c r="AA760" s="153"/>
    </row>
    <row r="761" ht="39.75" customHeight="1">
      <c r="A761" s="153"/>
      <c r="B761" s="153"/>
      <c r="C761" s="153"/>
      <c r="D761" s="153"/>
      <c r="E761" s="251"/>
      <c r="F761" s="251"/>
      <c r="G761" s="153"/>
      <c r="H761" s="252"/>
      <c r="I761" s="153"/>
      <c r="J761" s="153"/>
      <c r="K761" s="252"/>
      <c r="L761" s="153"/>
      <c r="M761" s="252"/>
      <c r="N761" s="153"/>
      <c r="O761" s="153"/>
      <c r="P761" s="153"/>
      <c r="Q761" s="152"/>
      <c r="R761" s="153"/>
      <c r="S761" s="153"/>
      <c r="T761" s="153"/>
      <c r="U761" s="153"/>
      <c r="V761" s="153"/>
      <c r="W761" s="153"/>
      <c r="X761" s="153"/>
      <c r="Y761" s="153"/>
      <c r="Z761" s="153"/>
      <c r="AA761" s="153"/>
    </row>
    <row r="762" ht="39.75" customHeight="1">
      <c r="A762" s="153"/>
      <c r="B762" s="153"/>
      <c r="C762" s="153"/>
      <c r="D762" s="153"/>
      <c r="E762" s="251"/>
      <c r="F762" s="251"/>
      <c r="G762" s="153"/>
      <c r="H762" s="252"/>
      <c r="I762" s="153"/>
      <c r="J762" s="153"/>
      <c r="K762" s="252"/>
      <c r="L762" s="153"/>
      <c r="M762" s="252"/>
      <c r="N762" s="153"/>
      <c r="O762" s="153"/>
      <c r="P762" s="153"/>
      <c r="Q762" s="152"/>
      <c r="R762" s="153"/>
      <c r="S762" s="153"/>
      <c r="T762" s="153"/>
      <c r="U762" s="153"/>
      <c r="V762" s="153"/>
      <c r="W762" s="153"/>
      <c r="X762" s="153"/>
      <c r="Y762" s="153"/>
      <c r="Z762" s="153"/>
      <c r="AA762" s="153"/>
    </row>
    <row r="763" ht="39.75" customHeight="1">
      <c r="A763" s="153"/>
      <c r="B763" s="153"/>
      <c r="C763" s="153"/>
      <c r="D763" s="153"/>
      <c r="E763" s="251"/>
      <c r="F763" s="251"/>
      <c r="G763" s="153"/>
      <c r="H763" s="252"/>
      <c r="I763" s="153"/>
      <c r="J763" s="153"/>
      <c r="K763" s="252"/>
      <c r="L763" s="153"/>
      <c r="M763" s="252"/>
      <c r="N763" s="153"/>
      <c r="O763" s="153"/>
      <c r="P763" s="153"/>
      <c r="Q763" s="152"/>
      <c r="R763" s="153"/>
      <c r="S763" s="153"/>
      <c r="T763" s="153"/>
      <c r="U763" s="153"/>
      <c r="V763" s="153"/>
      <c r="W763" s="153"/>
      <c r="X763" s="153"/>
      <c r="Y763" s="153"/>
      <c r="Z763" s="153"/>
      <c r="AA763" s="153"/>
    </row>
    <row r="764" ht="39.75" customHeight="1">
      <c r="A764" s="153"/>
      <c r="B764" s="153"/>
      <c r="C764" s="153"/>
      <c r="D764" s="153"/>
      <c r="E764" s="251"/>
      <c r="F764" s="251"/>
      <c r="G764" s="153"/>
      <c r="H764" s="252"/>
      <c r="I764" s="153"/>
      <c r="J764" s="153"/>
      <c r="K764" s="252"/>
      <c r="L764" s="153"/>
      <c r="M764" s="252"/>
      <c r="N764" s="153"/>
      <c r="O764" s="153"/>
      <c r="P764" s="153"/>
      <c r="Q764" s="152"/>
      <c r="R764" s="153"/>
      <c r="S764" s="153"/>
      <c r="T764" s="153"/>
      <c r="U764" s="153"/>
      <c r="V764" s="153"/>
      <c r="W764" s="153"/>
      <c r="X764" s="153"/>
      <c r="Y764" s="153"/>
      <c r="Z764" s="153"/>
      <c r="AA764" s="153"/>
    </row>
    <row r="765" ht="39.75" customHeight="1">
      <c r="A765" s="153"/>
      <c r="B765" s="153"/>
      <c r="C765" s="153"/>
      <c r="D765" s="153"/>
      <c r="E765" s="251"/>
      <c r="F765" s="251"/>
      <c r="G765" s="153"/>
      <c r="H765" s="252"/>
      <c r="I765" s="153"/>
      <c r="J765" s="153"/>
      <c r="K765" s="252"/>
      <c r="L765" s="153"/>
      <c r="M765" s="252"/>
      <c r="N765" s="153"/>
      <c r="O765" s="153"/>
      <c r="P765" s="153"/>
      <c r="Q765" s="152"/>
      <c r="R765" s="153"/>
      <c r="S765" s="153"/>
      <c r="T765" s="153"/>
      <c r="U765" s="153"/>
      <c r="V765" s="153"/>
      <c r="W765" s="153"/>
      <c r="X765" s="153"/>
      <c r="Y765" s="153"/>
      <c r="Z765" s="153"/>
      <c r="AA765" s="153"/>
    </row>
    <row r="766" ht="39.75" customHeight="1">
      <c r="A766" s="153"/>
      <c r="B766" s="153"/>
      <c r="C766" s="153"/>
      <c r="D766" s="153"/>
      <c r="E766" s="251"/>
      <c r="F766" s="251"/>
      <c r="G766" s="153"/>
      <c r="H766" s="252"/>
      <c r="I766" s="153"/>
      <c r="J766" s="153"/>
      <c r="K766" s="252"/>
      <c r="L766" s="153"/>
      <c r="M766" s="252"/>
      <c r="N766" s="153"/>
      <c r="O766" s="153"/>
      <c r="P766" s="153"/>
      <c r="Q766" s="152"/>
      <c r="R766" s="153"/>
      <c r="S766" s="153"/>
      <c r="T766" s="153"/>
      <c r="U766" s="153"/>
      <c r="V766" s="153"/>
      <c r="W766" s="153"/>
      <c r="X766" s="153"/>
      <c r="Y766" s="153"/>
      <c r="Z766" s="153"/>
      <c r="AA766" s="153"/>
    </row>
    <row r="767" ht="39.75" customHeight="1">
      <c r="A767" s="153"/>
      <c r="B767" s="153"/>
      <c r="C767" s="153"/>
      <c r="D767" s="153"/>
      <c r="E767" s="251"/>
      <c r="F767" s="251"/>
      <c r="G767" s="153"/>
      <c r="H767" s="252"/>
      <c r="I767" s="153"/>
      <c r="J767" s="153"/>
      <c r="K767" s="252"/>
      <c r="L767" s="153"/>
      <c r="M767" s="252"/>
      <c r="N767" s="153"/>
      <c r="O767" s="153"/>
      <c r="P767" s="153"/>
      <c r="Q767" s="152"/>
      <c r="R767" s="153"/>
      <c r="S767" s="153"/>
      <c r="T767" s="153"/>
      <c r="U767" s="153"/>
      <c r="V767" s="153"/>
      <c r="W767" s="153"/>
      <c r="X767" s="153"/>
      <c r="Y767" s="153"/>
      <c r="Z767" s="153"/>
      <c r="AA767" s="153"/>
    </row>
    <row r="768" ht="39.75" customHeight="1">
      <c r="A768" s="153"/>
      <c r="B768" s="153"/>
      <c r="C768" s="153"/>
      <c r="D768" s="153"/>
      <c r="E768" s="251"/>
      <c r="F768" s="251"/>
      <c r="G768" s="153"/>
      <c r="H768" s="252"/>
      <c r="I768" s="153"/>
      <c r="J768" s="153"/>
      <c r="K768" s="252"/>
      <c r="L768" s="153"/>
      <c r="M768" s="252"/>
      <c r="N768" s="153"/>
      <c r="O768" s="153"/>
      <c r="P768" s="153"/>
      <c r="Q768" s="152"/>
      <c r="R768" s="153"/>
      <c r="S768" s="153"/>
      <c r="T768" s="153"/>
      <c r="U768" s="153"/>
      <c r="V768" s="153"/>
      <c r="W768" s="153"/>
      <c r="X768" s="153"/>
      <c r="Y768" s="153"/>
      <c r="Z768" s="153"/>
      <c r="AA768" s="153"/>
    </row>
    <row r="769" ht="39.75" customHeight="1">
      <c r="A769" s="153"/>
      <c r="B769" s="153"/>
      <c r="C769" s="153"/>
      <c r="D769" s="153"/>
      <c r="E769" s="251"/>
      <c r="F769" s="251"/>
      <c r="G769" s="153"/>
      <c r="H769" s="252"/>
      <c r="I769" s="153"/>
      <c r="J769" s="153"/>
      <c r="K769" s="252"/>
      <c r="L769" s="153"/>
      <c r="M769" s="252"/>
      <c r="N769" s="153"/>
      <c r="O769" s="153"/>
      <c r="P769" s="153"/>
      <c r="Q769" s="152"/>
      <c r="R769" s="153"/>
      <c r="S769" s="153"/>
      <c r="T769" s="153"/>
      <c r="U769" s="153"/>
      <c r="V769" s="153"/>
      <c r="W769" s="153"/>
      <c r="X769" s="153"/>
      <c r="Y769" s="153"/>
      <c r="Z769" s="153"/>
      <c r="AA769" s="153"/>
    </row>
    <row r="770" ht="39.75" customHeight="1">
      <c r="A770" s="153"/>
      <c r="B770" s="153"/>
      <c r="C770" s="153"/>
      <c r="D770" s="153"/>
      <c r="E770" s="251"/>
      <c r="F770" s="251"/>
      <c r="G770" s="153"/>
      <c r="H770" s="252"/>
      <c r="I770" s="153"/>
      <c r="J770" s="153"/>
      <c r="K770" s="252"/>
      <c r="L770" s="153"/>
      <c r="M770" s="252"/>
      <c r="N770" s="153"/>
      <c r="O770" s="153"/>
      <c r="P770" s="153"/>
      <c r="Q770" s="152"/>
      <c r="R770" s="153"/>
      <c r="S770" s="153"/>
      <c r="T770" s="153"/>
      <c r="U770" s="153"/>
      <c r="V770" s="153"/>
      <c r="W770" s="153"/>
      <c r="X770" s="153"/>
      <c r="Y770" s="153"/>
      <c r="Z770" s="153"/>
      <c r="AA770" s="153"/>
    </row>
    <row r="771" ht="39.75" customHeight="1">
      <c r="A771" s="153"/>
      <c r="B771" s="153"/>
      <c r="C771" s="153"/>
      <c r="D771" s="153"/>
      <c r="E771" s="251"/>
      <c r="F771" s="251"/>
      <c r="G771" s="153"/>
      <c r="H771" s="252"/>
      <c r="I771" s="153"/>
      <c r="J771" s="153"/>
      <c r="K771" s="252"/>
      <c r="L771" s="153"/>
      <c r="M771" s="252"/>
      <c r="N771" s="153"/>
      <c r="O771" s="153"/>
      <c r="P771" s="153"/>
      <c r="Q771" s="152"/>
      <c r="R771" s="153"/>
      <c r="S771" s="153"/>
      <c r="T771" s="153"/>
      <c r="U771" s="153"/>
      <c r="V771" s="153"/>
      <c r="W771" s="153"/>
      <c r="X771" s="153"/>
      <c r="Y771" s="153"/>
      <c r="Z771" s="153"/>
      <c r="AA771" s="153"/>
    </row>
    <row r="772" ht="39.75" customHeight="1">
      <c r="A772" s="153"/>
      <c r="B772" s="153"/>
      <c r="C772" s="153"/>
      <c r="D772" s="153"/>
      <c r="E772" s="251"/>
      <c r="F772" s="251"/>
      <c r="G772" s="153"/>
      <c r="H772" s="252"/>
      <c r="I772" s="153"/>
      <c r="J772" s="153"/>
      <c r="K772" s="252"/>
      <c r="L772" s="153"/>
      <c r="M772" s="252"/>
      <c r="N772" s="153"/>
      <c r="O772" s="153"/>
      <c r="P772" s="153"/>
      <c r="Q772" s="152"/>
      <c r="R772" s="153"/>
      <c r="S772" s="153"/>
      <c r="T772" s="153"/>
      <c r="U772" s="153"/>
      <c r="V772" s="153"/>
      <c r="W772" s="153"/>
      <c r="X772" s="153"/>
      <c r="Y772" s="153"/>
      <c r="Z772" s="153"/>
      <c r="AA772" s="153"/>
    </row>
    <row r="773" ht="39.75" customHeight="1">
      <c r="A773" s="153"/>
      <c r="B773" s="153"/>
      <c r="C773" s="153"/>
      <c r="D773" s="153"/>
      <c r="E773" s="251"/>
      <c r="F773" s="251"/>
      <c r="G773" s="153"/>
      <c r="H773" s="252"/>
      <c r="I773" s="153"/>
      <c r="J773" s="153"/>
      <c r="K773" s="252"/>
      <c r="L773" s="153"/>
      <c r="M773" s="252"/>
      <c r="N773" s="153"/>
      <c r="O773" s="153"/>
      <c r="P773" s="153"/>
      <c r="Q773" s="152"/>
      <c r="R773" s="153"/>
      <c r="S773" s="153"/>
      <c r="T773" s="153"/>
      <c r="U773" s="153"/>
      <c r="V773" s="153"/>
      <c r="W773" s="153"/>
      <c r="X773" s="153"/>
      <c r="Y773" s="153"/>
      <c r="Z773" s="153"/>
      <c r="AA773" s="153"/>
    </row>
    <row r="774" ht="39.75" customHeight="1">
      <c r="A774" s="153"/>
      <c r="B774" s="153"/>
      <c r="C774" s="153"/>
      <c r="D774" s="153"/>
      <c r="E774" s="251"/>
      <c r="F774" s="251"/>
      <c r="G774" s="153"/>
      <c r="H774" s="252"/>
      <c r="I774" s="153"/>
      <c r="J774" s="153"/>
      <c r="K774" s="252"/>
      <c r="L774" s="153"/>
      <c r="M774" s="252"/>
      <c r="N774" s="153"/>
      <c r="O774" s="153"/>
      <c r="P774" s="153"/>
      <c r="Q774" s="152"/>
      <c r="R774" s="153"/>
      <c r="S774" s="153"/>
      <c r="T774" s="153"/>
      <c r="U774" s="153"/>
      <c r="V774" s="153"/>
      <c r="W774" s="153"/>
      <c r="X774" s="153"/>
      <c r="Y774" s="153"/>
      <c r="Z774" s="153"/>
      <c r="AA774" s="153"/>
    </row>
    <row r="775" ht="39.75" customHeight="1">
      <c r="A775" s="153"/>
      <c r="B775" s="153"/>
      <c r="C775" s="153"/>
      <c r="D775" s="153"/>
      <c r="E775" s="251"/>
      <c r="F775" s="251"/>
      <c r="G775" s="153"/>
      <c r="H775" s="252"/>
      <c r="I775" s="153"/>
      <c r="J775" s="153"/>
      <c r="K775" s="252"/>
      <c r="L775" s="153"/>
      <c r="M775" s="252"/>
      <c r="N775" s="153"/>
      <c r="O775" s="153"/>
      <c r="P775" s="153"/>
      <c r="Q775" s="152"/>
      <c r="R775" s="153"/>
      <c r="S775" s="153"/>
      <c r="T775" s="153"/>
      <c r="U775" s="153"/>
      <c r="V775" s="153"/>
      <c r="W775" s="153"/>
      <c r="X775" s="153"/>
      <c r="Y775" s="153"/>
      <c r="Z775" s="153"/>
      <c r="AA775" s="153"/>
    </row>
    <row r="776" ht="39.75" customHeight="1">
      <c r="A776" s="153"/>
      <c r="B776" s="153"/>
      <c r="C776" s="153"/>
      <c r="D776" s="153"/>
      <c r="E776" s="251"/>
      <c r="F776" s="251"/>
      <c r="G776" s="153"/>
      <c r="H776" s="252"/>
      <c r="I776" s="153"/>
      <c r="J776" s="153"/>
      <c r="K776" s="252"/>
      <c r="L776" s="153"/>
      <c r="M776" s="252"/>
      <c r="N776" s="153"/>
      <c r="O776" s="153"/>
      <c r="P776" s="153"/>
      <c r="Q776" s="152"/>
      <c r="R776" s="153"/>
      <c r="S776" s="153"/>
      <c r="T776" s="153"/>
      <c r="U776" s="153"/>
      <c r="V776" s="153"/>
      <c r="W776" s="153"/>
      <c r="X776" s="153"/>
      <c r="Y776" s="153"/>
      <c r="Z776" s="153"/>
      <c r="AA776" s="153"/>
    </row>
    <row r="777" ht="39.75" customHeight="1">
      <c r="A777" s="153"/>
      <c r="B777" s="153"/>
      <c r="C777" s="153"/>
      <c r="D777" s="153"/>
      <c r="E777" s="251"/>
      <c r="F777" s="251"/>
      <c r="G777" s="153"/>
      <c r="H777" s="252"/>
      <c r="I777" s="153"/>
      <c r="J777" s="153"/>
      <c r="K777" s="252"/>
      <c r="L777" s="153"/>
      <c r="M777" s="252"/>
      <c r="N777" s="153"/>
      <c r="O777" s="153"/>
      <c r="P777" s="153"/>
      <c r="Q777" s="152"/>
      <c r="R777" s="153"/>
      <c r="S777" s="153"/>
      <c r="T777" s="153"/>
      <c r="U777" s="153"/>
      <c r="V777" s="153"/>
      <c r="W777" s="153"/>
      <c r="X777" s="153"/>
      <c r="Y777" s="153"/>
      <c r="Z777" s="153"/>
      <c r="AA777" s="153"/>
    </row>
    <row r="778" ht="39.75" customHeight="1">
      <c r="A778" s="153"/>
      <c r="B778" s="153"/>
      <c r="C778" s="153"/>
      <c r="D778" s="153"/>
      <c r="E778" s="251"/>
      <c r="F778" s="251"/>
      <c r="G778" s="153"/>
      <c r="H778" s="252"/>
      <c r="I778" s="153"/>
      <c r="J778" s="153"/>
      <c r="K778" s="252"/>
      <c r="L778" s="153"/>
      <c r="M778" s="252"/>
      <c r="N778" s="153"/>
      <c r="O778" s="153"/>
      <c r="P778" s="153"/>
      <c r="Q778" s="152"/>
      <c r="R778" s="153"/>
      <c r="S778" s="153"/>
      <c r="T778" s="153"/>
      <c r="U778" s="153"/>
      <c r="V778" s="153"/>
      <c r="W778" s="153"/>
      <c r="X778" s="153"/>
      <c r="Y778" s="153"/>
      <c r="Z778" s="153"/>
      <c r="AA778" s="153"/>
    </row>
    <row r="779" ht="39.75" customHeight="1">
      <c r="A779" s="153"/>
      <c r="B779" s="153"/>
      <c r="C779" s="153"/>
      <c r="D779" s="153"/>
      <c r="E779" s="251"/>
      <c r="F779" s="251"/>
      <c r="G779" s="153"/>
      <c r="H779" s="252"/>
      <c r="I779" s="153"/>
      <c r="J779" s="153"/>
      <c r="K779" s="252"/>
      <c r="L779" s="153"/>
      <c r="M779" s="252"/>
      <c r="N779" s="153"/>
      <c r="O779" s="153"/>
      <c r="P779" s="153"/>
      <c r="Q779" s="152"/>
      <c r="R779" s="153"/>
      <c r="S779" s="153"/>
      <c r="T779" s="153"/>
      <c r="U779" s="153"/>
      <c r="V779" s="153"/>
      <c r="W779" s="153"/>
      <c r="X779" s="153"/>
      <c r="Y779" s="153"/>
      <c r="Z779" s="153"/>
      <c r="AA779" s="153"/>
    </row>
    <row r="780" ht="39.75" customHeight="1">
      <c r="A780" s="153"/>
      <c r="B780" s="153"/>
      <c r="C780" s="153"/>
      <c r="D780" s="153"/>
      <c r="E780" s="251"/>
      <c r="F780" s="251"/>
      <c r="G780" s="153"/>
      <c r="H780" s="252"/>
      <c r="I780" s="153"/>
      <c r="J780" s="153"/>
      <c r="K780" s="252"/>
      <c r="L780" s="153"/>
      <c r="M780" s="252"/>
      <c r="N780" s="153"/>
      <c r="O780" s="153"/>
      <c r="P780" s="153"/>
      <c r="Q780" s="152"/>
      <c r="R780" s="153"/>
      <c r="S780" s="153"/>
      <c r="T780" s="153"/>
      <c r="U780" s="153"/>
      <c r="V780" s="153"/>
      <c r="W780" s="153"/>
      <c r="X780" s="153"/>
      <c r="Y780" s="153"/>
      <c r="Z780" s="153"/>
      <c r="AA780" s="153"/>
    </row>
    <row r="781" ht="39.75" customHeight="1">
      <c r="A781" s="153"/>
      <c r="B781" s="153"/>
      <c r="C781" s="153"/>
      <c r="D781" s="153"/>
      <c r="E781" s="251"/>
      <c r="F781" s="251"/>
      <c r="G781" s="153"/>
      <c r="H781" s="252"/>
      <c r="I781" s="153"/>
      <c r="J781" s="153"/>
      <c r="K781" s="252"/>
      <c r="L781" s="153"/>
      <c r="M781" s="252"/>
      <c r="N781" s="153"/>
      <c r="O781" s="153"/>
      <c r="P781" s="153"/>
      <c r="Q781" s="152"/>
      <c r="R781" s="153"/>
      <c r="S781" s="153"/>
      <c r="T781" s="153"/>
      <c r="U781" s="153"/>
      <c r="V781" s="153"/>
      <c r="W781" s="153"/>
      <c r="X781" s="153"/>
      <c r="Y781" s="153"/>
      <c r="Z781" s="153"/>
      <c r="AA781" s="153"/>
    </row>
    <row r="782" ht="39.75" customHeight="1">
      <c r="A782" s="153"/>
      <c r="B782" s="153"/>
      <c r="C782" s="153"/>
      <c r="D782" s="153"/>
      <c r="E782" s="251"/>
      <c r="F782" s="251"/>
      <c r="G782" s="153"/>
      <c r="H782" s="252"/>
      <c r="I782" s="153"/>
      <c r="J782" s="153"/>
      <c r="K782" s="252"/>
      <c r="L782" s="153"/>
      <c r="M782" s="252"/>
      <c r="N782" s="153"/>
      <c r="O782" s="153"/>
      <c r="P782" s="153"/>
      <c r="Q782" s="152"/>
      <c r="R782" s="153"/>
      <c r="S782" s="153"/>
      <c r="T782" s="153"/>
      <c r="U782" s="153"/>
      <c r="V782" s="153"/>
      <c r="W782" s="153"/>
      <c r="X782" s="153"/>
      <c r="Y782" s="153"/>
      <c r="Z782" s="153"/>
      <c r="AA782" s="153"/>
    </row>
    <row r="783" ht="39.75" customHeight="1">
      <c r="A783" s="153"/>
      <c r="B783" s="153"/>
      <c r="C783" s="153"/>
      <c r="D783" s="153"/>
      <c r="E783" s="251"/>
      <c r="F783" s="251"/>
      <c r="G783" s="153"/>
      <c r="H783" s="252"/>
      <c r="I783" s="153"/>
      <c r="J783" s="153"/>
      <c r="K783" s="252"/>
      <c r="L783" s="153"/>
      <c r="M783" s="252"/>
      <c r="N783" s="153"/>
      <c r="O783" s="153"/>
      <c r="P783" s="153"/>
      <c r="Q783" s="152"/>
      <c r="R783" s="153"/>
      <c r="S783" s="153"/>
      <c r="T783" s="153"/>
      <c r="U783" s="153"/>
      <c r="V783" s="153"/>
      <c r="W783" s="153"/>
      <c r="X783" s="153"/>
      <c r="Y783" s="153"/>
      <c r="Z783" s="153"/>
      <c r="AA783" s="153"/>
    </row>
    <row r="784" ht="39.75" customHeight="1">
      <c r="A784" s="153"/>
      <c r="B784" s="153"/>
      <c r="C784" s="153"/>
      <c r="D784" s="153"/>
      <c r="E784" s="251"/>
      <c r="F784" s="251"/>
      <c r="G784" s="153"/>
      <c r="H784" s="252"/>
      <c r="I784" s="153"/>
      <c r="J784" s="153"/>
      <c r="K784" s="252"/>
      <c r="L784" s="153"/>
      <c r="M784" s="252"/>
      <c r="N784" s="153"/>
      <c r="O784" s="153"/>
      <c r="P784" s="153"/>
      <c r="Q784" s="152"/>
      <c r="R784" s="153"/>
      <c r="S784" s="153"/>
      <c r="T784" s="153"/>
      <c r="U784" s="153"/>
      <c r="V784" s="153"/>
      <c r="W784" s="153"/>
      <c r="X784" s="153"/>
      <c r="Y784" s="153"/>
      <c r="Z784" s="153"/>
      <c r="AA784" s="153"/>
    </row>
    <row r="785" ht="39.75" customHeight="1">
      <c r="A785" s="153"/>
      <c r="B785" s="153"/>
      <c r="C785" s="153"/>
      <c r="D785" s="153"/>
      <c r="E785" s="251"/>
      <c r="F785" s="251"/>
      <c r="G785" s="153"/>
      <c r="H785" s="252"/>
      <c r="I785" s="153"/>
      <c r="J785" s="153"/>
      <c r="K785" s="252"/>
      <c r="L785" s="153"/>
      <c r="M785" s="252"/>
      <c r="N785" s="153"/>
      <c r="O785" s="153"/>
      <c r="P785" s="153"/>
      <c r="Q785" s="152"/>
      <c r="R785" s="153"/>
      <c r="S785" s="153"/>
      <c r="T785" s="153"/>
      <c r="U785" s="153"/>
      <c r="V785" s="153"/>
      <c r="W785" s="153"/>
      <c r="X785" s="153"/>
      <c r="Y785" s="153"/>
      <c r="Z785" s="153"/>
      <c r="AA785" s="153"/>
    </row>
    <row r="786" ht="39.75" customHeight="1">
      <c r="A786" s="153"/>
      <c r="B786" s="153"/>
      <c r="C786" s="153"/>
      <c r="D786" s="153"/>
      <c r="E786" s="251"/>
      <c r="F786" s="251"/>
      <c r="G786" s="153"/>
      <c r="H786" s="252"/>
      <c r="I786" s="153"/>
      <c r="J786" s="153"/>
      <c r="K786" s="252"/>
      <c r="L786" s="153"/>
      <c r="M786" s="252"/>
      <c r="N786" s="153"/>
      <c r="O786" s="153"/>
      <c r="P786" s="153"/>
      <c r="Q786" s="152"/>
      <c r="R786" s="153"/>
      <c r="S786" s="153"/>
      <c r="T786" s="153"/>
      <c r="U786" s="153"/>
      <c r="V786" s="153"/>
      <c r="W786" s="153"/>
      <c r="X786" s="153"/>
      <c r="Y786" s="153"/>
      <c r="Z786" s="153"/>
      <c r="AA786" s="153"/>
    </row>
    <row r="787" ht="39.75" customHeight="1">
      <c r="A787" s="153"/>
      <c r="B787" s="153"/>
      <c r="C787" s="153"/>
      <c r="D787" s="153"/>
      <c r="E787" s="251"/>
      <c r="F787" s="251"/>
      <c r="G787" s="153"/>
      <c r="H787" s="252"/>
      <c r="I787" s="153"/>
      <c r="J787" s="153"/>
      <c r="K787" s="252"/>
      <c r="L787" s="153"/>
      <c r="M787" s="252"/>
      <c r="N787" s="153"/>
      <c r="O787" s="153"/>
      <c r="P787" s="153"/>
      <c r="Q787" s="152"/>
      <c r="R787" s="153"/>
      <c r="S787" s="153"/>
      <c r="T787" s="153"/>
      <c r="U787" s="153"/>
      <c r="V787" s="153"/>
      <c r="W787" s="153"/>
      <c r="X787" s="153"/>
      <c r="Y787" s="153"/>
      <c r="Z787" s="153"/>
      <c r="AA787" s="153"/>
    </row>
    <row r="788" ht="39.75" customHeight="1">
      <c r="A788" s="153"/>
      <c r="B788" s="153"/>
      <c r="C788" s="153"/>
      <c r="D788" s="153"/>
      <c r="E788" s="251"/>
      <c r="F788" s="251"/>
      <c r="G788" s="153"/>
      <c r="H788" s="252"/>
      <c r="I788" s="153"/>
      <c r="J788" s="153"/>
      <c r="K788" s="252"/>
      <c r="L788" s="153"/>
      <c r="M788" s="252"/>
      <c r="N788" s="153"/>
      <c r="O788" s="153"/>
      <c r="P788" s="153"/>
      <c r="Q788" s="152"/>
      <c r="R788" s="153"/>
      <c r="S788" s="153"/>
      <c r="T788" s="153"/>
      <c r="U788" s="153"/>
      <c r="V788" s="153"/>
      <c r="W788" s="153"/>
      <c r="X788" s="153"/>
      <c r="Y788" s="153"/>
      <c r="Z788" s="153"/>
      <c r="AA788" s="153"/>
    </row>
    <row r="789" ht="39.75" customHeight="1">
      <c r="A789" s="153"/>
      <c r="B789" s="153"/>
      <c r="C789" s="153"/>
      <c r="D789" s="153"/>
      <c r="E789" s="251"/>
      <c r="F789" s="251"/>
      <c r="G789" s="153"/>
      <c r="H789" s="252"/>
      <c r="I789" s="153"/>
      <c r="J789" s="153"/>
      <c r="K789" s="252"/>
      <c r="L789" s="153"/>
      <c r="M789" s="252"/>
      <c r="N789" s="153"/>
      <c r="O789" s="153"/>
      <c r="P789" s="153"/>
      <c r="Q789" s="152"/>
      <c r="R789" s="153"/>
      <c r="S789" s="153"/>
      <c r="T789" s="153"/>
      <c r="U789" s="153"/>
      <c r="V789" s="153"/>
      <c r="W789" s="153"/>
      <c r="X789" s="153"/>
      <c r="Y789" s="153"/>
      <c r="Z789" s="153"/>
      <c r="AA789" s="153"/>
    </row>
    <row r="790" ht="39.75" customHeight="1">
      <c r="A790" s="153"/>
      <c r="B790" s="153"/>
      <c r="C790" s="153"/>
      <c r="D790" s="153"/>
      <c r="E790" s="251"/>
      <c r="F790" s="251"/>
      <c r="G790" s="153"/>
      <c r="H790" s="252"/>
      <c r="I790" s="153"/>
      <c r="J790" s="153"/>
      <c r="K790" s="252"/>
      <c r="L790" s="153"/>
      <c r="M790" s="252"/>
      <c r="N790" s="153"/>
      <c r="O790" s="153"/>
      <c r="P790" s="153"/>
      <c r="Q790" s="152"/>
      <c r="R790" s="153"/>
      <c r="S790" s="153"/>
      <c r="T790" s="153"/>
      <c r="U790" s="153"/>
      <c r="V790" s="153"/>
      <c r="W790" s="153"/>
      <c r="X790" s="153"/>
      <c r="Y790" s="153"/>
      <c r="Z790" s="153"/>
      <c r="AA790" s="153"/>
    </row>
    <row r="791" ht="39.75" customHeight="1">
      <c r="A791" s="153"/>
      <c r="B791" s="153"/>
      <c r="C791" s="153"/>
      <c r="D791" s="153"/>
      <c r="E791" s="251"/>
      <c r="F791" s="251"/>
      <c r="G791" s="153"/>
      <c r="H791" s="252"/>
      <c r="I791" s="153"/>
      <c r="J791" s="153"/>
      <c r="K791" s="252"/>
      <c r="L791" s="153"/>
      <c r="M791" s="252"/>
      <c r="N791" s="153"/>
      <c r="O791" s="153"/>
      <c r="P791" s="153"/>
      <c r="Q791" s="152"/>
      <c r="R791" s="153"/>
      <c r="S791" s="153"/>
      <c r="T791" s="153"/>
      <c r="U791" s="153"/>
      <c r="V791" s="153"/>
      <c r="W791" s="153"/>
      <c r="X791" s="153"/>
      <c r="Y791" s="153"/>
      <c r="Z791" s="153"/>
      <c r="AA791" s="153"/>
    </row>
    <row r="792" ht="39.75" customHeight="1">
      <c r="A792" s="153"/>
      <c r="B792" s="153"/>
      <c r="C792" s="153"/>
      <c r="D792" s="153"/>
      <c r="E792" s="251"/>
      <c r="F792" s="251"/>
      <c r="G792" s="153"/>
      <c r="H792" s="252"/>
      <c r="I792" s="153"/>
      <c r="J792" s="153"/>
      <c r="K792" s="252"/>
      <c r="L792" s="153"/>
      <c r="M792" s="252"/>
      <c r="N792" s="153"/>
      <c r="O792" s="153"/>
      <c r="P792" s="153"/>
      <c r="Q792" s="152"/>
      <c r="R792" s="153"/>
      <c r="S792" s="153"/>
      <c r="T792" s="153"/>
      <c r="U792" s="153"/>
      <c r="V792" s="153"/>
      <c r="W792" s="153"/>
      <c r="X792" s="153"/>
      <c r="Y792" s="153"/>
      <c r="Z792" s="153"/>
      <c r="AA792" s="153"/>
    </row>
    <row r="793" ht="39.75" customHeight="1">
      <c r="A793" s="153"/>
      <c r="B793" s="153"/>
      <c r="C793" s="153"/>
      <c r="D793" s="153"/>
      <c r="E793" s="251"/>
      <c r="F793" s="251"/>
      <c r="G793" s="153"/>
      <c r="H793" s="252"/>
      <c r="I793" s="153"/>
      <c r="J793" s="153"/>
      <c r="K793" s="252"/>
      <c r="L793" s="153"/>
      <c r="M793" s="252"/>
      <c r="N793" s="153"/>
      <c r="O793" s="153"/>
      <c r="P793" s="153"/>
      <c r="Q793" s="152"/>
      <c r="R793" s="153"/>
      <c r="S793" s="153"/>
      <c r="T793" s="153"/>
      <c r="U793" s="153"/>
      <c r="V793" s="153"/>
      <c r="W793" s="153"/>
      <c r="X793" s="153"/>
      <c r="Y793" s="153"/>
      <c r="Z793" s="153"/>
      <c r="AA793" s="153"/>
    </row>
    <row r="794" ht="39.75" customHeight="1">
      <c r="A794" s="153"/>
      <c r="B794" s="153"/>
      <c r="C794" s="153"/>
      <c r="D794" s="153"/>
      <c r="E794" s="251"/>
      <c r="F794" s="251"/>
      <c r="G794" s="153"/>
      <c r="H794" s="252"/>
      <c r="I794" s="153"/>
      <c r="J794" s="153"/>
      <c r="K794" s="252"/>
      <c r="L794" s="153"/>
      <c r="M794" s="252"/>
      <c r="N794" s="153"/>
      <c r="O794" s="153"/>
      <c r="P794" s="153"/>
      <c r="Q794" s="152"/>
      <c r="R794" s="153"/>
      <c r="S794" s="153"/>
      <c r="T794" s="153"/>
      <c r="U794" s="153"/>
      <c r="V794" s="153"/>
      <c r="W794" s="153"/>
      <c r="X794" s="153"/>
      <c r="Y794" s="153"/>
      <c r="Z794" s="153"/>
      <c r="AA794" s="153"/>
    </row>
    <row r="795" ht="39.75" customHeight="1">
      <c r="A795" s="153"/>
      <c r="B795" s="153"/>
      <c r="C795" s="153"/>
      <c r="D795" s="153"/>
      <c r="E795" s="251"/>
      <c r="F795" s="251"/>
      <c r="G795" s="153"/>
      <c r="H795" s="252"/>
      <c r="I795" s="153"/>
      <c r="J795" s="153"/>
      <c r="K795" s="252"/>
      <c r="L795" s="153"/>
      <c r="M795" s="252"/>
      <c r="N795" s="153"/>
      <c r="O795" s="153"/>
      <c r="P795" s="153"/>
      <c r="Q795" s="152"/>
      <c r="R795" s="153"/>
      <c r="S795" s="153"/>
      <c r="T795" s="153"/>
      <c r="U795" s="153"/>
      <c r="V795" s="153"/>
      <c r="W795" s="153"/>
      <c r="X795" s="153"/>
      <c r="Y795" s="153"/>
      <c r="Z795" s="153"/>
      <c r="AA795" s="153"/>
    </row>
    <row r="796" ht="39.75" customHeight="1">
      <c r="A796" s="153"/>
      <c r="B796" s="153"/>
      <c r="C796" s="153"/>
      <c r="D796" s="153"/>
      <c r="E796" s="251"/>
      <c r="F796" s="251"/>
      <c r="G796" s="153"/>
      <c r="H796" s="252"/>
      <c r="I796" s="153"/>
      <c r="J796" s="153"/>
      <c r="K796" s="252"/>
      <c r="L796" s="153"/>
      <c r="M796" s="252"/>
      <c r="N796" s="153"/>
      <c r="O796" s="153"/>
      <c r="P796" s="153"/>
      <c r="Q796" s="152"/>
      <c r="R796" s="153"/>
      <c r="S796" s="153"/>
      <c r="T796" s="153"/>
      <c r="U796" s="153"/>
      <c r="V796" s="153"/>
      <c r="W796" s="153"/>
      <c r="X796" s="153"/>
      <c r="Y796" s="153"/>
      <c r="Z796" s="153"/>
      <c r="AA796" s="153"/>
    </row>
    <row r="797" ht="39.75" customHeight="1">
      <c r="A797" s="153"/>
      <c r="B797" s="153"/>
      <c r="C797" s="153"/>
      <c r="D797" s="153"/>
      <c r="E797" s="251"/>
      <c r="F797" s="251"/>
      <c r="G797" s="153"/>
      <c r="H797" s="252"/>
      <c r="I797" s="153"/>
      <c r="J797" s="153"/>
      <c r="K797" s="252"/>
      <c r="L797" s="153"/>
      <c r="M797" s="252"/>
      <c r="N797" s="153"/>
      <c r="O797" s="153"/>
      <c r="P797" s="153"/>
      <c r="Q797" s="152"/>
      <c r="R797" s="153"/>
      <c r="S797" s="153"/>
      <c r="T797" s="153"/>
      <c r="U797" s="153"/>
      <c r="V797" s="153"/>
      <c r="W797" s="153"/>
      <c r="X797" s="153"/>
      <c r="Y797" s="153"/>
      <c r="Z797" s="153"/>
      <c r="AA797" s="153"/>
    </row>
    <row r="798" ht="39.75" customHeight="1">
      <c r="A798" s="153"/>
      <c r="B798" s="153"/>
      <c r="C798" s="153"/>
      <c r="D798" s="153"/>
      <c r="E798" s="251"/>
      <c r="F798" s="251"/>
      <c r="G798" s="153"/>
      <c r="H798" s="252"/>
      <c r="I798" s="153"/>
      <c r="J798" s="153"/>
      <c r="K798" s="252"/>
      <c r="L798" s="153"/>
      <c r="M798" s="252"/>
      <c r="N798" s="153"/>
      <c r="O798" s="153"/>
      <c r="P798" s="153"/>
      <c r="Q798" s="152"/>
      <c r="R798" s="153"/>
      <c r="S798" s="153"/>
      <c r="T798" s="153"/>
      <c r="U798" s="153"/>
      <c r="V798" s="153"/>
      <c r="W798" s="153"/>
      <c r="X798" s="153"/>
      <c r="Y798" s="153"/>
      <c r="Z798" s="153"/>
      <c r="AA798" s="153"/>
    </row>
    <row r="799" ht="39.75" customHeight="1">
      <c r="A799" s="153"/>
      <c r="B799" s="153"/>
      <c r="C799" s="153"/>
      <c r="D799" s="153"/>
      <c r="E799" s="251"/>
      <c r="F799" s="251"/>
      <c r="G799" s="153"/>
      <c r="H799" s="252"/>
      <c r="I799" s="153"/>
      <c r="J799" s="153"/>
      <c r="K799" s="252"/>
      <c r="L799" s="153"/>
      <c r="M799" s="252"/>
      <c r="N799" s="153"/>
      <c r="O799" s="153"/>
      <c r="P799" s="153"/>
      <c r="Q799" s="152"/>
      <c r="R799" s="153"/>
      <c r="S799" s="153"/>
      <c r="T799" s="153"/>
      <c r="U799" s="153"/>
      <c r="V799" s="153"/>
      <c r="W799" s="153"/>
      <c r="X799" s="153"/>
      <c r="Y799" s="153"/>
      <c r="Z799" s="153"/>
      <c r="AA799" s="153"/>
    </row>
    <row r="800" ht="39.75" customHeight="1">
      <c r="A800" s="153"/>
      <c r="B800" s="153"/>
      <c r="C800" s="153"/>
      <c r="D800" s="153"/>
      <c r="E800" s="251"/>
      <c r="F800" s="251"/>
      <c r="G800" s="153"/>
      <c r="H800" s="252"/>
      <c r="I800" s="153"/>
      <c r="J800" s="153"/>
      <c r="K800" s="252"/>
      <c r="L800" s="153"/>
      <c r="M800" s="252"/>
      <c r="N800" s="153"/>
      <c r="O800" s="153"/>
      <c r="P800" s="153"/>
      <c r="Q800" s="152"/>
      <c r="R800" s="153"/>
      <c r="S800" s="153"/>
      <c r="T800" s="153"/>
      <c r="U800" s="153"/>
      <c r="V800" s="153"/>
      <c r="W800" s="153"/>
      <c r="X800" s="153"/>
      <c r="Y800" s="153"/>
      <c r="Z800" s="153"/>
      <c r="AA800" s="153"/>
    </row>
    <row r="801" ht="39.75" customHeight="1">
      <c r="A801" s="153"/>
      <c r="B801" s="153"/>
      <c r="C801" s="153"/>
      <c r="D801" s="153"/>
      <c r="E801" s="251"/>
      <c r="F801" s="251"/>
      <c r="G801" s="153"/>
      <c r="H801" s="252"/>
      <c r="I801" s="153"/>
      <c r="J801" s="153"/>
      <c r="K801" s="252"/>
      <c r="L801" s="153"/>
      <c r="M801" s="252"/>
      <c r="N801" s="153"/>
      <c r="O801" s="153"/>
      <c r="P801" s="153"/>
      <c r="Q801" s="152"/>
      <c r="R801" s="153"/>
      <c r="S801" s="153"/>
      <c r="T801" s="153"/>
      <c r="U801" s="153"/>
      <c r="V801" s="153"/>
      <c r="W801" s="153"/>
      <c r="X801" s="153"/>
      <c r="Y801" s="153"/>
      <c r="Z801" s="153"/>
      <c r="AA801" s="153"/>
    </row>
    <row r="802" ht="39.75" customHeight="1">
      <c r="A802" s="153"/>
      <c r="B802" s="153"/>
      <c r="C802" s="153"/>
      <c r="D802" s="153"/>
      <c r="E802" s="251"/>
      <c r="F802" s="251"/>
      <c r="G802" s="153"/>
      <c r="H802" s="252"/>
      <c r="I802" s="153"/>
      <c r="J802" s="153"/>
      <c r="K802" s="252"/>
      <c r="L802" s="153"/>
      <c r="M802" s="252"/>
      <c r="N802" s="153"/>
      <c r="O802" s="153"/>
      <c r="P802" s="153"/>
      <c r="Q802" s="152"/>
      <c r="R802" s="153"/>
      <c r="S802" s="153"/>
      <c r="T802" s="153"/>
      <c r="U802" s="153"/>
      <c r="V802" s="153"/>
      <c r="W802" s="153"/>
      <c r="X802" s="153"/>
      <c r="Y802" s="153"/>
      <c r="Z802" s="153"/>
      <c r="AA802" s="153"/>
    </row>
    <row r="803" ht="39.75" customHeight="1">
      <c r="A803" s="153"/>
      <c r="B803" s="153"/>
      <c r="C803" s="153"/>
      <c r="D803" s="153"/>
      <c r="E803" s="251"/>
      <c r="F803" s="251"/>
      <c r="G803" s="153"/>
      <c r="H803" s="252"/>
      <c r="I803" s="153"/>
      <c r="J803" s="153"/>
      <c r="K803" s="252"/>
      <c r="L803" s="153"/>
      <c r="M803" s="252"/>
      <c r="N803" s="153"/>
      <c r="O803" s="153"/>
      <c r="P803" s="153"/>
      <c r="Q803" s="152"/>
      <c r="R803" s="153"/>
      <c r="S803" s="153"/>
      <c r="T803" s="153"/>
      <c r="U803" s="153"/>
      <c r="V803" s="153"/>
      <c r="W803" s="153"/>
      <c r="X803" s="153"/>
      <c r="Y803" s="153"/>
      <c r="Z803" s="153"/>
      <c r="AA803" s="153"/>
    </row>
    <row r="804" ht="39.75" customHeight="1">
      <c r="A804" s="153"/>
      <c r="B804" s="153"/>
      <c r="C804" s="153"/>
      <c r="D804" s="153"/>
      <c r="E804" s="251"/>
      <c r="F804" s="251"/>
      <c r="G804" s="153"/>
      <c r="H804" s="252"/>
      <c r="I804" s="153"/>
      <c r="J804" s="153"/>
      <c r="K804" s="252"/>
      <c r="L804" s="153"/>
      <c r="M804" s="252"/>
      <c r="N804" s="153"/>
      <c r="O804" s="153"/>
      <c r="P804" s="153"/>
      <c r="Q804" s="152"/>
      <c r="R804" s="153"/>
      <c r="S804" s="153"/>
      <c r="T804" s="153"/>
      <c r="U804" s="153"/>
      <c r="V804" s="153"/>
      <c r="W804" s="153"/>
      <c r="X804" s="153"/>
      <c r="Y804" s="153"/>
      <c r="Z804" s="153"/>
      <c r="AA804" s="153"/>
    </row>
    <row r="805" ht="39.75" customHeight="1">
      <c r="A805" s="153"/>
      <c r="B805" s="153"/>
      <c r="C805" s="153"/>
      <c r="D805" s="153"/>
      <c r="E805" s="251"/>
      <c r="F805" s="251"/>
      <c r="G805" s="153"/>
      <c r="H805" s="252"/>
      <c r="I805" s="153"/>
      <c r="J805" s="153"/>
      <c r="K805" s="252"/>
      <c r="L805" s="153"/>
      <c r="M805" s="252"/>
      <c r="N805" s="153"/>
      <c r="O805" s="153"/>
      <c r="P805" s="153"/>
      <c r="Q805" s="152"/>
      <c r="R805" s="153"/>
      <c r="S805" s="153"/>
      <c r="T805" s="153"/>
      <c r="U805" s="153"/>
      <c r="V805" s="153"/>
      <c r="W805" s="153"/>
      <c r="X805" s="153"/>
      <c r="Y805" s="153"/>
      <c r="Z805" s="153"/>
      <c r="AA805" s="153"/>
    </row>
    <row r="806" ht="39.75" customHeight="1">
      <c r="A806" s="153"/>
      <c r="B806" s="153"/>
      <c r="C806" s="153"/>
      <c r="D806" s="153"/>
      <c r="E806" s="251"/>
      <c r="F806" s="251"/>
      <c r="G806" s="153"/>
      <c r="H806" s="252"/>
      <c r="I806" s="153"/>
      <c r="J806" s="153"/>
      <c r="K806" s="252"/>
      <c r="L806" s="153"/>
      <c r="M806" s="252"/>
      <c r="N806" s="153"/>
      <c r="O806" s="153"/>
      <c r="P806" s="153"/>
      <c r="Q806" s="152"/>
      <c r="R806" s="153"/>
      <c r="S806" s="153"/>
      <c r="T806" s="153"/>
      <c r="U806" s="153"/>
      <c r="V806" s="153"/>
      <c r="W806" s="153"/>
      <c r="X806" s="153"/>
      <c r="Y806" s="153"/>
      <c r="Z806" s="153"/>
      <c r="AA806" s="153"/>
    </row>
    <row r="807" ht="39.75" customHeight="1">
      <c r="A807" s="153"/>
      <c r="B807" s="153"/>
      <c r="C807" s="153"/>
      <c r="D807" s="153"/>
      <c r="E807" s="251"/>
      <c r="F807" s="251"/>
      <c r="G807" s="153"/>
      <c r="H807" s="252"/>
      <c r="I807" s="153"/>
      <c r="J807" s="153"/>
      <c r="K807" s="252"/>
      <c r="L807" s="153"/>
      <c r="M807" s="252"/>
      <c r="N807" s="153"/>
      <c r="O807" s="153"/>
      <c r="P807" s="153"/>
      <c r="Q807" s="152"/>
      <c r="R807" s="153"/>
      <c r="S807" s="153"/>
      <c r="T807" s="153"/>
      <c r="U807" s="153"/>
      <c r="V807" s="153"/>
      <c r="W807" s="153"/>
      <c r="X807" s="153"/>
      <c r="Y807" s="153"/>
      <c r="Z807" s="153"/>
      <c r="AA807" s="153"/>
    </row>
    <row r="808" ht="39.75" customHeight="1">
      <c r="A808" s="153"/>
      <c r="B808" s="153"/>
      <c r="C808" s="153"/>
      <c r="D808" s="153"/>
      <c r="E808" s="251"/>
      <c r="F808" s="251"/>
      <c r="G808" s="153"/>
      <c r="H808" s="252"/>
      <c r="I808" s="153"/>
      <c r="J808" s="153"/>
      <c r="K808" s="252"/>
      <c r="L808" s="153"/>
      <c r="M808" s="252"/>
      <c r="N808" s="153"/>
      <c r="O808" s="153"/>
      <c r="P808" s="153"/>
      <c r="Q808" s="152"/>
      <c r="R808" s="153"/>
      <c r="S808" s="153"/>
      <c r="T808" s="153"/>
      <c r="U808" s="153"/>
      <c r="V808" s="153"/>
      <c r="W808" s="153"/>
      <c r="X808" s="153"/>
      <c r="Y808" s="153"/>
      <c r="Z808" s="153"/>
      <c r="AA808" s="153"/>
    </row>
    <row r="809" ht="39.75" customHeight="1">
      <c r="A809" s="153"/>
      <c r="B809" s="153"/>
      <c r="C809" s="153"/>
      <c r="D809" s="153"/>
      <c r="E809" s="251"/>
      <c r="F809" s="251"/>
      <c r="G809" s="153"/>
      <c r="H809" s="252"/>
      <c r="I809" s="153"/>
      <c r="J809" s="153"/>
      <c r="K809" s="252"/>
      <c r="L809" s="153"/>
      <c r="M809" s="252"/>
      <c r="N809" s="153"/>
      <c r="O809" s="153"/>
      <c r="P809" s="153"/>
      <c r="Q809" s="152"/>
      <c r="R809" s="153"/>
      <c r="S809" s="153"/>
      <c r="T809" s="153"/>
      <c r="U809" s="153"/>
      <c r="V809" s="153"/>
      <c r="W809" s="153"/>
      <c r="X809" s="153"/>
      <c r="Y809" s="153"/>
      <c r="Z809" s="153"/>
      <c r="AA809" s="153"/>
    </row>
    <row r="810" ht="39.75" customHeight="1">
      <c r="A810" s="153"/>
      <c r="B810" s="153"/>
      <c r="C810" s="153"/>
      <c r="D810" s="153"/>
      <c r="E810" s="251"/>
      <c r="F810" s="251"/>
      <c r="G810" s="153"/>
      <c r="H810" s="252"/>
      <c r="I810" s="153"/>
      <c r="J810" s="153"/>
      <c r="K810" s="252"/>
      <c r="L810" s="153"/>
      <c r="M810" s="252"/>
      <c r="N810" s="153"/>
      <c r="O810" s="153"/>
      <c r="P810" s="153"/>
      <c r="Q810" s="152"/>
      <c r="R810" s="153"/>
      <c r="S810" s="153"/>
      <c r="T810" s="153"/>
      <c r="U810" s="153"/>
      <c r="V810" s="153"/>
      <c r="W810" s="153"/>
      <c r="X810" s="153"/>
      <c r="Y810" s="153"/>
      <c r="Z810" s="153"/>
      <c r="AA810" s="153"/>
    </row>
    <row r="811" ht="39.75" customHeight="1">
      <c r="A811" s="153"/>
      <c r="B811" s="153"/>
      <c r="C811" s="153"/>
      <c r="D811" s="153"/>
      <c r="E811" s="251"/>
      <c r="F811" s="251"/>
      <c r="G811" s="153"/>
      <c r="H811" s="252"/>
      <c r="I811" s="153"/>
      <c r="J811" s="153"/>
      <c r="K811" s="252"/>
      <c r="L811" s="153"/>
      <c r="M811" s="252"/>
      <c r="N811" s="153"/>
      <c r="O811" s="153"/>
      <c r="P811" s="153"/>
      <c r="Q811" s="152"/>
      <c r="R811" s="153"/>
      <c r="S811" s="153"/>
      <c r="T811" s="153"/>
      <c r="U811" s="153"/>
      <c r="V811" s="153"/>
      <c r="W811" s="153"/>
      <c r="X811" s="153"/>
      <c r="Y811" s="153"/>
      <c r="Z811" s="153"/>
      <c r="AA811" s="153"/>
    </row>
    <row r="812" ht="39.75" customHeight="1">
      <c r="A812" s="153"/>
      <c r="B812" s="153"/>
      <c r="C812" s="153"/>
      <c r="D812" s="153"/>
      <c r="E812" s="251"/>
      <c r="F812" s="251"/>
      <c r="G812" s="153"/>
      <c r="H812" s="252"/>
      <c r="I812" s="153"/>
      <c r="J812" s="153"/>
      <c r="K812" s="252"/>
      <c r="L812" s="153"/>
      <c r="M812" s="252"/>
      <c r="N812" s="153"/>
      <c r="O812" s="153"/>
      <c r="P812" s="153"/>
      <c r="Q812" s="152"/>
      <c r="R812" s="153"/>
      <c r="S812" s="153"/>
      <c r="T812" s="153"/>
      <c r="U812" s="153"/>
      <c r="V812" s="153"/>
      <c r="W812" s="153"/>
      <c r="X812" s="153"/>
      <c r="Y812" s="153"/>
      <c r="Z812" s="153"/>
      <c r="AA812" s="153"/>
    </row>
    <row r="813" ht="39.75" customHeight="1">
      <c r="A813" s="153"/>
      <c r="B813" s="153"/>
      <c r="C813" s="153"/>
      <c r="D813" s="153"/>
      <c r="E813" s="251"/>
      <c r="F813" s="251"/>
      <c r="G813" s="153"/>
      <c r="H813" s="252"/>
      <c r="I813" s="153"/>
      <c r="J813" s="153"/>
      <c r="K813" s="252"/>
      <c r="L813" s="153"/>
      <c r="M813" s="252"/>
      <c r="N813" s="153"/>
      <c r="O813" s="153"/>
      <c r="P813" s="153"/>
      <c r="Q813" s="152"/>
      <c r="R813" s="153"/>
      <c r="S813" s="153"/>
      <c r="T813" s="153"/>
      <c r="U813" s="153"/>
      <c r="V813" s="153"/>
      <c r="W813" s="153"/>
      <c r="X813" s="153"/>
      <c r="Y813" s="153"/>
      <c r="Z813" s="153"/>
      <c r="AA813" s="153"/>
    </row>
    <row r="814" ht="39.75" customHeight="1">
      <c r="A814" s="153"/>
      <c r="B814" s="153"/>
      <c r="C814" s="153"/>
      <c r="D814" s="153"/>
      <c r="E814" s="251"/>
      <c r="F814" s="251"/>
      <c r="G814" s="153"/>
      <c r="H814" s="252"/>
      <c r="I814" s="153"/>
      <c r="J814" s="153"/>
      <c r="K814" s="252"/>
      <c r="L814" s="153"/>
      <c r="M814" s="252"/>
      <c r="N814" s="153"/>
      <c r="O814" s="153"/>
      <c r="P814" s="153"/>
      <c r="Q814" s="152"/>
      <c r="R814" s="153"/>
      <c r="S814" s="153"/>
      <c r="T814" s="153"/>
      <c r="U814" s="153"/>
      <c r="V814" s="153"/>
      <c r="W814" s="153"/>
      <c r="X814" s="153"/>
      <c r="Y814" s="153"/>
      <c r="Z814" s="153"/>
      <c r="AA814" s="153"/>
    </row>
    <row r="815" ht="39.75" customHeight="1">
      <c r="A815" s="153"/>
      <c r="B815" s="153"/>
      <c r="C815" s="153"/>
      <c r="D815" s="153"/>
      <c r="E815" s="251"/>
      <c r="F815" s="251"/>
      <c r="G815" s="153"/>
      <c r="H815" s="252"/>
      <c r="I815" s="153"/>
      <c r="J815" s="153"/>
      <c r="K815" s="252"/>
      <c r="L815" s="153"/>
      <c r="M815" s="252"/>
      <c r="N815" s="153"/>
      <c r="O815" s="153"/>
      <c r="P815" s="153"/>
      <c r="Q815" s="152"/>
      <c r="R815" s="153"/>
      <c r="S815" s="153"/>
      <c r="T815" s="153"/>
      <c r="U815" s="153"/>
      <c r="V815" s="153"/>
      <c r="W815" s="153"/>
      <c r="X815" s="153"/>
      <c r="Y815" s="153"/>
      <c r="Z815" s="153"/>
      <c r="AA815" s="153"/>
    </row>
    <row r="816" ht="39.75" customHeight="1">
      <c r="A816" s="153"/>
      <c r="B816" s="153"/>
      <c r="C816" s="153"/>
      <c r="D816" s="153"/>
      <c r="E816" s="251"/>
      <c r="F816" s="251"/>
      <c r="G816" s="153"/>
      <c r="H816" s="252"/>
      <c r="I816" s="153"/>
      <c r="J816" s="153"/>
      <c r="K816" s="252"/>
      <c r="L816" s="153"/>
      <c r="M816" s="252"/>
      <c r="N816" s="153"/>
      <c r="O816" s="153"/>
      <c r="P816" s="153"/>
      <c r="Q816" s="152"/>
      <c r="R816" s="153"/>
      <c r="S816" s="153"/>
      <c r="T816" s="153"/>
      <c r="U816" s="153"/>
      <c r="V816" s="153"/>
      <c r="W816" s="153"/>
      <c r="X816" s="153"/>
      <c r="Y816" s="153"/>
      <c r="Z816" s="153"/>
      <c r="AA816" s="153"/>
    </row>
    <row r="817" ht="39.75" customHeight="1">
      <c r="A817" s="153"/>
      <c r="B817" s="153"/>
      <c r="C817" s="153"/>
      <c r="D817" s="153"/>
      <c r="E817" s="251"/>
      <c r="F817" s="251"/>
      <c r="G817" s="153"/>
      <c r="H817" s="252"/>
      <c r="I817" s="153"/>
      <c r="J817" s="153"/>
      <c r="K817" s="252"/>
      <c r="L817" s="153"/>
      <c r="M817" s="252"/>
      <c r="N817" s="153"/>
      <c r="O817" s="153"/>
      <c r="P817" s="153"/>
      <c r="Q817" s="152"/>
      <c r="R817" s="153"/>
      <c r="S817" s="153"/>
      <c r="T817" s="153"/>
      <c r="U817" s="153"/>
      <c r="V817" s="153"/>
      <c r="W817" s="153"/>
      <c r="X817" s="153"/>
      <c r="Y817" s="153"/>
      <c r="Z817" s="153"/>
      <c r="AA817" s="153"/>
    </row>
    <row r="818" ht="39.75" customHeight="1">
      <c r="A818" s="153"/>
      <c r="B818" s="153"/>
      <c r="C818" s="153"/>
      <c r="D818" s="153"/>
      <c r="E818" s="251"/>
      <c r="F818" s="251"/>
      <c r="G818" s="153"/>
      <c r="H818" s="252"/>
      <c r="I818" s="153"/>
      <c r="J818" s="153"/>
      <c r="K818" s="252"/>
      <c r="L818" s="153"/>
      <c r="M818" s="252"/>
      <c r="N818" s="153"/>
      <c r="O818" s="153"/>
      <c r="P818" s="153"/>
      <c r="Q818" s="152"/>
      <c r="R818" s="153"/>
      <c r="S818" s="153"/>
      <c r="T818" s="153"/>
      <c r="U818" s="153"/>
      <c r="V818" s="153"/>
      <c r="W818" s="153"/>
      <c r="X818" s="153"/>
      <c r="Y818" s="153"/>
      <c r="Z818" s="153"/>
      <c r="AA818" s="153"/>
    </row>
    <row r="819" ht="39.75" customHeight="1">
      <c r="A819" s="153"/>
      <c r="B819" s="153"/>
      <c r="C819" s="153"/>
      <c r="D819" s="153"/>
      <c r="E819" s="251"/>
      <c r="F819" s="251"/>
      <c r="G819" s="153"/>
      <c r="H819" s="252"/>
      <c r="I819" s="153"/>
      <c r="J819" s="153"/>
      <c r="K819" s="252"/>
      <c r="L819" s="153"/>
      <c r="M819" s="252"/>
      <c r="N819" s="153"/>
      <c r="O819" s="153"/>
      <c r="P819" s="153"/>
      <c r="Q819" s="152"/>
      <c r="R819" s="153"/>
      <c r="S819" s="153"/>
      <c r="T819" s="153"/>
      <c r="U819" s="153"/>
      <c r="V819" s="153"/>
      <c r="W819" s="153"/>
      <c r="X819" s="153"/>
      <c r="Y819" s="153"/>
      <c r="Z819" s="153"/>
      <c r="AA819" s="153"/>
    </row>
    <row r="820" ht="39.75" customHeight="1">
      <c r="A820" s="153"/>
      <c r="B820" s="153"/>
      <c r="C820" s="153"/>
      <c r="D820" s="153"/>
      <c r="E820" s="251"/>
      <c r="F820" s="251"/>
      <c r="G820" s="153"/>
      <c r="H820" s="252"/>
      <c r="I820" s="153"/>
      <c r="J820" s="153"/>
      <c r="K820" s="252"/>
      <c r="L820" s="153"/>
      <c r="M820" s="252"/>
      <c r="N820" s="153"/>
      <c r="O820" s="153"/>
      <c r="P820" s="153"/>
      <c r="Q820" s="152"/>
      <c r="R820" s="153"/>
      <c r="S820" s="153"/>
      <c r="T820" s="153"/>
      <c r="U820" s="153"/>
      <c r="V820" s="153"/>
      <c r="W820" s="153"/>
      <c r="X820" s="153"/>
      <c r="Y820" s="153"/>
      <c r="Z820" s="153"/>
      <c r="AA820" s="153"/>
    </row>
    <row r="821" ht="39.75" customHeight="1">
      <c r="A821" s="153"/>
      <c r="B821" s="153"/>
      <c r="C821" s="153"/>
      <c r="D821" s="153"/>
      <c r="E821" s="251"/>
      <c r="F821" s="251"/>
      <c r="G821" s="153"/>
      <c r="H821" s="252"/>
      <c r="I821" s="153"/>
      <c r="J821" s="153"/>
      <c r="K821" s="252"/>
      <c r="L821" s="153"/>
      <c r="M821" s="252"/>
      <c r="N821" s="153"/>
      <c r="O821" s="153"/>
      <c r="P821" s="153"/>
      <c r="Q821" s="152"/>
      <c r="R821" s="153"/>
      <c r="S821" s="153"/>
      <c r="T821" s="153"/>
      <c r="U821" s="153"/>
      <c r="V821" s="153"/>
      <c r="W821" s="153"/>
      <c r="X821" s="153"/>
      <c r="Y821" s="153"/>
      <c r="Z821" s="153"/>
      <c r="AA821" s="153"/>
    </row>
    <row r="822" ht="39.75" customHeight="1">
      <c r="A822" s="153"/>
      <c r="B822" s="153"/>
      <c r="C822" s="153"/>
      <c r="D822" s="153"/>
      <c r="E822" s="251"/>
      <c r="F822" s="251"/>
      <c r="G822" s="153"/>
      <c r="H822" s="252"/>
      <c r="I822" s="153"/>
      <c r="J822" s="153"/>
      <c r="K822" s="252"/>
      <c r="L822" s="153"/>
      <c r="M822" s="252"/>
      <c r="N822" s="153"/>
      <c r="O822" s="153"/>
      <c r="P822" s="153"/>
      <c r="Q822" s="152"/>
      <c r="R822" s="153"/>
      <c r="S822" s="153"/>
      <c r="T822" s="153"/>
      <c r="U822" s="153"/>
      <c r="V822" s="153"/>
      <c r="W822" s="153"/>
      <c r="X822" s="153"/>
      <c r="Y822" s="153"/>
      <c r="Z822" s="153"/>
      <c r="AA822" s="153"/>
    </row>
    <row r="823" ht="39.75" customHeight="1">
      <c r="A823" s="153"/>
      <c r="B823" s="153"/>
      <c r="C823" s="153"/>
      <c r="D823" s="153"/>
      <c r="E823" s="251"/>
      <c r="F823" s="251"/>
      <c r="G823" s="153"/>
      <c r="H823" s="252"/>
      <c r="I823" s="153"/>
      <c r="J823" s="153"/>
      <c r="K823" s="252"/>
      <c r="L823" s="153"/>
      <c r="M823" s="252"/>
      <c r="N823" s="153"/>
      <c r="O823" s="153"/>
      <c r="P823" s="153"/>
      <c r="Q823" s="152"/>
      <c r="R823" s="153"/>
      <c r="S823" s="153"/>
      <c r="T823" s="153"/>
      <c r="U823" s="153"/>
      <c r="V823" s="153"/>
      <c r="W823" s="153"/>
      <c r="X823" s="153"/>
      <c r="Y823" s="153"/>
      <c r="Z823" s="153"/>
      <c r="AA823" s="153"/>
    </row>
    <row r="824" ht="39.75" customHeight="1">
      <c r="A824" s="153"/>
      <c r="B824" s="153"/>
      <c r="C824" s="153"/>
      <c r="D824" s="153"/>
      <c r="E824" s="251"/>
      <c r="F824" s="251"/>
      <c r="G824" s="153"/>
      <c r="H824" s="252"/>
      <c r="I824" s="153"/>
      <c r="J824" s="153"/>
      <c r="K824" s="252"/>
      <c r="L824" s="153"/>
      <c r="M824" s="252"/>
      <c r="N824" s="153"/>
      <c r="O824" s="153"/>
      <c r="P824" s="153"/>
      <c r="Q824" s="152"/>
      <c r="R824" s="153"/>
      <c r="S824" s="153"/>
      <c r="T824" s="153"/>
      <c r="U824" s="153"/>
      <c r="V824" s="153"/>
      <c r="W824" s="153"/>
      <c r="X824" s="153"/>
      <c r="Y824" s="153"/>
      <c r="Z824" s="153"/>
      <c r="AA824" s="153"/>
    </row>
    <row r="825" ht="39.75" customHeight="1">
      <c r="A825" s="153"/>
      <c r="B825" s="153"/>
      <c r="C825" s="153"/>
      <c r="D825" s="153"/>
      <c r="E825" s="251"/>
      <c r="F825" s="251"/>
      <c r="G825" s="153"/>
      <c r="H825" s="252"/>
      <c r="I825" s="153"/>
      <c r="J825" s="153"/>
      <c r="K825" s="252"/>
      <c r="L825" s="153"/>
      <c r="M825" s="252"/>
      <c r="N825" s="153"/>
      <c r="O825" s="153"/>
      <c r="P825" s="153"/>
      <c r="Q825" s="152"/>
      <c r="R825" s="153"/>
      <c r="S825" s="153"/>
      <c r="T825" s="153"/>
      <c r="U825" s="153"/>
      <c r="V825" s="153"/>
      <c r="W825" s="153"/>
      <c r="X825" s="153"/>
      <c r="Y825" s="153"/>
      <c r="Z825" s="153"/>
      <c r="AA825" s="153"/>
    </row>
    <row r="826" ht="39.75" customHeight="1">
      <c r="A826" s="153"/>
      <c r="B826" s="153"/>
      <c r="C826" s="153"/>
      <c r="D826" s="153"/>
      <c r="E826" s="251"/>
      <c r="F826" s="251"/>
      <c r="G826" s="153"/>
      <c r="H826" s="252"/>
      <c r="I826" s="153"/>
      <c r="J826" s="153"/>
      <c r="K826" s="252"/>
      <c r="L826" s="153"/>
      <c r="M826" s="252"/>
      <c r="N826" s="153"/>
      <c r="O826" s="153"/>
      <c r="P826" s="153"/>
      <c r="Q826" s="152"/>
      <c r="R826" s="153"/>
      <c r="S826" s="153"/>
      <c r="T826" s="153"/>
      <c r="U826" s="153"/>
      <c r="V826" s="153"/>
      <c r="W826" s="153"/>
      <c r="X826" s="153"/>
      <c r="Y826" s="153"/>
      <c r="Z826" s="153"/>
      <c r="AA826" s="153"/>
    </row>
    <row r="827" ht="39.75" customHeight="1">
      <c r="A827" s="153"/>
      <c r="B827" s="153"/>
      <c r="C827" s="153"/>
      <c r="D827" s="153"/>
      <c r="E827" s="251"/>
      <c r="F827" s="251"/>
      <c r="G827" s="153"/>
      <c r="H827" s="252"/>
      <c r="I827" s="153"/>
      <c r="J827" s="153"/>
      <c r="K827" s="252"/>
      <c r="L827" s="153"/>
      <c r="M827" s="252"/>
      <c r="N827" s="153"/>
      <c r="O827" s="153"/>
      <c r="P827" s="153"/>
      <c r="Q827" s="152"/>
      <c r="R827" s="153"/>
      <c r="S827" s="153"/>
      <c r="T827" s="153"/>
      <c r="U827" s="153"/>
      <c r="V827" s="153"/>
      <c r="W827" s="153"/>
      <c r="X827" s="153"/>
      <c r="Y827" s="153"/>
      <c r="Z827" s="153"/>
      <c r="AA827" s="153"/>
    </row>
    <row r="828" ht="39.75" customHeight="1">
      <c r="A828" s="153"/>
      <c r="B828" s="153"/>
      <c r="C828" s="153"/>
      <c r="D828" s="153"/>
      <c r="E828" s="251"/>
      <c r="F828" s="251"/>
      <c r="G828" s="153"/>
      <c r="H828" s="252"/>
      <c r="I828" s="153"/>
      <c r="J828" s="153"/>
      <c r="K828" s="252"/>
      <c r="L828" s="153"/>
      <c r="M828" s="252"/>
      <c r="N828" s="153"/>
      <c r="O828" s="153"/>
      <c r="P828" s="153"/>
      <c r="Q828" s="152"/>
      <c r="R828" s="153"/>
      <c r="S828" s="153"/>
      <c r="T828" s="153"/>
      <c r="U828" s="153"/>
      <c r="V828" s="153"/>
      <c r="W828" s="153"/>
      <c r="X828" s="153"/>
      <c r="Y828" s="153"/>
      <c r="Z828" s="153"/>
      <c r="AA828" s="153"/>
    </row>
    <row r="829" ht="39.75" customHeight="1">
      <c r="A829" s="153"/>
      <c r="B829" s="153"/>
      <c r="C829" s="153"/>
      <c r="D829" s="153"/>
      <c r="E829" s="251"/>
      <c r="F829" s="251"/>
      <c r="G829" s="153"/>
      <c r="H829" s="252"/>
      <c r="I829" s="153"/>
      <c r="J829" s="153"/>
      <c r="K829" s="252"/>
      <c r="L829" s="153"/>
      <c r="M829" s="252"/>
      <c r="N829" s="153"/>
      <c r="O829" s="153"/>
      <c r="P829" s="153"/>
      <c r="Q829" s="152"/>
      <c r="R829" s="153"/>
      <c r="S829" s="153"/>
      <c r="T829" s="153"/>
      <c r="U829" s="153"/>
      <c r="V829" s="153"/>
      <c r="W829" s="153"/>
      <c r="X829" s="153"/>
      <c r="Y829" s="153"/>
      <c r="Z829" s="153"/>
      <c r="AA829" s="153"/>
    </row>
    <row r="830" ht="39.75" customHeight="1">
      <c r="A830" s="153"/>
      <c r="B830" s="153"/>
      <c r="C830" s="153"/>
      <c r="D830" s="153"/>
      <c r="E830" s="251"/>
      <c r="F830" s="251"/>
      <c r="G830" s="153"/>
      <c r="H830" s="252"/>
      <c r="I830" s="153"/>
      <c r="J830" s="153"/>
      <c r="K830" s="252"/>
      <c r="L830" s="153"/>
      <c r="M830" s="252"/>
      <c r="N830" s="153"/>
      <c r="O830" s="153"/>
      <c r="P830" s="153"/>
      <c r="Q830" s="152"/>
      <c r="R830" s="153"/>
      <c r="S830" s="153"/>
      <c r="T830" s="153"/>
      <c r="U830" s="153"/>
      <c r="V830" s="153"/>
      <c r="W830" s="153"/>
      <c r="X830" s="153"/>
      <c r="Y830" s="153"/>
      <c r="Z830" s="153"/>
      <c r="AA830" s="153"/>
    </row>
    <row r="831" ht="39.75" customHeight="1">
      <c r="A831" s="153"/>
      <c r="B831" s="153"/>
      <c r="C831" s="153"/>
      <c r="D831" s="153"/>
      <c r="E831" s="251"/>
      <c r="F831" s="251"/>
      <c r="G831" s="153"/>
      <c r="H831" s="252"/>
      <c r="I831" s="153"/>
      <c r="J831" s="153"/>
      <c r="K831" s="252"/>
      <c r="L831" s="153"/>
      <c r="M831" s="252"/>
      <c r="N831" s="153"/>
      <c r="O831" s="153"/>
      <c r="P831" s="153"/>
      <c r="Q831" s="152"/>
      <c r="R831" s="153"/>
      <c r="S831" s="153"/>
      <c r="T831" s="153"/>
      <c r="U831" s="153"/>
      <c r="V831" s="153"/>
      <c r="W831" s="153"/>
      <c r="X831" s="153"/>
      <c r="Y831" s="153"/>
      <c r="Z831" s="153"/>
      <c r="AA831" s="153"/>
    </row>
    <row r="832" ht="39.75" customHeight="1">
      <c r="A832" s="153"/>
      <c r="B832" s="153"/>
      <c r="C832" s="153"/>
      <c r="D832" s="153"/>
      <c r="E832" s="251"/>
      <c r="F832" s="251"/>
      <c r="G832" s="153"/>
      <c r="H832" s="252"/>
      <c r="I832" s="153"/>
      <c r="J832" s="153"/>
      <c r="K832" s="252"/>
      <c r="L832" s="153"/>
      <c r="M832" s="252"/>
      <c r="N832" s="153"/>
      <c r="O832" s="153"/>
      <c r="P832" s="153"/>
      <c r="Q832" s="152"/>
      <c r="R832" s="153"/>
      <c r="S832" s="153"/>
      <c r="T832" s="153"/>
      <c r="U832" s="153"/>
      <c r="V832" s="153"/>
      <c r="W832" s="153"/>
      <c r="X832" s="153"/>
      <c r="Y832" s="153"/>
      <c r="Z832" s="153"/>
      <c r="AA832" s="153"/>
    </row>
    <row r="833" ht="39.75" customHeight="1">
      <c r="A833" s="153"/>
      <c r="B833" s="153"/>
      <c r="C833" s="153"/>
      <c r="D833" s="153"/>
      <c r="E833" s="251"/>
      <c r="F833" s="251"/>
      <c r="G833" s="153"/>
      <c r="H833" s="252"/>
      <c r="I833" s="153"/>
      <c r="J833" s="153"/>
      <c r="K833" s="252"/>
      <c r="L833" s="153"/>
      <c r="M833" s="252"/>
      <c r="N833" s="153"/>
      <c r="O833" s="153"/>
      <c r="P833" s="153"/>
      <c r="Q833" s="152"/>
      <c r="R833" s="153"/>
      <c r="S833" s="153"/>
      <c r="T833" s="153"/>
      <c r="U833" s="153"/>
      <c r="V833" s="153"/>
      <c r="W833" s="153"/>
      <c r="X833" s="153"/>
      <c r="Y833" s="153"/>
      <c r="Z833" s="153"/>
      <c r="AA833" s="153"/>
    </row>
    <row r="834" ht="39.75" customHeight="1">
      <c r="A834" s="153"/>
      <c r="B834" s="153"/>
      <c r="C834" s="153"/>
      <c r="D834" s="153"/>
      <c r="E834" s="251"/>
      <c r="F834" s="251"/>
      <c r="G834" s="153"/>
      <c r="H834" s="252"/>
      <c r="I834" s="153"/>
      <c r="J834" s="153"/>
      <c r="K834" s="252"/>
      <c r="L834" s="153"/>
      <c r="M834" s="252"/>
      <c r="N834" s="153"/>
      <c r="O834" s="153"/>
      <c r="P834" s="153"/>
      <c r="Q834" s="152"/>
      <c r="R834" s="153"/>
      <c r="S834" s="153"/>
      <c r="T834" s="153"/>
      <c r="U834" s="153"/>
      <c r="V834" s="153"/>
      <c r="W834" s="153"/>
      <c r="X834" s="153"/>
      <c r="Y834" s="153"/>
      <c r="Z834" s="153"/>
      <c r="AA834" s="153"/>
    </row>
    <row r="835" ht="39.75" customHeight="1">
      <c r="A835" s="153"/>
      <c r="B835" s="153"/>
      <c r="C835" s="153"/>
      <c r="D835" s="153"/>
      <c r="E835" s="251"/>
      <c r="F835" s="251"/>
      <c r="G835" s="153"/>
      <c r="H835" s="252"/>
      <c r="I835" s="153"/>
      <c r="J835" s="153"/>
      <c r="K835" s="252"/>
      <c r="L835" s="153"/>
      <c r="M835" s="252"/>
      <c r="N835" s="153"/>
      <c r="O835" s="153"/>
      <c r="P835" s="153"/>
      <c r="Q835" s="152"/>
      <c r="R835" s="153"/>
      <c r="S835" s="153"/>
      <c r="T835" s="153"/>
      <c r="U835" s="153"/>
      <c r="V835" s="153"/>
      <c r="W835" s="153"/>
      <c r="X835" s="153"/>
      <c r="Y835" s="153"/>
      <c r="Z835" s="153"/>
      <c r="AA835" s="153"/>
    </row>
    <row r="836" ht="39.75" customHeight="1">
      <c r="A836" s="153"/>
      <c r="B836" s="153"/>
      <c r="C836" s="153"/>
      <c r="D836" s="153"/>
      <c r="E836" s="251"/>
      <c r="F836" s="251"/>
      <c r="G836" s="153"/>
      <c r="H836" s="252"/>
      <c r="I836" s="153"/>
      <c r="J836" s="153"/>
      <c r="K836" s="252"/>
      <c r="L836" s="153"/>
      <c r="M836" s="252"/>
      <c r="N836" s="153"/>
      <c r="O836" s="153"/>
      <c r="P836" s="153"/>
      <c r="Q836" s="152"/>
      <c r="R836" s="153"/>
      <c r="S836" s="153"/>
      <c r="T836" s="153"/>
      <c r="U836" s="153"/>
      <c r="V836" s="153"/>
      <c r="W836" s="153"/>
      <c r="X836" s="153"/>
      <c r="Y836" s="153"/>
      <c r="Z836" s="153"/>
      <c r="AA836" s="153"/>
    </row>
    <row r="837" ht="39.75" customHeight="1">
      <c r="A837" s="153"/>
      <c r="B837" s="153"/>
      <c r="C837" s="153"/>
      <c r="D837" s="153"/>
      <c r="E837" s="251"/>
      <c r="F837" s="251"/>
      <c r="G837" s="153"/>
      <c r="H837" s="252"/>
      <c r="I837" s="153"/>
      <c r="J837" s="153"/>
      <c r="K837" s="252"/>
      <c r="L837" s="153"/>
      <c r="M837" s="252"/>
      <c r="N837" s="153"/>
      <c r="O837" s="153"/>
      <c r="P837" s="153"/>
      <c r="Q837" s="152"/>
      <c r="R837" s="153"/>
      <c r="S837" s="153"/>
      <c r="T837" s="153"/>
      <c r="U837" s="153"/>
      <c r="V837" s="153"/>
      <c r="W837" s="153"/>
      <c r="X837" s="153"/>
      <c r="Y837" s="153"/>
      <c r="Z837" s="153"/>
      <c r="AA837" s="153"/>
    </row>
    <row r="838" ht="39.75" customHeight="1">
      <c r="A838" s="153"/>
      <c r="B838" s="153"/>
      <c r="C838" s="153"/>
      <c r="D838" s="153"/>
      <c r="E838" s="251"/>
      <c r="F838" s="251"/>
      <c r="G838" s="153"/>
      <c r="H838" s="252"/>
      <c r="I838" s="153"/>
      <c r="J838" s="153"/>
      <c r="K838" s="252"/>
      <c r="L838" s="153"/>
      <c r="M838" s="252"/>
      <c r="N838" s="153"/>
      <c r="O838" s="153"/>
      <c r="P838" s="153"/>
      <c r="Q838" s="152"/>
      <c r="R838" s="153"/>
      <c r="S838" s="153"/>
      <c r="T838" s="153"/>
      <c r="U838" s="153"/>
      <c r="V838" s="153"/>
      <c r="W838" s="153"/>
      <c r="X838" s="153"/>
      <c r="Y838" s="153"/>
      <c r="Z838" s="153"/>
      <c r="AA838" s="153"/>
    </row>
    <row r="839" ht="39.75" customHeight="1">
      <c r="A839" s="153"/>
      <c r="B839" s="153"/>
      <c r="C839" s="153"/>
      <c r="D839" s="153"/>
      <c r="E839" s="251"/>
      <c r="F839" s="251"/>
      <c r="G839" s="153"/>
      <c r="H839" s="252"/>
      <c r="I839" s="153"/>
      <c r="J839" s="153"/>
      <c r="K839" s="252"/>
      <c r="L839" s="153"/>
      <c r="M839" s="252"/>
      <c r="N839" s="153"/>
      <c r="O839" s="153"/>
      <c r="P839" s="153"/>
      <c r="Q839" s="152"/>
      <c r="R839" s="153"/>
      <c r="S839" s="153"/>
      <c r="T839" s="153"/>
      <c r="U839" s="153"/>
      <c r="V839" s="153"/>
      <c r="W839" s="153"/>
      <c r="X839" s="153"/>
      <c r="Y839" s="153"/>
      <c r="Z839" s="153"/>
      <c r="AA839" s="153"/>
    </row>
    <row r="840" ht="39.75" customHeight="1">
      <c r="A840" s="153"/>
      <c r="B840" s="153"/>
      <c r="C840" s="153"/>
      <c r="D840" s="153"/>
      <c r="E840" s="251"/>
      <c r="F840" s="251"/>
      <c r="G840" s="153"/>
      <c r="H840" s="252"/>
      <c r="I840" s="153"/>
      <c r="J840" s="153"/>
      <c r="K840" s="252"/>
      <c r="L840" s="153"/>
      <c r="M840" s="252"/>
      <c r="N840" s="153"/>
      <c r="O840" s="153"/>
      <c r="P840" s="153"/>
      <c r="Q840" s="152"/>
      <c r="R840" s="153"/>
      <c r="S840" s="153"/>
      <c r="T840" s="153"/>
      <c r="U840" s="153"/>
      <c r="V840" s="153"/>
      <c r="W840" s="153"/>
      <c r="X840" s="153"/>
      <c r="Y840" s="153"/>
      <c r="Z840" s="153"/>
      <c r="AA840" s="153"/>
    </row>
    <row r="841" ht="39.75" customHeight="1">
      <c r="A841" s="153"/>
      <c r="B841" s="153"/>
      <c r="C841" s="153"/>
      <c r="D841" s="153"/>
      <c r="E841" s="251"/>
      <c r="F841" s="251"/>
      <c r="G841" s="153"/>
      <c r="H841" s="252"/>
      <c r="I841" s="153"/>
      <c r="J841" s="153"/>
      <c r="K841" s="252"/>
      <c r="L841" s="153"/>
      <c r="M841" s="252"/>
      <c r="N841" s="153"/>
      <c r="O841" s="153"/>
      <c r="P841" s="153"/>
      <c r="Q841" s="152"/>
      <c r="R841" s="153"/>
      <c r="S841" s="153"/>
      <c r="T841" s="153"/>
      <c r="U841" s="153"/>
      <c r="V841" s="153"/>
      <c r="W841" s="153"/>
      <c r="X841" s="153"/>
      <c r="Y841" s="153"/>
      <c r="Z841" s="153"/>
      <c r="AA841" s="153"/>
    </row>
    <row r="842" ht="39.75" customHeight="1">
      <c r="A842" s="153"/>
      <c r="B842" s="153"/>
      <c r="C842" s="153"/>
      <c r="D842" s="153"/>
      <c r="E842" s="251"/>
      <c r="F842" s="251"/>
      <c r="G842" s="153"/>
      <c r="H842" s="252"/>
      <c r="I842" s="153"/>
      <c r="J842" s="153"/>
      <c r="K842" s="252"/>
      <c r="L842" s="153"/>
      <c r="M842" s="252"/>
      <c r="N842" s="153"/>
      <c r="O842" s="153"/>
      <c r="P842" s="153"/>
      <c r="Q842" s="152"/>
      <c r="R842" s="153"/>
      <c r="S842" s="153"/>
      <c r="T842" s="153"/>
      <c r="U842" s="153"/>
      <c r="V842" s="153"/>
      <c r="W842" s="153"/>
      <c r="X842" s="153"/>
      <c r="Y842" s="153"/>
      <c r="Z842" s="153"/>
      <c r="AA842" s="153"/>
    </row>
    <row r="843" ht="39.75" customHeight="1">
      <c r="A843" s="153"/>
      <c r="B843" s="153"/>
      <c r="C843" s="153"/>
      <c r="D843" s="153"/>
      <c r="E843" s="251"/>
      <c r="F843" s="251"/>
      <c r="G843" s="153"/>
      <c r="H843" s="252"/>
      <c r="I843" s="153"/>
      <c r="J843" s="153"/>
      <c r="K843" s="252"/>
      <c r="L843" s="153"/>
      <c r="M843" s="252"/>
      <c r="N843" s="153"/>
      <c r="O843" s="153"/>
      <c r="P843" s="153"/>
      <c r="Q843" s="152"/>
      <c r="R843" s="153"/>
      <c r="S843" s="153"/>
      <c r="T843" s="153"/>
      <c r="U843" s="153"/>
      <c r="V843" s="153"/>
      <c r="W843" s="153"/>
      <c r="X843" s="153"/>
      <c r="Y843" s="153"/>
      <c r="Z843" s="153"/>
      <c r="AA843" s="153"/>
    </row>
    <row r="844" ht="39.75" customHeight="1">
      <c r="A844" s="153"/>
      <c r="B844" s="153"/>
      <c r="C844" s="153"/>
      <c r="D844" s="153"/>
      <c r="E844" s="251"/>
      <c r="F844" s="251"/>
      <c r="G844" s="153"/>
      <c r="H844" s="252"/>
      <c r="I844" s="153"/>
      <c r="J844" s="153"/>
      <c r="K844" s="252"/>
      <c r="L844" s="153"/>
      <c r="M844" s="252"/>
      <c r="N844" s="153"/>
      <c r="O844" s="153"/>
      <c r="P844" s="153"/>
      <c r="Q844" s="152"/>
      <c r="R844" s="153"/>
      <c r="S844" s="153"/>
      <c r="T844" s="153"/>
      <c r="U844" s="153"/>
      <c r="V844" s="153"/>
      <c r="W844" s="153"/>
      <c r="X844" s="153"/>
      <c r="Y844" s="153"/>
      <c r="Z844" s="153"/>
      <c r="AA844" s="153"/>
    </row>
    <row r="845" ht="39.75" customHeight="1">
      <c r="A845" s="153"/>
      <c r="B845" s="153"/>
      <c r="C845" s="153"/>
      <c r="D845" s="153"/>
      <c r="E845" s="251"/>
      <c r="F845" s="251"/>
      <c r="G845" s="153"/>
      <c r="H845" s="252"/>
      <c r="I845" s="153"/>
      <c r="J845" s="153"/>
      <c r="K845" s="252"/>
      <c r="L845" s="153"/>
      <c r="M845" s="252"/>
      <c r="N845" s="153"/>
      <c r="O845" s="153"/>
      <c r="P845" s="153"/>
      <c r="Q845" s="152"/>
      <c r="R845" s="153"/>
      <c r="S845" s="153"/>
      <c r="T845" s="153"/>
      <c r="U845" s="153"/>
      <c r="V845" s="153"/>
      <c r="W845" s="153"/>
      <c r="X845" s="153"/>
      <c r="Y845" s="153"/>
      <c r="Z845" s="153"/>
      <c r="AA845" s="153"/>
    </row>
    <row r="846" ht="39.75" customHeight="1">
      <c r="A846" s="153"/>
      <c r="B846" s="153"/>
      <c r="C846" s="153"/>
      <c r="D846" s="153"/>
      <c r="E846" s="251"/>
      <c r="F846" s="251"/>
      <c r="G846" s="153"/>
      <c r="H846" s="252"/>
      <c r="I846" s="153"/>
      <c r="J846" s="153"/>
      <c r="K846" s="252"/>
      <c r="L846" s="153"/>
      <c r="M846" s="252"/>
      <c r="N846" s="153"/>
      <c r="O846" s="153"/>
      <c r="P846" s="153"/>
      <c r="Q846" s="152"/>
      <c r="R846" s="153"/>
      <c r="S846" s="153"/>
      <c r="T846" s="153"/>
      <c r="U846" s="153"/>
      <c r="V846" s="153"/>
      <c r="W846" s="153"/>
      <c r="X846" s="153"/>
      <c r="Y846" s="153"/>
      <c r="Z846" s="153"/>
      <c r="AA846" s="153"/>
    </row>
    <row r="847" ht="39.75" customHeight="1">
      <c r="A847" s="153"/>
      <c r="B847" s="153"/>
      <c r="C847" s="153"/>
      <c r="D847" s="153"/>
      <c r="E847" s="251"/>
      <c r="F847" s="251"/>
      <c r="G847" s="153"/>
      <c r="H847" s="252"/>
      <c r="I847" s="153"/>
      <c r="J847" s="153"/>
      <c r="K847" s="252"/>
      <c r="L847" s="153"/>
      <c r="M847" s="252"/>
      <c r="N847" s="153"/>
      <c r="O847" s="153"/>
      <c r="P847" s="153"/>
      <c r="Q847" s="152"/>
      <c r="R847" s="153"/>
      <c r="S847" s="153"/>
      <c r="T847" s="153"/>
      <c r="U847" s="153"/>
      <c r="V847" s="153"/>
      <c r="W847" s="153"/>
      <c r="X847" s="153"/>
      <c r="Y847" s="153"/>
      <c r="Z847" s="153"/>
      <c r="AA847" s="153"/>
    </row>
    <row r="848" ht="39.75" customHeight="1">
      <c r="A848" s="153"/>
      <c r="B848" s="153"/>
      <c r="C848" s="153"/>
      <c r="D848" s="153"/>
      <c r="E848" s="251"/>
      <c r="F848" s="251"/>
      <c r="G848" s="153"/>
      <c r="H848" s="252"/>
      <c r="I848" s="153"/>
      <c r="J848" s="153"/>
      <c r="K848" s="252"/>
      <c r="L848" s="153"/>
      <c r="M848" s="252"/>
      <c r="N848" s="153"/>
      <c r="O848" s="153"/>
      <c r="P848" s="153"/>
      <c r="Q848" s="152"/>
      <c r="R848" s="153"/>
      <c r="S848" s="153"/>
      <c r="T848" s="153"/>
      <c r="U848" s="153"/>
      <c r="V848" s="153"/>
      <c r="W848" s="153"/>
      <c r="X848" s="153"/>
      <c r="Y848" s="153"/>
      <c r="Z848" s="153"/>
      <c r="AA848" s="153"/>
    </row>
    <row r="849" ht="39.75" customHeight="1">
      <c r="A849" s="153"/>
      <c r="B849" s="153"/>
      <c r="C849" s="153"/>
      <c r="D849" s="153"/>
      <c r="E849" s="251"/>
      <c r="F849" s="251"/>
      <c r="G849" s="153"/>
      <c r="H849" s="252"/>
      <c r="I849" s="153"/>
      <c r="J849" s="153"/>
      <c r="K849" s="252"/>
      <c r="L849" s="153"/>
      <c r="M849" s="252"/>
      <c r="N849" s="153"/>
      <c r="O849" s="153"/>
      <c r="P849" s="153"/>
      <c r="Q849" s="152"/>
      <c r="R849" s="153"/>
      <c r="S849" s="153"/>
      <c r="T849" s="153"/>
      <c r="U849" s="153"/>
      <c r="V849" s="153"/>
      <c r="W849" s="153"/>
      <c r="X849" s="153"/>
      <c r="Y849" s="153"/>
      <c r="Z849" s="153"/>
      <c r="AA849" s="153"/>
    </row>
    <row r="850" ht="39.75" customHeight="1">
      <c r="A850" s="153"/>
      <c r="B850" s="153"/>
      <c r="C850" s="153"/>
      <c r="D850" s="153"/>
      <c r="E850" s="251"/>
      <c r="F850" s="251"/>
      <c r="G850" s="153"/>
      <c r="H850" s="252"/>
      <c r="I850" s="153"/>
      <c r="J850" s="153"/>
      <c r="K850" s="252"/>
      <c r="L850" s="153"/>
      <c r="M850" s="252"/>
      <c r="N850" s="153"/>
      <c r="O850" s="153"/>
      <c r="P850" s="153"/>
      <c r="Q850" s="152"/>
      <c r="R850" s="153"/>
      <c r="S850" s="153"/>
      <c r="T850" s="153"/>
      <c r="U850" s="153"/>
      <c r="V850" s="153"/>
      <c r="W850" s="153"/>
      <c r="X850" s="153"/>
      <c r="Y850" s="153"/>
      <c r="Z850" s="153"/>
      <c r="AA850" s="153"/>
    </row>
    <row r="851" ht="39.75" customHeight="1">
      <c r="A851" s="153"/>
      <c r="B851" s="153"/>
      <c r="C851" s="153"/>
      <c r="D851" s="153"/>
      <c r="E851" s="251"/>
      <c r="F851" s="251"/>
      <c r="G851" s="153"/>
      <c r="H851" s="252"/>
      <c r="I851" s="153"/>
      <c r="J851" s="153"/>
      <c r="K851" s="252"/>
      <c r="L851" s="153"/>
      <c r="M851" s="252"/>
      <c r="N851" s="153"/>
      <c r="O851" s="153"/>
      <c r="P851" s="153"/>
      <c r="Q851" s="152"/>
      <c r="R851" s="153"/>
      <c r="S851" s="153"/>
      <c r="T851" s="153"/>
      <c r="U851" s="153"/>
      <c r="V851" s="153"/>
      <c r="W851" s="153"/>
      <c r="X851" s="153"/>
      <c r="Y851" s="153"/>
      <c r="Z851" s="153"/>
      <c r="AA851" s="153"/>
    </row>
    <row r="852" ht="39.75" customHeight="1">
      <c r="A852" s="153"/>
      <c r="B852" s="153"/>
      <c r="C852" s="153"/>
      <c r="D852" s="153"/>
      <c r="E852" s="251"/>
      <c r="F852" s="251"/>
      <c r="G852" s="153"/>
      <c r="H852" s="252"/>
      <c r="I852" s="153"/>
      <c r="J852" s="153"/>
      <c r="K852" s="252"/>
      <c r="L852" s="153"/>
      <c r="M852" s="252"/>
      <c r="N852" s="153"/>
      <c r="O852" s="153"/>
      <c r="P852" s="153"/>
      <c r="Q852" s="152"/>
      <c r="R852" s="153"/>
      <c r="S852" s="153"/>
      <c r="T852" s="153"/>
      <c r="U852" s="153"/>
      <c r="V852" s="153"/>
      <c r="W852" s="153"/>
      <c r="X852" s="153"/>
      <c r="Y852" s="153"/>
      <c r="Z852" s="153"/>
      <c r="AA852" s="153"/>
    </row>
    <row r="853" ht="39.75" customHeight="1">
      <c r="A853" s="153"/>
      <c r="B853" s="153"/>
      <c r="C853" s="153"/>
      <c r="D853" s="153"/>
      <c r="E853" s="251"/>
      <c r="F853" s="251"/>
      <c r="G853" s="153"/>
      <c r="H853" s="252"/>
      <c r="I853" s="153"/>
      <c r="J853" s="153"/>
      <c r="K853" s="252"/>
      <c r="L853" s="153"/>
      <c r="M853" s="252"/>
      <c r="N853" s="153"/>
      <c r="O853" s="153"/>
      <c r="P853" s="153"/>
      <c r="Q853" s="152"/>
      <c r="R853" s="153"/>
      <c r="S853" s="153"/>
      <c r="T853" s="153"/>
      <c r="U853" s="153"/>
      <c r="V853" s="153"/>
      <c r="W853" s="153"/>
      <c r="X853" s="153"/>
      <c r="Y853" s="153"/>
      <c r="Z853" s="153"/>
      <c r="AA853" s="153"/>
    </row>
    <row r="854" ht="39.75" customHeight="1">
      <c r="A854" s="153"/>
      <c r="B854" s="153"/>
      <c r="C854" s="153"/>
      <c r="D854" s="153"/>
      <c r="E854" s="251"/>
      <c r="F854" s="251"/>
      <c r="G854" s="153"/>
      <c r="H854" s="252"/>
      <c r="I854" s="153"/>
      <c r="J854" s="153"/>
      <c r="K854" s="252"/>
      <c r="L854" s="153"/>
      <c r="M854" s="252"/>
      <c r="N854" s="153"/>
      <c r="O854" s="153"/>
      <c r="P854" s="153"/>
      <c r="Q854" s="152"/>
      <c r="R854" s="153"/>
      <c r="S854" s="153"/>
      <c r="T854" s="153"/>
      <c r="U854" s="153"/>
      <c r="V854" s="153"/>
      <c r="W854" s="153"/>
      <c r="X854" s="153"/>
      <c r="Y854" s="153"/>
      <c r="Z854" s="153"/>
      <c r="AA854" s="153"/>
    </row>
    <row r="855" ht="39.75" customHeight="1">
      <c r="A855" s="153"/>
      <c r="B855" s="153"/>
      <c r="C855" s="153"/>
      <c r="D855" s="153"/>
      <c r="E855" s="251"/>
      <c r="F855" s="251"/>
      <c r="G855" s="153"/>
      <c r="H855" s="252"/>
      <c r="I855" s="153"/>
      <c r="J855" s="153"/>
      <c r="K855" s="252"/>
      <c r="L855" s="153"/>
      <c r="M855" s="252"/>
      <c r="N855" s="153"/>
      <c r="O855" s="153"/>
      <c r="P855" s="153"/>
      <c r="Q855" s="152"/>
      <c r="R855" s="153"/>
      <c r="S855" s="153"/>
      <c r="T855" s="153"/>
      <c r="U855" s="153"/>
      <c r="V855" s="153"/>
      <c r="W855" s="153"/>
      <c r="X855" s="153"/>
      <c r="Y855" s="153"/>
      <c r="Z855" s="153"/>
      <c r="AA855" s="153"/>
    </row>
    <row r="856" ht="39.75" customHeight="1">
      <c r="A856" s="153"/>
      <c r="B856" s="153"/>
      <c r="C856" s="153"/>
      <c r="D856" s="153"/>
      <c r="E856" s="251"/>
      <c r="F856" s="251"/>
      <c r="G856" s="153"/>
      <c r="H856" s="252"/>
      <c r="I856" s="153"/>
      <c r="J856" s="153"/>
      <c r="K856" s="252"/>
      <c r="L856" s="153"/>
      <c r="M856" s="252"/>
      <c r="N856" s="153"/>
      <c r="O856" s="153"/>
      <c r="P856" s="153"/>
      <c r="Q856" s="152"/>
      <c r="R856" s="153"/>
      <c r="S856" s="153"/>
      <c r="T856" s="153"/>
      <c r="U856" s="153"/>
      <c r="V856" s="153"/>
      <c r="W856" s="153"/>
      <c r="X856" s="153"/>
      <c r="Y856" s="153"/>
      <c r="Z856" s="153"/>
      <c r="AA856" s="153"/>
    </row>
    <row r="857" ht="39.75" customHeight="1">
      <c r="A857" s="153"/>
      <c r="B857" s="153"/>
      <c r="C857" s="153"/>
      <c r="D857" s="153"/>
      <c r="E857" s="251"/>
      <c r="F857" s="251"/>
      <c r="G857" s="153"/>
      <c r="H857" s="252"/>
      <c r="I857" s="153"/>
      <c r="J857" s="153"/>
      <c r="K857" s="252"/>
      <c r="L857" s="153"/>
      <c r="M857" s="252"/>
      <c r="N857" s="153"/>
      <c r="O857" s="153"/>
      <c r="P857" s="153"/>
      <c r="Q857" s="152"/>
      <c r="R857" s="153"/>
      <c r="S857" s="153"/>
      <c r="T857" s="153"/>
      <c r="U857" s="153"/>
      <c r="V857" s="153"/>
      <c r="W857" s="153"/>
      <c r="X857" s="153"/>
      <c r="Y857" s="153"/>
      <c r="Z857" s="153"/>
      <c r="AA857" s="153"/>
    </row>
    <row r="858" ht="39.75" customHeight="1">
      <c r="A858" s="153"/>
      <c r="B858" s="153"/>
      <c r="C858" s="153"/>
      <c r="D858" s="153"/>
      <c r="E858" s="251"/>
      <c r="F858" s="251"/>
      <c r="G858" s="153"/>
      <c r="H858" s="252"/>
      <c r="I858" s="153"/>
      <c r="J858" s="153"/>
      <c r="K858" s="252"/>
      <c r="L858" s="153"/>
      <c r="M858" s="252"/>
      <c r="N858" s="153"/>
      <c r="O858" s="153"/>
      <c r="P858" s="153"/>
      <c r="Q858" s="152"/>
      <c r="R858" s="153"/>
      <c r="S858" s="153"/>
      <c r="T858" s="153"/>
      <c r="U858" s="153"/>
      <c r="V858" s="153"/>
      <c r="W858" s="153"/>
      <c r="X858" s="153"/>
      <c r="Y858" s="153"/>
      <c r="Z858" s="153"/>
      <c r="AA858" s="153"/>
    </row>
    <row r="859" ht="39.75" customHeight="1">
      <c r="A859" s="153"/>
      <c r="B859" s="153"/>
      <c r="C859" s="153"/>
      <c r="D859" s="153"/>
      <c r="E859" s="251"/>
      <c r="F859" s="251"/>
      <c r="G859" s="153"/>
      <c r="H859" s="252"/>
      <c r="I859" s="153"/>
      <c r="J859" s="153"/>
      <c r="K859" s="252"/>
      <c r="L859" s="153"/>
      <c r="M859" s="252"/>
      <c r="N859" s="153"/>
      <c r="O859" s="153"/>
      <c r="P859" s="153"/>
      <c r="Q859" s="152"/>
      <c r="R859" s="153"/>
      <c r="S859" s="153"/>
      <c r="T859" s="153"/>
      <c r="U859" s="153"/>
      <c r="V859" s="153"/>
      <c r="W859" s="153"/>
      <c r="X859" s="153"/>
      <c r="Y859" s="153"/>
      <c r="Z859" s="153"/>
      <c r="AA859" s="153"/>
    </row>
    <row r="860" ht="39.75" customHeight="1">
      <c r="A860" s="153"/>
      <c r="B860" s="153"/>
      <c r="C860" s="153"/>
      <c r="D860" s="153"/>
      <c r="E860" s="251"/>
      <c r="F860" s="251"/>
      <c r="G860" s="153"/>
      <c r="H860" s="252"/>
      <c r="I860" s="153"/>
      <c r="J860" s="153"/>
      <c r="K860" s="252"/>
      <c r="L860" s="153"/>
      <c r="M860" s="252"/>
      <c r="N860" s="153"/>
      <c r="O860" s="153"/>
      <c r="P860" s="153"/>
      <c r="Q860" s="152"/>
      <c r="R860" s="153"/>
      <c r="S860" s="153"/>
      <c r="T860" s="153"/>
      <c r="U860" s="153"/>
      <c r="V860" s="153"/>
      <c r="W860" s="153"/>
      <c r="X860" s="153"/>
      <c r="Y860" s="153"/>
      <c r="Z860" s="153"/>
      <c r="AA860" s="153"/>
    </row>
    <row r="861" ht="39.75" customHeight="1">
      <c r="A861" s="153"/>
      <c r="B861" s="153"/>
      <c r="C861" s="153"/>
      <c r="D861" s="153"/>
      <c r="E861" s="251"/>
      <c r="F861" s="251"/>
      <c r="G861" s="153"/>
      <c r="H861" s="252"/>
      <c r="I861" s="153"/>
      <c r="J861" s="153"/>
      <c r="K861" s="252"/>
      <c r="L861" s="153"/>
      <c r="M861" s="252"/>
      <c r="N861" s="153"/>
      <c r="O861" s="153"/>
      <c r="P861" s="153"/>
      <c r="Q861" s="152"/>
      <c r="R861" s="153"/>
      <c r="S861" s="153"/>
      <c r="T861" s="153"/>
      <c r="U861" s="153"/>
      <c r="V861" s="153"/>
      <c r="W861" s="153"/>
      <c r="X861" s="153"/>
      <c r="Y861" s="153"/>
      <c r="Z861" s="153"/>
      <c r="AA861" s="153"/>
    </row>
    <row r="862" ht="39.75" customHeight="1">
      <c r="A862" s="153"/>
      <c r="B862" s="153"/>
      <c r="C862" s="153"/>
      <c r="D862" s="153"/>
      <c r="E862" s="251"/>
      <c r="F862" s="251"/>
      <c r="G862" s="153"/>
      <c r="H862" s="252"/>
      <c r="I862" s="153"/>
      <c r="J862" s="153"/>
      <c r="K862" s="252"/>
      <c r="L862" s="153"/>
      <c r="M862" s="252"/>
      <c r="N862" s="153"/>
      <c r="O862" s="153"/>
      <c r="P862" s="153"/>
      <c r="Q862" s="152"/>
      <c r="R862" s="153"/>
      <c r="S862" s="153"/>
      <c r="T862" s="153"/>
      <c r="U862" s="153"/>
      <c r="V862" s="153"/>
      <c r="W862" s="153"/>
      <c r="X862" s="153"/>
      <c r="Y862" s="153"/>
      <c r="Z862" s="153"/>
      <c r="AA862" s="153"/>
    </row>
    <row r="863" ht="39.75" customHeight="1">
      <c r="A863" s="153"/>
      <c r="B863" s="153"/>
      <c r="C863" s="153"/>
      <c r="D863" s="153"/>
      <c r="E863" s="251"/>
      <c r="F863" s="251"/>
      <c r="G863" s="153"/>
      <c r="H863" s="252"/>
      <c r="I863" s="153"/>
      <c r="J863" s="153"/>
      <c r="K863" s="252"/>
      <c r="L863" s="153"/>
      <c r="M863" s="252"/>
      <c r="N863" s="153"/>
      <c r="O863" s="153"/>
      <c r="P863" s="153"/>
      <c r="Q863" s="152"/>
      <c r="R863" s="153"/>
      <c r="S863" s="153"/>
      <c r="T863" s="153"/>
      <c r="U863" s="153"/>
      <c r="V863" s="153"/>
      <c r="W863" s="153"/>
      <c r="X863" s="153"/>
      <c r="Y863" s="153"/>
      <c r="Z863" s="153"/>
      <c r="AA863" s="153"/>
    </row>
    <row r="864" ht="39.75" customHeight="1">
      <c r="A864" s="153"/>
      <c r="B864" s="153"/>
      <c r="C864" s="153"/>
      <c r="D864" s="153"/>
      <c r="E864" s="251"/>
      <c r="F864" s="251"/>
      <c r="G864" s="153"/>
      <c r="H864" s="252"/>
      <c r="I864" s="153"/>
      <c r="J864" s="153"/>
      <c r="K864" s="252"/>
      <c r="L864" s="153"/>
      <c r="M864" s="252"/>
      <c r="N864" s="153"/>
      <c r="O864" s="153"/>
      <c r="P864" s="153"/>
      <c r="Q864" s="152"/>
      <c r="R864" s="153"/>
      <c r="S864" s="153"/>
      <c r="T864" s="153"/>
      <c r="U864" s="153"/>
      <c r="V864" s="153"/>
      <c r="W864" s="153"/>
      <c r="X864" s="153"/>
      <c r="Y864" s="153"/>
      <c r="Z864" s="153"/>
      <c r="AA864" s="153"/>
    </row>
    <row r="865" ht="39.75" customHeight="1">
      <c r="A865" s="153"/>
      <c r="B865" s="153"/>
      <c r="C865" s="153"/>
      <c r="D865" s="153"/>
      <c r="E865" s="251"/>
      <c r="F865" s="251"/>
      <c r="G865" s="153"/>
      <c r="H865" s="252"/>
      <c r="I865" s="153"/>
      <c r="J865" s="153"/>
      <c r="K865" s="252"/>
      <c r="L865" s="153"/>
      <c r="M865" s="252"/>
      <c r="N865" s="153"/>
      <c r="O865" s="153"/>
      <c r="P865" s="153"/>
      <c r="Q865" s="152"/>
      <c r="R865" s="153"/>
      <c r="S865" s="153"/>
      <c r="T865" s="153"/>
      <c r="U865" s="153"/>
      <c r="V865" s="153"/>
      <c r="W865" s="153"/>
      <c r="X865" s="153"/>
      <c r="Y865" s="153"/>
      <c r="Z865" s="153"/>
      <c r="AA865" s="153"/>
    </row>
    <row r="866" ht="39.75" customHeight="1">
      <c r="A866" s="153"/>
      <c r="B866" s="153"/>
      <c r="C866" s="153"/>
      <c r="D866" s="153"/>
      <c r="E866" s="251"/>
      <c r="F866" s="251"/>
      <c r="G866" s="153"/>
      <c r="H866" s="252"/>
      <c r="I866" s="153"/>
      <c r="J866" s="153"/>
      <c r="K866" s="252"/>
      <c r="L866" s="153"/>
      <c r="M866" s="252"/>
      <c r="N866" s="153"/>
      <c r="O866" s="153"/>
      <c r="P866" s="153"/>
      <c r="Q866" s="152"/>
      <c r="R866" s="153"/>
      <c r="S866" s="153"/>
      <c r="T866" s="153"/>
      <c r="U866" s="153"/>
      <c r="V866" s="153"/>
      <c r="W866" s="153"/>
      <c r="X866" s="153"/>
      <c r="Y866" s="153"/>
      <c r="Z866" s="153"/>
      <c r="AA866" s="153"/>
    </row>
    <row r="867" ht="39.75" customHeight="1">
      <c r="A867" s="153"/>
      <c r="B867" s="153"/>
      <c r="C867" s="153"/>
      <c r="D867" s="153"/>
      <c r="E867" s="251"/>
      <c r="F867" s="251"/>
      <c r="G867" s="153"/>
      <c r="H867" s="252"/>
      <c r="I867" s="153"/>
      <c r="J867" s="153"/>
      <c r="K867" s="252"/>
      <c r="L867" s="153"/>
      <c r="M867" s="252"/>
      <c r="N867" s="153"/>
      <c r="O867" s="153"/>
      <c r="P867" s="153"/>
      <c r="Q867" s="152"/>
      <c r="R867" s="153"/>
      <c r="S867" s="153"/>
      <c r="T867" s="153"/>
      <c r="U867" s="153"/>
      <c r="V867" s="153"/>
      <c r="W867" s="153"/>
      <c r="X867" s="153"/>
      <c r="Y867" s="153"/>
      <c r="Z867" s="153"/>
      <c r="AA867" s="153"/>
    </row>
    <row r="868" ht="39.75" customHeight="1">
      <c r="A868" s="153"/>
      <c r="B868" s="153"/>
      <c r="C868" s="153"/>
      <c r="D868" s="153"/>
      <c r="E868" s="251"/>
      <c r="F868" s="251"/>
      <c r="G868" s="153"/>
      <c r="H868" s="252"/>
      <c r="I868" s="153"/>
      <c r="J868" s="153"/>
      <c r="K868" s="252"/>
      <c r="L868" s="153"/>
      <c r="M868" s="252"/>
      <c r="N868" s="153"/>
      <c r="O868" s="153"/>
      <c r="P868" s="153"/>
      <c r="Q868" s="152"/>
      <c r="R868" s="153"/>
      <c r="S868" s="153"/>
      <c r="T868" s="153"/>
      <c r="U868" s="153"/>
      <c r="V868" s="153"/>
      <c r="W868" s="153"/>
      <c r="X868" s="153"/>
      <c r="Y868" s="153"/>
      <c r="Z868" s="153"/>
      <c r="AA868" s="153"/>
    </row>
    <row r="869" ht="39.75" customHeight="1">
      <c r="A869" s="153"/>
      <c r="B869" s="153"/>
      <c r="C869" s="153"/>
      <c r="D869" s="153"/>
      <c r="E869" s="251"/>
      <c r="F869" s="251"/>
      <c r="G869" s="153"/>
      <c r="H869" s="252"/>
      <c r="I869" s="153"/>
      <c r="J869" s="153"/>
      <c r="K869" s="252"/>
      <c r="L869" s="153"/>
      <c r="M869" s="252"/>
      <c r="N869" s="153"/>
      <c r="O869" s="153"/>
      <c r="P869" s="153"/>
      <c r="Q869" s="152"/>
      <c r="R869" s="153"/>
      <c r="S869" s="153"/>
      <c r="T869" s="153"/>
      <c r="U869" s="153"/>
      <c r="V869" s="153"/>
      <c r="W869" s="153"/>
      <c r="X869" s="153"/>
      <c r="Y869" s="153"/>
      <c r="Z869" s="153"/>
      <c r="AA869" s="153"/>
    </row>
    <row r="870" ht="39.75" customHeight="1">
      <c r="A870" s="153"/>
      <c r="B870" s="153"/>
      <c r="C870" s="153"/>
      <c r="D870" s="153"/>
      <c r="E870" s="251"/>
      <c r="F870" s="251"/>
      <c r="G870" s="153"/>
      <c r="H870" s="252"/>
      <c r="I870" s="153"/>
      <c r="J870" s="153"/>
      <c r="K870" s="252"/>
      <c r="L870" s="153"/>
      <c r="M870" s="252"/>
      <c r="N870" s="153"/>
      <c r="O870" s="153"/>
      <c r="P870" s="153"/>
      <c r="Q870" s="152"/>
      <c r="R870" s="153"/>
      <c r="S870" s="153"/>
      <c r="T870" s="153"/>
      <c r="U870" s="153"/>
      <c r="V870" s="153"/>
      <c r="W870" s="153"/>
      <c r="X870" s="153"/>
      <c r="Y870" s="153"/>
      <c r="Z870" s="153"/>
      <c r="AA870" s="153"/>
    </row>
    <row r="871" ht="39.75" customHeight="1">
      <c r="A871" s="153"/>
      <c r="B871" s="153"/>
      <c r="C871" s="153"/>
      <c r="D871" s="153"/>
      <c r="E871" s="251"/>
      <c r="F871" s="251"/>
      <c r="G871" s="153"/>
      <c r="H871" s="252"/>
      <c r="I871" s="153"/>
      <c r="J871" s="153"/>
      <c r="K871" s="252"/>
      <c r="L871" s="153"/>
      <c r="M871" s="252"/>
      <c r="N871" s="153"/>
      <c r="O871" s="153"/>
      <c r="P871" s="153"/>
      <c r="Q871" s="152"/>
      <c r="R871" s="153"/>
      <c r="S871" s="153"/>
      <c r="T871" s="153"/>
      <c r="U871" s="153"/>
      <c r="V871" s="153"/>
      <c r="W871" s="153"/>
      <c r="X871" s="153"/>
      <c r="Y871" s="153"/>
      <c r="Z871" s="153"/>
      <c r="AA871" s="153"/>
    </row>
    <row r="872" ht="39.75" customHeight="1">
      <c r="A872" s="153"/>
      <c r="B872" s="153"/>
      <c r="C872" s="153"/>
      <c r="D872" s="153"/>
      <c r="E872" s="251"/>
      <c r="F872" s="251"/>
      <c r="G872" s="153"/>
      <c r="H872" s="252"/>
      <c r="I872" s="153"/>
      <c r="J872" s="153"/>
      <c r="K872" s="252"/>
      <c r="L872" s="153"/>
      <c r="M872" s="252"/>
      <c r="N872" s="153"/>
      <c r="O872" s="153"/>
      <c r="P872" s="153"/>
      <c r="Q872" s="152"/>
      <c r="R872" s="153"/>
      <c r="S872" s="153"/>
      <c r="T872" s="153"/>
      <c r="U872" s="153"/>
      <c r="V872" s="153"/>
      <c r="W872" s="153"/>
      <c r="X872" s="153"/>
      <c r="Y872" s="153"/>
      <c r="Z872" s="153"/>
      <c r="AA872" s="153"/>
    </row>
    <row r="873" ht="39.75" customHeight="1">
      <c r="A873" s="153"/>
      <c r="B873" s="153"/>
      <c r="C873" s="153"/>
      <c r="D873" s="153"/>
      <c r="E873" s="251"/>
      <c r="F873" s="251"/>
      <c r="G873" s="153"/>
      <c r="H873" s="252"/>
      <c r="I873" s="153"/>
      <c r="J873" s="153"/>
      <c r="K873" s="252"/>
      <c r="L873" s="153"/>
      <c r="M873" s="252"/>
      <c r="N873" s="153"/>
      <c r="O873" s="153"/>
      <c r="P873" s="153"/>
      <c r="Q873" s="152"/>
      <c r="R873" s="153"/>
      <c r="S873" s="153"/>
      <c r="T873" s="153"/>
      <c r="U873" s="153"/>
      <c r="V873" s="153"/>
      <c r="W873" s="153"/>
      <c r="X873" s="153"/>
      <c r="Y873" s="153"/>
      <c r="Z873" s="153"/>
      <c r="AA873" s="153"/>
    </row>
    <row r="874" ht="39.75" customHeight="1">
      <c r="A874" s="153"/>
      <c r="B874" s="153"/>
      <c r="C874" s="153"/>
      <c r="D874" s="153"/>
      <c r="E874" s="251"/>
      <c r="F874" s="251"/>
      <c r="G874" s="153"/>
      <c r="H874" s="252"/>
      <c r="I874" s="153"/>
      <c r="J874" s="153"/>
      <c r="K874" s="252"/>
      <c r="L874" s="153"/>
      <c r="M874" s="252"/>
      <c r="N874" s="153"/>
      <c r="O874" s="153"/>
      <c r="P874" s="153"/>
      <c r="Q874" s="152"/>
      <c r="R874" s="153"/>
      <c r="S874" s="153"/>
      <c r="T874" s="153"/>
      <c r="U874" s="153"/>
      <c r="V874" s="153"/>
      <c r="W874" s="153"/>
      <c r="X874" s="153"/>
      <c r="Y874" s="153"/>
      <c r="Z874" s="153"/>
      <c r="AA874" s="153"/>
    </row>
    <row r="875" ht="39.75" customHeight="1">
      <c r="A875" s="153"/>
      <c r="B875" s="153"/>
      <c r="C875" s="153"/>
      <c r="D875" s="153"/>
      <c r="E875" s="251"/>
      <c r="F875" s="251"/>
      <c r="G875" s="153"/>
      <c r="H875" s="252"/>
      <c r="I875" s="153"/>
      <c r="J875" s="153"/>
      <c r="K875" s="252"/>
      <c r="L875" s="153"/>
      <c r="M875" s="252"/>
      <c r="N875" s="153"/>
      <c r="O875" s="153"/>
      <c r="P875" s="153"/>
      <c r="Q875" s="152"/>
      <c r="R875" s="153"/>
      <c r="S875" s="153"/>
      <c r="T875" s="153"/>
      <c r="U875" s="153"/>
      <c r="V875" s="153"/>
      <c r="W875" s="153"/>
      <c r="X875" s="153"/>
      <c r="Y875" s="153"/>
      <c r="Z875" s="153"/>
      <c r="AA875" s="153"/>
    </row>
    <row r="876" ht="39.75" customHeight="1">
      <c r="A876" s="153"/>
      <c r="B876" s="153"/>
      <c r="C876" s="153"/>
      <c r="D876" s="153"/>
      <c r="E876" s="251"/>
      <c r="F876" s="251"/>
      <c r="G876" s="153"/>
      <c r="H876" s="252"/>
      <c r="I876" s="153"/>
      <c r="J876" s="153"/>
      <c r="K876" s="252"/>
      <c r="L876" s="153"/>
      <c r="M876" s="252"/>
      <c r="N876" s="153"/>
      <c r="O876" s="153"/>
      <c r="P876" s="153"/>
      <c r="Q876" s="152"/>
      <c r="R876" s="153"/>
      <c r="S876" s="153"/>
      <c r="T876" s="153"/>
      <c r="U876" s="153"/>
      <c r="V876" s="153"/>
      <c r="W876" s="153"/>
      <c r="X876" s="153"/>
      <c r="Y876" s="153"/>
      <c r="Z876" s="153"/>
      <c r="AA876" s="153"/>
    </row>
    <row r="877" ht="39.75" customHeight="1">
      <c r="A877" s="153"/>
      <c r="B877" s="153"/>
      <c r="C877" s="153"/>
      <c r="D877" s="153"/>
      <c r="E877" s="251"/>
      <c r="F877" s="251"/>
      <c r="G877" s="153"/>
      <c r="H877" s="252"/>
      <c r="I877" s="153"/>
      <c r="J877" s="153"/>
      <c r="K877" s="252"/>
      <c r="L877" s="153"/>
      <c r="M877" s="252"/>
      <c r="N877" s="153"/>
      <c r="O877" s="153"/>
      <c r="P877" s="153"/>
      <c r="Q877" s="152"/>
      <c r="R877" s="153"/>
      <c r="S877" s="153"/>
      <c r="T877" s="153"/>
      <c r="U877" s="153"/>
      <c r="V877" s="153"/>
      <c r="W877" s="153"/>
      <c r="X877" s="153"/>
      <c r="Y877" s="153"/>
      <c r="Z877" s="153"/>
      <c r="AA877" s="153"/>
    </row>
    <row r="878" ht="39.75" customHeight="1">
      <c r="A878" s="153"/>
      <c r="B878" s="153"/>
      <c r="C878" s="153"/>
      <c r="D878" s="153"/>
      <c r="E878" s="251"/>
      <c r="F878" s="251"/>
      <c r="G878" s="153"/>
      <c r="H878" s="252"/>
      <c r="I878" s="153"/>
      <c r="J878" s="153"/>
      <c r="K878" s="252"/>
      <c r="L878" s="153"/>
      <c r="M878" s="252"/>
      <c r="N878" s="153"/>
      <c r="O878" s="153"/>
      <c r="P878" s="153"/>
      <c r="Q878" s="152"/>
      <c r="R878" s="153"/>
      <c r="S878" s="153"/>
      <c r="T878" s="153"/>
      <c r="U878" s="153"/>
      <c r="V878" s="153"/>
      <c r="W878" s="153"/>
      <c r="X878" s="153"/>
      <c r="Y878" s="153"/>
      <c r="Z878" s="153"/>
      <c r="AA878" s="153"/>
    </row>
    <row r="879" ht="39.75" customHeight="1">
      <c r="A879" s="153"/>
      <c r="B879" s="153"/>
      <c r="C879" s="153"/>
      <c r="D879" s="153"/>
      <c r="E879" s="251"/>
      <c r="F879" s="251"/>
      <c r="G879" s="153"/>
      <c r="H879" s="252"/>
      <c r="I879" s="153"/>
      <c r="J879" s="153"/>
      <c r="K879" s="252"/>
      <c r="L879" s="153"/>
      <c r="M879" s="252"/>
      <c r="N879" s="153"/>
      <c r="O879" s="153"/>
      <c r="P879" s="153"/>
      <c r="Q879" s="152"/>
      <c r="R879" s="153"/>
      <c r="S879" s="153"/>
      <c r="T879" s="153"/>
      <c r="U879" s="153"/>
      <c r="V879" s="153"/>
      <c r="W879" s="153"/>
      <c r="X879" s="153"/>
      <c r="Y879" s="153"/>
      <c r="Z879" s="153"/>
      <c r="AA879" s="153"/>
    </row>
    <row r="880" ht="39.75" customHeight="1">
      <c r="A880" s="153"/>
      <c r="B880" s="153"/>
      <c r="C880" s="153"/>
      <c r="D880" s="153"/>
      <c r="E880" s="251"/>
      <c r="F880" s="251"/>
      <c r="G880" s="153"/>
      <c r="H880" s="252"/>
      <c r="I880" s="153"/>
      <c r="J880" s="153"/>
      <c r="K880" s="252"/>
      <c r="L880" s="153"/>
      <c r="M880" s="252"/>
      <c r="N880" s="153"/>
      <c r="O880" s="153"/>
      <c r="P880" s="153"/>
      <c r="Q880" s="152"/>
      <c r="R880" s="153"/>
      <c r="S880" s="153"/>
      <c r="T880" s="153"/>
      <c r="U880" s="153"/>
      <c r="V880" s="153"/>
      <c r="W880" s="153"/>
      <c r="X880" s="153"/>
      <c r="Y880" s="153"/>
      <c r="Z880" s="153"/>
      <c r="AA880" s="153"/>
    </row>
    <row r="881" ht="39.75" customHeight="1">
      <c r="A881" s="153"/>
      <c r="B881" s="153"/>
      <c r="C881" s="153"/>
      <c r="D881" s="153"/>
      <c r="E881" s="251"/>
      <c r="F881" s="251"/>
      <c r="G881" s="153"/>
      <c r="H881" s="252"/>
      <c r="I881" s="153"/>
      <c r="J881" s="153"/>
      <c r="K881" s="252"/>
      <c r="L881" s="153"/>
      <c r="M881" s="252"/>
      <c r="N881" s="153"/>
      <c r="O881" s="153"/>
      <c r="P881" s="153"/>
      <c r="Q881" s="152"/>
      <c r="R881" s="153"/>
      <c r="S881" s="153"/>
      <c r="T881" s="153"/>
      <c r="U881" s="153"/>
      <c r="V881" s="153"/>
      <c r="W881" s="153"/>
      <c r="X881" s="153"/>
      <c r="Y881" s="153"/>
      <c r="Z881" s="153"/>
      <c r="AA881" s="153"/>
    </row>
    <row r="882" ht="39.75" customHeight="1">
      <c r="A882" s="153"/>
      <c r="B882" s="153"/>
      <c r="C882" s="153"/>
      <c r="D882" s="153"/>
      <c r="E882" s="251"/>
      <c r="F882" s="251"/>
      <c r="G882" s="153"/>
      <c r="H882" s="252"/>
      <c r="I882" s="153"/>
      <c r="J882" s="153"/>
      <c r="K882" s="252"/>
      <c r="L882" s="153"/>
      <c r="M882" s="252"/>
      <c r="N882" s="153"/>
      <c r="O882" s="153"/>
      <c r="P882" s="153"/>
      <c r="Q882" s="152"/>
      <c r="R882" s="153"/>
      <c r="S882" s="153"/>
      <c r="T882" s="153"/>
      <c r="U882" s="153"/>
      <c r="V882" s="153"/>
      <c r="W882" s="153"/>
      <c r="X882" s="153"/>
      <c r="Y882" s="153"/>
      <c r="Z882" s="153"/>
      <c r="AA882" s="153"/>
    </row>
    <row r="883" ht="39.75" customHeight="1">
      <c r="A883" s="153"/>
      <c r="B883" s="153"/>
      <c r="C883" s="153"/>
      <c r="D883" s="153"/>
      <c r="E883" s="251"/>
      <c r="F883" s="251"/>
      <c r="G883" s="153"/>
      <c r="H883" s="252"/>
      <c r="I883" s="153"/>
      <c r="J883" s="153"/>
      <c r="K883" s="252"/>
      <c r="L883" s="153"/>
      <c r="M883" s="252"/>
      <c r="N883" s="153"/>
      <c r="O883" s="153"/>
      <c r="P883" s="153"/>
      <c r="Q883" s="152"/>
      <c r="R883" s="153"/>
      <c r="S883" s="153"/>
      <c r="T883" s="153"/>
      <c r="U883" s="153"/>
      <c r="V883" s="153"/>
      <c r="W883" s="153"/>
      <c r="X883" s="153"/>
      <c r="Y883" s="153"/>
      <c r="Z883" s="153"/>
      <c r="AA883" s="153"/>
    </row>
    <row r="884" ht="39.75" customHeight="1">
      <c r="A884" s="153"/>
      <c r="B884" s="153"/>
      <c r="C884" s="153"/>
      <c r="D884" s="153"/>
      <c r="E884" s="251"/>
      <c r="F884" s="251"/>
      <c r="G884" s="153"/>
      <c r="H884" s="252"/>
      <c r="I884" s="153"/>
      <c r="J884" s="153"/>
      <c r="K884" s="252"/>
      <c r="L884" s="153"/>
      <c r="M884" s="252"/>
      <c r="N884" s="153"/>
      <c r="O884" s="153"/>
      <c r="P884" s="153"/>
      <c r="Q884" s="152"/>
      <c r="R884" s="153"/>
      <c r="S884" s="153"/>
      <c r="T884" s="153"/>
      <c r="U884" s="153"/>
      <c r="V884" s="153"/>
      <c r="W884" s="153"/>
      <c r="X884" s="153"/>
      <c r="Y884" s="153"/>
      <c r="Z884" s="153"/>
      <c r="AA884" s="153"/>
    </row>
    <row r="885" ht="39.75" customHeight="1">
      <c r="A885" s="153"/>
      <c r="B885" s="153"/>
      <c r="C885" s="153"/>
      <c r="D885" s="153"/>
      <c r="E885" s="251"/>
      <c r="F885" s="251"/>
      <c r="G885" s="153"/>
      <c r="H885" s="252"/>
      <c r="I885" s="153"/>
      <c r="J885" s="153"/>
      <c r="K885" s="252"/>
      <c r="L885" s="153"/>
      <c r="M885" s="252"/>
      <c r="N885" s="153"/>
      <c r="O885" s="153"/>
      <c r="P885" s="153"/>
      <c r="Q885" s="152"/>
      <c r="R885" s="153"/>
      <c r="S885" s="153"/>
      <c r="T885" s="153"/>
      <c r="U885" s="153"/>
      <c r="V885" s="153"/>
      <c r="W885" s="153"/>
      <c r="X885" s="153"/>
      <c r="Y885" s="153"/>
      <c r="Z885" s="153"/>
      <c r="AA885" s="153"/>
    </row>
    <row r="886" ht="39.75" customHeight="1">
      <c r="A886" s="153"/>
      <c r="B886" s="153"/>
      <c r="C886" s="153"/>
      <c r="D886" s="153"/>
      <c r="E886" s="251"/>
      <c r="F886" s="251"/>
      <c r="G886" s="153"/>
      <c r="H886" s="252"/>
      <c r="I886" s="153"/>
      <c r="J886" s="153"/>
      <c r="K886" s="252"/>
      <c r="L886" s="153"/>
      <c r="M886" s="252"/>
      <c r="N886" s="153"/>
      <c r="O886" s="153"/>
      <c r="P886" s="153"/>
      <c r="Q886" s="152"/>
      <c r="R886" s="153"/>
      <c r="S886" s="153"/>
      <c r="T886" s="153"/>
      <c r="U886" s="153"/>
      <c r="V886" s="153"/>
      <c r="W886" s="153"/>
      <c r="X886" s="153"/>
      <c r="Y886" s="153"/>
      <c r="Z886" s="153"/>
      <c r="AA886" s="153"/>
    </row>
    <row r="887" ht="39.75" customHeight="1">
      <c r="A887" s="153"/>
      <c r="B887" s="153"/>
      <c r="C887" s="153"/>
      <c r="D887" s="153"/>
      <c r="E887" s="251"/>
      <c r="F887" s="251"/>
      <c r="G887" s="153"/>
      <c r="H887" s="252"/>
      <c r="I887" s="153"/>
      <c r="J887" s="153"/>
      <c r="K887" s="252"/>
      <c r="L887" s="153"/>
      <c r="M887" s="252"/>
      <c r="N887" s="153"/>
      <c r="O887" s="153"/>
      <c r="P887" s="153"/>
      <c r="Q887" s="152"/>
      <c r="R887" s="153"/>
      <c r="S887" s="153"/>
      <c r="T887" s="153"/>
      <c r="U887" s="153"/>
      <c r="V887" s="153"/>
      <c r="W887" s="153"/>
      <c r="X887" s="153"/>
      <c r="Y887" s="153"/>
      <c r="Z887" s="153"/>
      <c r="AA887" s="153"/>
    </row>
    <row r="888" ht="39.75" customHeight="1">
      <c r="A888" s="153"/>
      <c r="B888" s="153"/>
      <c r="C888" s="153"/>
      <c r="D888" s="153"/>
      <c r="E888" s="251"/>
      <c r="F888" s="251"/>
      <c r="G888" s="153"/>
      <c r="H888" s="252"/>
      <c r="I888" s="153"/>
      <c r="J888" s="153"/>
      <c r="K888" s="252"/>
      <c r="L888" s="153"/>
      <c r="M888" s="252"/>
      <c r="N888" s="153"/>
      <c r="O888" s="153"/>
      <c r="P888" s="153"/>
      <c r="Q888" s="152"/>
      <c r="R888" s="153"/>
      <c r="S888" s="153"/>
      <c r="T888" s="153"/>
      <c r="U888" s="153"/>
      <c r="V888" s="153"/>
      <c r="W888" s="153"/>
      <c r="X888" s="153"/>
      <c r="Y888" s="153"/>
      <c r="Z888" s="153"/>
      <c r="AA888" s="153"/>
    </row>
    <row r="889" ht="39.75" customHeight="1">
      <c r="A889" s="153"/>
      <c r="B889" s="153"/>
      <c r="C889" s="153"/>
      <c r="D889" s="153"/>
      <c r="E889" s="251"/>
      <c r="F889" s="251"/>
      <c r="G889" s="153"/>
      <c r="H889" s="252"/>
      <c r="I889" s="153"/>
      <c r="J889" s="153"/>
      <c r="K889" s="252"/>
      <c r="L889" s="153"/>
      <c r="M889" s="252"/>
      <c r="N889" s="153"/>
      <c r="O889" s="153"/>
      <c r="P889" s="153"/>
      <c r="Q889" s="152"/>
      <c r="R889" s="153"/>
      <c r="S889" s="153"/>
      <c r="T889" s="153"/>
      <c r="U889" s="153"/>
      <c r="V889" s="153"/>
      <c r="W889" s="153"/>
      <c r="X889" s="153"/>
      <c r="Y889" s="153"/>
      <c r="Z889" s="153"/>
      <c r="AA889" s="153"/>
    </row>
    <row r="890" ht="39.75" customHeight="1">
      <c r="A890" s="153"/>
      <c r="B890" s="153"/>
      <c r="C890" s="153"/>
      <c r="D890" s="153"/>
      <c r="E890" s="251"/>
      <c r="F890" s="251"/>
      <c r="G890" s="153"/>
      <c r="H890" s="252"/>
      <c r="I890" s="153"/>
      <c r="J890" s="153"/>
      <c r="K890" s="252"/>
      <c r="L890" s="153"/>
      <c r="M890" s="252"/>
      <c r="N890" s="153"/>
      <c r="O890" s="153"/>
      <c r="P890" s="153"/>
      <c r="Q890" s="152"/>
      <c r="R890" s="153"/>
      <c r="S890" s="153"/>
      <c r="T890" s="153"/>
      <c r="U890" s="153"/>
      <c r="V890" s="153"/>
      <c r="W890" s="153"/>
      <c r="X890" s="153"/>
      <c r="Y890" s="153"/>
      <c r="Z890" s="153"/>
      <c r="AA890" s="153"/>
    </row>
    <row r="891" ht="39.75" customHeight="1">
      <c r="A891" s="153"/>
      <c r="B891" s="153"/>
      <c r="C891" s="153"/>
      <c r="D891" s="153"/>
      <c r="E891" s="251"/>
      <c r="F891" s="251"/>
      <c r="G891" s="153"/>
      <c r="H891" s="252"/>
      <c r="I891" s="153"/>
      <c r="J891" s="153"/>
      <c r="K891" s="252"/>
      <c r="L891" s="153"/>
      <c r="M891" s="252"/>
      <c r="N891" s="153"/>
      <c r="O891" s="153"/>
      <c r="P891" s="153"/>
      <c r="Q891" s="152"/>
      <c r="R891" s="153"/>
      <c r="S891" s="153"/>
      <c r="T891" s="153"/>
      <c r="U891" s="153"/>
      <c r="V891" s="153"/>
      <c r="W891" s="153"/>
      <c r="X891" s="153"/>
      <c r="Y891" s="153"/>
      <c r="Z891" s="153"/>
      <c r="AA891" s="153"/>
    </row>
    <row r="892" ht="39.75" customHeight="1">
      <c r="A892" s="153"/>
      <c r="B892" s="153"/>
      <c r="C892" s="153"/>
      <c r="D892" s="153"/>
      <c r="E892" s="251"/>
      <c r="F892" s="251"/>
      <c r="G892" s="153"/>
      <c r="H892" s="252"/>
      <c r="I892" s="153"/>
      <c r="J892" s="153"/>
      <c r="K892" s="252"/>
      <c r="L892" s="153"/>
      <c r="M892" s="252"/>
      <c r="N892" s="153"/>
      <c r="O892" s="153"/>
      <c r="P892" s="153"/>
      <c r="Q892" s="152"/>
      <c r="R892" s="153"/>
      <c r="S892" s="153"/>
      <c r="T892" s="153"/>
      <c r="U892" s="153"/>
      <c r="V892" s="153"/>
      <c r="W892" s="153"/>
      <c r="X892" s="153"/>
      <c r="Y892" s="153"/>
      <c r="Z892" s="153"/>
      <c r="AA892" s="153"/>
    </row>
    <row r="893" ht="39.75" customHeight="1">
      <c r="A893" s="153"/>
      <c r="B893" s="153"/>
      <c r="C893" s="153"/>
      <c r="D893" s="153"/>
      <c r="E893" s="251"/>
      <c r="F893" s="251"/>
      <c r="G893" s="153"/>
      <c r="H893" s="252"/>
      <c r="I893" s="153"/>
      <c r="J893" s="153"/>
      <c r="K893" s="252"/>
      <c r="L893" s="153"/>
      <c r="M893" s="252"/>
      <c r="N893" s="153"/>
      <c r="O893" s="153"/>
      <c r="P893" s="153"/>
      <c r="Q893" s="152"/>
      <c r="R893" s="153"/>
      <c r="S893" s="153"/>
      <c r="T893" s="153"/>
      <c r="U893" s="153"/>
      <c r="V893" s="153"/>
      <c r="W893" s="153"/>
      <c r="X893" s="153"/>
      <c r="Y893" s="153"/>
      <c r="Z893" s="153"/>
      <c r="AA893" s="153"/>
    </row>
    <row r="894" ht="39.75" customHeight="1">
      <c r="A894" s="153"/>
      <c r="B894" s="153"/>
      <c r="C894" s="153"/>
      <c r="D894" s="153"/>
      <c r="E894" s="251"/>
      <c r="F894" s="251"/>
      <c r="G894" s="153"/>
      <c r="H894" s="252"/>
      <c r="I894" s="153"/>
      <c r="J894" s="153"/>
      <c r="K894" s="252"/>
      <c r="L894" s="153"/>
      <c r="M894" s="252"/>
      <c r="N894" s="153"/>
      <c r="O894" s="153"/>
      <c r="P894" s="153"/>
      <c r="Q894" s="152"/>
      <c r="R894" s="153"/>
      <c r="S894" s="153"/>
      <c r="T894" s="153"/>
      <c r="U894" s="153"/>
      <c r="V894" s="153"/>
      <c r="W894" s="153"/>
      <c r="X894" s="153"/>
      <c r="Y894" s="153"/>
      <c r="Z894" s="153"/>
      <c r="AA894" s="153"/>
    </row>
    <row r="895" ht="39.75" customHeight="1">
      <c r="A895" s="153"/>
      <c r="B895" s="153"/>
      <c r="C895" s="153"/>
      <c r="D895" s="153"/>
      <c r="E895" s="251"/>
      <c r="F895" s="251"/>
      <c r="G895" s="153"/>
      <c r="H895" s="252"/>
      <c r="I895" s="153"/>
      <c r="J895" s="153"/>
      <c r="K895" s="252"/>
      <c r="L895" s="153"/>
      <c r="M895" s="252"/>
      <c r="N895" s="153"/>
      <c r="O895" s="153"/>
      <c r="P895" s="153"/>
      <c r="Q895" s="152"/>
      <c r="R895" s="153"/>
      <c r="S895" s="153"/>
      <c r="T895" s="153"/>
      <c r="U895" s="153"/>
      <c r="V895" s="153"/>
      <c r="W895" s="153"/>
      <c r="X895" s="153"/>
      <c r="Y895" s="153"/>
      <c r="Z895" s="153"/>
      <c r="AA895" s="153"/>
    </row>
    <row r="896" ht="39.75" customHeight="1">
      <c r="A896" s="153"/>
      <c r="B896" s="153"/>
      <c r="C896" s="153"/>
      <c r="D896" s="153"/>
      <c r="E896" s="251"/>
      <c r="F896" s="251"/>
      <c r="G896" s="153"/>
      <c r="H896" s="252"/>
      <c r="I896" s="153"/>
      <c r="J896" s="153"/>
      <c r="K896" s="252"/>
      <c r="L896" s="153"/>
      <c r="M896" s="252"/>
      <c r="N896" s="153"/>
      <c r="O896" s="153"/>
      <c r="P896" s="153"/>
      <c r="Q896" s="152"/>
      <c r="R896" s="153"/>
      <c r="S896" s="153"/>
      <c r="T896" s="153"/>
      <c r="U896" s="153"/>
      <c r="V896" s="153"/>
      <c r="W896" s="153"/>
      <c r="X896" s="153"/>
      <c r="Y896" s="153"/>
      <c r="Z896" s="153"/>
      <c r="AA896" s="153"/>
    </row>
    <row r="897" ht="39.75" customHeight="1">
      <c r="A897" s="153"/>
      <c r="B897" s="153"/>
      <c r="C897" s="153"/>
      <c r="D897" s="153"/>
      <c r="E897" s="251"/>
      <c r="F897" s="251"/>
      <c r="G897" s="153"/>
      <c r="H897" s="252"/>
      <c r="I897" s="153"/>
      <c r="J897" s="153"/>
      <c r="K897" s="252"/>
      <c r="L897" s="153"/>
      <c r="M897" s="252"/>
      <c r="N897" s="153"/>
      <c r="O897" s="153"/>
      <c r="P897" s="153"/>
      <c r="Q897" s="152"/>
      <c r="R897" s="153"/>
      <c r="S897" s="153"/>
      <c r="T897" s="153"/>
      <c r="U897" s="153"/>
      <c r="V897" s="153"/>
      <c r="W897" s="153"/>
      <c r="X897" s="153"/>
      <c r="Y897" s="153"/>
      <c r="Z897" s="153"/>
      <c r="AA897" s="153"/>
    </row>
    <row r="898" ht="39.75" customHeight="1">
      <c r="A898" s="153"/>
      <c r="B898" s="153"/>
      <c r="C898" s="153"/>
      <c r="D898" s="153"/>
      <c r="E898" s="251"/>
      <c r="F898" s="251"/>
      <c r="G898" s="153"/>
      <c r="H898" s="252"/>
      <c r="I898" s="153"/>
      <c r="J898" s="153"/>
      <c r="K898" s="252"/>
      <c r="L898" s="153"/>
      <c r="M898" s="252"/>
      <c r="N898" s="153"/>
      <c r="O898" s="153"/>
      <c r="P898" s="153"/>
      <c r="Q898" s="152"/>
      <c r="R898" s="153"/>
      <c r="S898" s="153"/>
      <c r="T898" s="153"/>
      <c r="U898" s="153"/>
      <c r="V898" s="153"/>
      <c r="W898" s="153"/>
      <c r="X898" s="153"/>
      <c r="Y898" s="153"/>
      <c r="Z898" s="153"/>
      <c r="AA898" s="153"/>
    </row>
    <row r="899" ht="39.75" customHeight="1">
      <c r="A899" s="153"/>
      <c r="B899" s="153"/>
      <c r="C899" s="153"/>
      <c r="D899" s="153"/>
      <c r="E899" s="251"/>
      <c r="F899" s="251"/>
      <c r="G899" s="153"/>
      <c r="H899" s="252"/>
      <c r="I899" s="153"/>
      <c r="J899" s="153"/>
      <c r="K899" s="252"/>
      <c r="L899" s="153"/>
      <c r="M899" s="252"/>
      <c r="N899" s="153"/>
      <c r="O899" s="153"/>
      <c r="P899" s="153"/>
      <c r="Q899" s="152"/>
      <c r="R899" s="153"/>
      <c r="S899" s="153"/>
      <c r="T899" s="153"/>
      <c r="U899" s="153"/>
      <c r="V899" s="153"/>
      <c r="W899" s="153"/>
      <c r="X899" s="153"/>
      <c r="Y899" s="153"/>
      <c r="Z899" s="153"/>
      <c r="AA899" s="153"/>
    </row>
    <row r="900" ht="39.75" customHeight="1">
      <c r="A900" s="153"/>
      <c r="B900" s="153"/>
      <c r="C900" s="153"/>
      <c r="D900" s="153"/>
      <c r="E900" s="251"/>
      <c r="F900" s="251"/>
      <c r="G900" s="153"/>
      <c r="H900" s="252"/>
      <c r="I900" s="153"/>
      <c r="J900" s="153"/>
      <c r="K900" s="252"/>
      <c r="L900" s="153"/>
      <c r="M900" s="252"/>
      <c r="N900" s="153"/>
      <c r="O900" s="153"/>
      <c r="P900" s="153"/>
      <c r="Q900" s="152"/>
      <c r="R900" s="153"/>
      <c r="S900" s="153"/>
      <c r="T900" s="153"/>
      <c r="U900" s="153"/>
      <c r="V900" s="153"/>
      <c r="W900" s="153"/>
      <c r="X900" s="153"/>
      <c r="Y900" s="153"/>
      <c r="Z900" s="153"/>
      <c r="AA900" s="153"/>
    </row>
    <row r="901" ht="39.75" customHeight="1">
      <c r="A901" s="153"/>
      <c r="B901" s="153"/>
      <c r="C901" s="153"/>
      <c r="D901" s="153"/>
      <c r="E901" s="251"/>
      <c r="F901" s="251"/>
      <c r="G901" s="153"/>
      <c r="H901" s="252"/>
      <c r="I901" s="153"/>
      <c r="J901" s="153"/>
      <c r="K901" s="252"/>
      <c r="L901" s="153"/>
      <c r="M901" s="252"/>
      <c r="N901" s="153"/>
      <c r="O901" s="153"/>
      <c r="P901" s="153"/>
      <c r="Q901" s="152"/>
      <c r="R901" s="153"/>
      <c r="S901" s="153"/>
      <c r="T901" s="153"/>
      <c r="U901" s="153"/>
      <c r="V901" s="153"/>
      <c r="W901" s="153"/>
      <c r="X901" s="153"/>
      <c r="Y901" s="153"/>
      <c r="Z901" s="153"/>
      <c r="AA901" s="153"/>
    </row>
    <row r="902" ht="39.75" customHeight="1">
      <c r="A902" s="153"/>
      <c r="B902" s="153"/>
      <c r="C902" s="153"/>
      <c r="D902" s="153"/>
      <c r="E902" s="251"/>
      <c r="F902" s="251"/>
      <c r="G902" s="153"/>
      <c r="H902" s="252"/>
      <c r="I902" s="153"/>
      <c r="J902" s="153"/>
      <c r="K902" s="252"/>
      <c r="L902" s="153"/>
      <c r="M902" s="252"/>
      <c r="N902" s="153"/>
      <c r="O902" s="153"/>
      <c r="P902" s="153"/>
      <c r="Q902" s="152"/>
      <c r="R902" s="153"/>
      <c r="S902" s="153"/>
      <c r="T902" s="153"/>
      <c r="U902" s="153"/>
      <c r="V902" s="153"/>
      <c r="W902" s="153"/>
      <c r="X902" s="153"/>
      <c r="Y902" s="153"/>
      <c r="Z902" s="153"/>
      <c r="AA902" s="153"/>
    </row>
    <row r="903" ht="39.75" customHeight="1">
      <c r="A903" s="153"/>
      <c r="B903" s="153"/>
      <c r="C903" s="153"/>
      <c r="D903" s="153"/>
      <c r="E903" s="251"/>
      <c r="F903" s="251"/>
      <c r="G903" s="153"/>
      <c r="H903" s="252"/>
      <c r="I903" s="153"/>
      <c r="J903" s="153"/>
      <c r="K903" s="252"/>
      <c r="L903" s="153"/>
      <c r="M903" s="252"/>
      <c r="N903" s="153"/>
      <c r="O903" s="153"/>
      <c r="P903" s="153"/>
      <c r="Q903" s="152"/>
      <c r="R903" s="153"/>
      <c r="S903" s="153"/>
      <c r="T903" s="153"/>
      <c r="U903" s="153"/>
      <c r="V903" s="153"/>
      <c r="W903" s="153"/>
      <c r="X903" s="153"/>
      <c r="Y903" s="153"/>
      <c r="Z903" s="153"/>
      <c r="AA903" s="153"/>
    </row>
    <row r="904" ht="39.75" customHeight="1">
      <c r="A904" s="153"/>
      <c r="B904" s="153"/>
      <c r="C904" s="153"/>
      <c r="D904" s="153"/>
      <c r="E904" s="251"/>
      <c r="F904" s="251"/>
      <c r="G904" s="153"/>
      <c r="H904" s="252"/>
      <c r="I904" s="153"/>
      <c r="J904" s="153"/>
      <c r="K904" s="252"/>
      <c r="L904" s="153"/>
      <c r="M904" s="252"/>
      <c r="N904" s="153"/>
      <c r="O904" s="153"/>
      <c r="P904" s="153"/>
      <c r="Q904" s="152"/>
      <c r="R904" s="153"/>
      <c r="S904" s="153"/>
      <c r="T904" s="153"/>
      <c r="U904" s="153"/>
      <c r="V904" s="153"/>
      <c r="W904" s="153"/>
      <c r="X904" s="153"/>
      <c r="Y904" s="153"/>
      <c r="Z904" s="153"/>
      <c r="AA904" s="153"/>
    </row>
    <row r="905" ht="39.75" customHeight="1">
      <c r="A905" s="153"/>
      <c r="B905" s="153"/>
      <c r="C905" s="153"/>
      <c r="D905" s="153"/>
      <c r="E905" s="251"/>
      <c r="F905" s="251"/>
      <c r="G905" s="153"/>
      <c r="H905" s="252"/>
      <c r="I905" s="153"/>
      <c r="J905" s="153"/>
      <c r="K905" s="252"/>
      <c r="L905" s="153"/>
      <c r="M905" s="252"/>
      <c r="N905" s="153"/>
      <c r="O905" s="153"/>
      <c r="P905" s="153"/>
      <c r="Q905" s="152"/>
      <c r="R905" s="153"/>
      <c r="S905" s="153"/>
      <c r="T905" s="153"/>
      <c r="U905" s="153"/>
      <c r="V905" s="153"/>
      <c r="W905" s="153"/>
      <c r="X905" s="153"/>
      <c r="Y905" s="153"/>
      <c r="Z905" s="153"/>
      <c r="AA905" s="153"/>
    </row>
    <row r="906" ht="39.75" customHeight="1">
      <c r="A906" s="153"/>
      <c r="B906" s="153"/>
      <c r="C906" s="153"/>
      <c r="D906" s="153"/>
      <c r="E906" s="251"/>
      <c r="F906" s="251"/>
      <c r="G906" s="153"/>
      <c r="H906" s="252"/>
      <c r="I906" s="153"/>
      <c r="J906" s="153"/>
      <c r="K906" s="252"/>
      <c r="L906" s="153"/>
      <c r="M906" s="252"/>
      <c r="N906" s="153"/>
      <c r="O906" s="153"/>
      <c r="P906" s="153"/>
      <c r="Q906" s="152"/>
      <c r="R906" s="153"/>
      <c r="S906" s="153"/>
      <c r="T906" s="153"/>
      <c r="U906" s="153"/>
      <c r="V906" s="153"/>
      <c r="W906" s="153"/>
      <c r="X906" s="153"/>
      <c r="Y906" s="153"/>
      <c r="Z906" s="153"/>
      <c r="AA906" s="153"/>
    </row>
    <row r="907" ht="39.75" customHeight="1">
      <c r="A907" s="153"/>
      <c r="B907" s="153"/>
      <c r="C907" s="153"/>
      <c r="D907" s="153"/>
      <c r="E907" s="251"/>
      <c r="F907" s="251"/>
      <c r="G907" s="153"/>
      <c r="H907" s="252"/>
      <c r="I907" s="153"/>
      <c r="J907" s="153"/>
      <c r="K907" s="252"/>
      <c r="L907" s="153"/>
      <c r="M907" s="252"/>
      <c r="N907" s="153"/>
      <c r="O907" s="153"/>
      <c r="P907" s="153"/>
      <c r="Q907" s="152"/>
      <c r="R907" s="153"/>
      <c r="S907" s="153"/>
      <c r="T907" s="153"/>
      <c r="U907" s="153"/>
      <c r="V907" s="153"/>
      <c r="W907" s="153"/>
      <c r="X907" s="153"/>
      <c r="Y907" s="153"/>
      <c r="Z907" s="153"/>
      <c r="AA907" s="153"/>
    </row>
    <row r="908" ht="39.75" customHeight="1">
      <c r="A908" s="153"/>
      <c r="B908" s="153"/>
      <c r="C908" s="153"/>
      <c r="D908" s="153"/>
      <c r="E908" s="251"/>
      <c r="F908" s="251"/>
      <c r="G908" s="153"/>
      <c r="H908" s="252"/>
      <c r="I908" s="153"/>
      <c r="J908" s="153"/>
      <c r="K908" s="252"/>
      <c r="L908" s="153"/>
      <c r="M908" s="252"/>
      <c r="N908" s="153"/>
      <c r="O908" s="153"/>
      <c r="P908" s="153"/>
      <c r="Q908" s="152"/>
      <c r="R908" s="153"/>
      <c r="S908" s="153"/>
      <c r="T908" s="153"/>
      <c r="U908" s="153"/>
      <c r="V908" s="153"/>
      <c r="W908" s="153"/>
      <c r="X908" s="153"/>
      <c r="Y908" s="153"/>
      <c r="Z908" s="153"/>
      <c r="AA908" s="153"/>
    </row>
    <row r="909" ht="39.75" customHeight="1">
      <c r="A909" s="153"/>
      <c r="B909" s="153"/>
      <c r="C909" s="153"/>
      <c r="D909" s="153"/>
      <c r="E909" s="251"/>
      <c r="F909" s="251"/>
      <c r="G909" s="153"/>
      <c r="H909" s="252"/>
      <c r="I909" s="153"/>
      <c r="J909" s="153"/>
      <c r="K909" s="252"/>
      <c r="L909" s="153"/>
      <c r="M909" s="252"/>
      <c r="N909" s="153"/>
      <c r="O909" s="153"/>
      <c r="P909" s="153"/>
      <c r="Q909" s="152"/>
      <c r="R909" s="153"/>
      <c r="S909" s="153"/>
      <c r="T909" s="153"/>
      <c r="U909" s="153"/>
      <c r="V909" s="153"/>
      <c r="W909" s="153"/>
      <c r="X909" s="153"/>
      <c r="Y909" s="153"/>
      <c r="Z909" s="153"/>
      <c r="AA909" s="153"/>
    </row>
    <row r="910" ht="39.75" customHeight="1">
      <c r="A910" s="153"/>
      <c r="B910" s="153"/>
      <c r="C910" s="153"/>
      <c r="D910" s="153"/>
      <c r="E910" s="251"/>
      <c r="F910" s="251"/>
      <c r="G910" s="153"/>
      <c r="H910" s="252"/>
      <c r="I910" s="153"/>
      <c r="J910" s="153"/>
      <c r="K910" s="252"/>
      <c r="L910" s="153"/>
      <c r="M910" s="252"/>
      <c r="N910" s="153"/>
      <c r="O910" s="153"/>
      <c r="P910" s="153"/>
      <c r="Q910" s="152"/>
      <c r="R910" s="153"/>
      <c r="S910" s="153"/>
      <c r="T910" s="153"/>
      <c r="U910" s="153"/>
      <c r="V910" s="153"/>
      <c r="W910" s="153"/>
      <c r="X910" s="153"/>
      <c r="Y910" s="153"/>
      <c r="Z910" s="153"/>
      <c r="AA910" s="153"/>
    </row>
    <row r="911" ht="39.75" customHeight="1">
      <c r="A911" s="153"/>
      <c r="B911" s="153"/>
      <c r="C911" s="153"/>
      <c r="D911" s="153"/>
      <c r="E911" s="251"/>
      <c r="F911" s="251"/>
      <c r="G911" s="153"/>
      <c r="H911" s="252"/>
      <c r="I911" s="153"/>
      <c r="J911" s="153"/>
      <c r="K911" s="252"/>
      <c r="L911" s="153"/>
      <c r="M911" s="252"/>
      <c r="N911" s="153"/>
      <c r="O911" s="153"/>
      <c r="P911" s="153"/>
      <c r="Q911" s="152"/>
      <c r="R911" s="153"/>
      <c r="S911" s="153"/>
      <c r="T911" s="153"/>
      <c r="U911" s="153"/>
      <c r="V911" s="153"/>
      <c r="W911" s="153"/>
      <c r="X911" s="153"/>
      <c r="Y911" s="153"/>
      <c r="Z911" s="153"/>
      <c r="AA911" s="153"/>
    </row>
    <row r="912" ht="39.75" customHeight="1">
      <c r="A912" s="153"/>
      <c r="B912" s="153"/>
      <c r="C912" s="153"/>
      <c r="D912" s="153"/>
      <c r="E912" s="251"/>
      <c r="F912" s="251"/>
      <c r="G912" s="153"/>
      <c r="H912" s="252"/>
      <c r="I912" s="153"/>
      <c r="J912" s="153"/>
      <c r="K912" s="252"/>
      <c r="L912" s="153"/>
      <c r="M912" s="252"/>
      <c r="N912" s="153"/>
      <c r="O912" s="153"/>
      <c r="P912" s="153"/>
      <c r="Q912" s="152"/>
      <c r="R912" s="153"/>
      <c r="S912" s="153"/>
      <c r="T912" s="153"/>
      <c r="U912" s="153"/>
      <c r="V912" s="153"/>
      <c r="W912" s="153"/>
      <c r="X912" s="153"/>
      <c r="Y912" s="153"/>
      <c r="Z912" s="153"/>
      <c r="AA912" s="153"/>
    </row>
    <row r="913" ht="39.75" customHeight="1">
      <c r="A913" s="153"/>
      <c r="B913" s="153"/>
      <c r="C913" s="153"/>
      <c r="D913" s="153"/>
      <c r="E913" s="251"/>
      <c r="F913" s="251"/>
      <c r="G913" s="153"/>
      <c r="H913" s="252"/>
      <c r="I913" s="153"/>
      <c r="J913" s="153"/>
      <c r="K913" s="252"/>
      <c r="L913" s="153"/>
      <c r="M913" s="252"/>
      <c r="N913" s="153"/>
      <c r="O913" s="153"/>
      <c r="P913" s="153"/>
      <c r="Q913" s="152"/>
      <c r="R913" s="153"/>
      <c r="S913" s="153"/>
      <c r="T913" s="153"/>
      <c r="U913" s="153"/>
      <c r="V913" s="153"/>
      <c r="W913" s="153"/>
      <c r="X913" s="153"/>
      <c r="Y913" s="153"/>
      <c r="Z913" s="153"/>
      <c r="AA913" s="153"/>
    </row>
    <row r="914" ht="39.75" customHeight="1">
      <c r="A914" s="153"/>
      <c r="B914" s="153"/>
      <c r="C914" s="153"/>
      <c r="D914" s="153"/>
      <c r="E914" s="251"/>
      <c r="F914" s="251"/>
      <c r="G914" s="153"/>
      <c r="H914" s="252"/>
      <c r="I914" s="153"/>
      <c r="J914" s="153"/>
      <c r="K914" s="252"/>
      <c r="L914" s="153"/>
      <c r="M914" s="252"/>
      <c r="N914" s="153"/>
      <c r="O914" s="153"/>
      <c r="P914" s="153"/>
      <c r="Q914" s="152"/>
      <c r="R914" s="153"/>
      <c r="S914" s="153"/>
      <c r="T914" s="153"/>
      <c r="U914" s="153"/>
      <c r="V914" s="153"/>
      <c r="W914" s="153"/>
      <c r="X914" s="153"/>
      <c r="Y914" s="153"/>
      <c r="Z914" s="153"/>
      <c r="AA914" s="153"/>
    </row>
    <row r="915" ht="39.75" customHeight="1">
      <c r="A915" s="153"/>
      <c r="B915" s="153"/>
      <c r="C915" s="153"/>
      <c r="D915" s="153"/>
      <c r="E915" s="251"/>
      <c r="F915" s="251"/>
      <c r="G915" s="153"/>
      <c r="H915" s="252"/>
      <c r="I915" s="153"/>
      <c r="J915" s="153"/>
      <c r="K915" s="252"/>
      <c r="L915" s="153"/>
      <c r="M915" s="252"/>
      <c r="N915" s="153"/>
      <c r="O915" s="153"/>
      <c r="P915" s="153"/>
      <c r="Q915" s="152"/>
      <c r="R915" s="153"/>
      <c r="S915" s="153"/>
      <c r="T915" s="153"/>
      <c r="U915" s="153"/>
      <c r="V915" s="153"/>
      <c r="W915" s="153"/>
      <c r="X915" s="153"/>
      <c r="Y915" s="153"/>
      <c r="Z915" s="153"/>
      <c r="AA915" s="153"/>
    </row>
    <row r="916" ht="39.75" customHeight="1">
      <c r="A916" s="153"/>
      <c r="B916" s="153"/>
      <c r="C916" s="153"/>
      <c r="D916" s="153"/>
      <c r="E916" s="251"/>
      <c r="F916" s="251"/>
      <c r="G916" s="153"/>
      <c r="H916" s="252"/>
      <c r="I916" s="153"/>
      <c r="J916" s="153"/>
      <c r="K916" s="252"/>
      <c r="L916" s="153"/>
      <c r="M916" s="252"/>
      <c r="N916" s="153"/>
      <c r="O916" s="153"/>
      <c r="P916" s="153"/>
      <c r="Q916" s="152"/>
      <c r="R916" s="153"/>
      <c r="S916" s="153"/>
      <c r="T916" s="153"/>
      <c r="U916" s="153"/>
      <c r="V916" s="153"/>
      <c r="W916" s="153"/>
      <c r="X916" s="153"/>
      <c r="Y916" s="153"/>
      <c r="Z916" s="153"/>
      <c r="AA916" s="153"/>
    </row>
    <row r="917" ht="39.75" customHeight="1">
      <c r="A917" s="153"/>
      <c r="B917" s="153"/>
      <c r="C917" s="153"/>
      <c r="D917" s="153"/>
      <c r="E917" s="251"/>
      <c r="F917" s="251"/>
      <c r="G917" s="153"/>
      <c r="H917" s="252"/>
      <c r="I917" s="153"/>
      <c r="J917" s="153"/>
      <c r="K917" s="252"/>
      <c r="L917" s="153"/>
      <c r="M917" s="252"/>
      <c r="N917" s="153"/>
      <c r="O917" s="153"/>
      <c r="P917" s="153"/>
      <c r="Q917" s="152"/>
      <c r="R917" s="153"/>
      <c r="S917" s="153"/>
      <c r="T917" s="153"/>
      <c r="U917" s="153"/>
      <c r="V917" s="153"/>
      <c r="W917" s="153"/>
      <c r="X917" s="153"/>
      <c r="Y917" s="153"/>
      <c r="Z917" s="153"/>
      <c r="AA917" s="153"/>
    </row>
    <row r="918" ht="39.75" customHeight="1">
      <c r="A918" s="153"/>
      <c r="B918" s="153"/>
      <c r="C918" s="153"/>
      <c r="D918" s="153"/>
      <c r="E918" s="251"/>
      <c r="F918" s="251"/>
      <c r="G918" s="153"/>
      <c r="H918" s="252"/>
      <c r="I918" s="153"/>
      <c r="J918" s="153"/>
      <c r="K918" s="252"/>
      <c r="L918" s="153"/>
      <c r="M918" s="252"/>
      <c r="N918" s="153"/>
      <c r="O918" s="153"/>
      <c r="P918" s="153"/>
      <c r="Q918" s="152"/>
      <c r="R918" s="153"/>
      <c r="S918" s="153"/>
      <c r="T918" s="153"/>
      <c r="U918" s="153"/>
      <c r="V918" s="153"/>
      <c r="W918" s="153"/>
      <c r="X918" s="153"/>
      <c r="Y918" s="153"/>
      <c r="Z918" s="153"/>
      <c r="AA918" s="153"/>
    </row>
    <row r="919" ht="39.75" customHeight="1">
      <c r="A919" s="153"/>
      <c r="B919" s="153"/>
      <c r="C919" s="153"/>
      <c r="D919" s="153"/>
      <c r="E919" s="251"/>
      <c r="F919" s="251"/>
      <c r="G919" s="153"/>
      <c r="H919" s="252"/>
      <c r="I919" s="153"/>
      <c r="J919" s="153"/>
      <c r="K919" s="252"/>
      <c r="L919" s="153"/>
      <c r="M919" s="252"/>
      <c r="N919" s="153"/>
      <c r="O919" s="153"/>
      <c r="P919" s="153"/>
      <c r="Q919" s="152"/>
      <c r="R919" s="153"/>
      <c r="S919" s="153"/>
      <c r="T919" s="153"/>
      <c r="U919" s="153"/>
      <c r="V919" s="153"/>
      <c r="W919" s="153"/>
      <c r="X919" s="153"/>
      <c r="Y919" s="153"/>
      <c r="Z919" s="153"/>
      <c r="AA919" s="153"/>
    </row>
    <row r="920" ht="39.75" customHeight="1">
      <c r="A920" s="153"/>
      <c r="B920" s="153"/>
      <c r="C920" s="153"/>
      <c r="D920" s="153"/>
      <c r="E920" s="251"/>
      <c r="F920" s="251"/>
      <c r="G920" s="153"/>
      <c r="H920" s="252"/>
      <c r="I920" s="153"/>
      <c r="J920" s="153"/>
      <c r="K920" s="252"/>
      <c r="L920" s="153"/>
      <c r="M920" s="252"/>
      <c r="N920" s="153"/>
      <c r="O920" s="153"/>
      <c r="P920" s="153"/>
      <c r="Q920" s="152"/>
      <c r="R920" s="153"/>
      <c r="S920" s="153"/>
      <c r="T920" s="153"/>
      <c r="U920" s="153"/>
      <c r="V920" s="153"/>
      <c r="W920" s="153"/>
      <c r="X920" s="153"/>
      <c r="Y920" s="153"/>
      <c r="Z920" s="153"/>
      <c r="AA920" s="153"/>
    </row>
    <row r="921" ht="39.75" customHeight="1">
      <c r="A921" s="153"/>
      <c r="B921" s="153"/>
      <c r="C921" s="153"/>
      <c r="D921" s="153"/>
      <c r="E921" s="251"/>
      <c r="F921" s="251"/>
      <c r="G921" s="153"/>
      <c r="H921" s="252"/>
      <c r="I921" s="153"/>
      <c r="J921" s="153"/>
      <c r="K921" s="252"/>
      <c r="L921" s="153"/>
      <c r="M921" s="252"/>
      <c r="N921" s="153"/>
      <c r="O921" s="153"/>
      <c r="P921" s="153"/>
      <c r="Q921" s="152"/>
      <c r="R921" s="153"/>
      <c r="S921" s="153"/>
      <c r="T921" s="153"/>
      <c r="U921" s="153"/>
      <c r="V921" s="153"/>
      <c r="W921" s="153"/>
      <c r="X921" s="153"/>
      <c r="Y921" s="153"/>
      <c r="Z921" s="153"/>
      <c r="AA921" s="153"/>
    </row>
    <row r="922" ht="39.75" customHeight="1">
      <c r="A922" s="153"/>
      <c r="B922" s="153"/>
      <c r="C922" s="153"/>
      <c r="D922" s="153"/>
      <c r="E922" s="251"/>
      <c r="F922" s="251"/>
      <c r="G922" s="153"/>
      <c r="H922" s="252"/>
      <c r="I922" s="153"/>
      <c r="J922" s="153"/>
      <c r="K922" s="252"/>
      <c r="L922" s="153"/>
      <c r="M922" s="252"/>
      <c r="N922" s="153"/>
      <c r="O922" s="153"/>
      <c r="P922" s="153"/>
      <c r="Q922" s="152"/>
      <c r="R922" s="153"/>
      <c r="S922" s="153"/>
      <c r="T922" s="153"/>
      <c r="U922" s="153"/>
      <c r="V922" s="153"/>
      <c r="W922" s="153"/>
      <c r="X922" s="153"/>
      <c r="Y922" s="153"/>
      <c r="Z922" s="153"/>
      <c r="AA922" s="153"/>
    </row>
    <row r="923" ht="39.75" customHeight="1">
      <c r="A923" s="153"/>
      <c r="B923" s="153"/>
      <c r="C923" s="153"/>
      <c r="D923" s="153"/>
      <c r="E923" s="251"/>
      <c r="F923" s="251"/>
      <c r="G923" s="153"/>
      <c r="H923" s="252"/>
      <c r="I923" s="153"/>
      <c r="J923" s="153"/>
      <c r="K923" s="252"/>
      <c r="L923" s="153"/>
      <c r="M923" s="252"/>
      <c r="N923" s="153"/>
      <c r="O923" s="153"/>
      <c r="P923" s="153"/>
      <c r="Q923" s="152"/>
      <c r="R923" s="153"/>
      <c r="S923" s="153"/>
      <c r="T923" s="153"/>
      <c r="U923" s="153"/>
      <c r="V923" s="153"/>
      <c r="W923" s="153"/>
      <c r="X923" s="153"/>
      <c r="Y923" s="153"/>
      <c r="Z923" s="153"/>
      <c r="AA923" s="153"/>
    </row>
    <row r="924" ht="39.75" customHeight="1">
      <c r="A924" s="153"/>
      <c r="B924" s="153"/>
      <c r="C924" s="153"/>
      <c r="D924" s="153"/>
      <c r="E924" s="251"/>
      <c r="F924" s="251"/>
      <c r="G924" s="153"/>
      <c r="H924" s="252"/>
      <c r="I924" s="153"/>
      <c r="J924" s="153"/>
      <c r="K924" s="252"/>
      <c r="L924" s="153"/>
      <c r="M924" s="252"/>
      <c r="N924" s="153"/>
      <c r="O924" s="153"/>
      <c r="P924" s="153"/>
      <c r="Q924" s="152"/>
      <c r="R924" s="153"/>
      <c r="S924" s="153"/>
      <c r="T924" s="153"/>
      <c r="U924" s="153"/>
      <c r="V924" s="153"/>
      <c r="W924" s="153"/>
      <c r="X924" s="153"/>
      <c r="Y924" s="153"/>
      <c r="Z924" s="153"/>
      <c r="AA924" s="153"/>
    </row>
    <row r="925" ht="39.75" customHeight="1">
      <c r="A925" s="153"/>
      <c r="B925" s="153"/>
      <c r="C925" s="153"/>
      <c r="D925" s="153"/>
      <c r="E925" s="251"/>
      <c r="F925" s="251"/>
      <c r="G925" s="153"/>
      <c r="H925" s="252"/>
      <c r="I925" s="153"/>
      <c r="J925" s="153"/>
      <c r="K925" s="252"/>
      <c r="L925" s="153"/>
      <c r="M925" s="252"/>
      <c r="N925" s="153"/>
      <c r="O925" s="153"/>
      <c r="P925" s="153"/>
      <c r="Q925" s="152"/>
      <c r="R925" s="153"/>
      <c r="S925" s="153"/>
      <c r="T925" s="153"/>
      <c r="U925" s="153"/>
      <c r="V925" s="153"/>
      <c r="W925" s="153"/>
      <c r="X925" s="153"/>
      <c r="Y925" s="153"/>
      <c r="Z925" s="153"/>
      <c r="AA925" s="153"/>
    </row>
    <row r="926" ht="39.75" customHeight="1">
      <c r="A926" s="153"/>
      <c r="B926" s="153"/>
      <c r="C926" s="153"/>
      <c r="D926" s="153"/>
      <c r="E926" s="251"/>
      <c r="F926" s="251"/>
      <c r="G926" s="153"/>
      <c r="H926" s="252"/>
      <c r="I926" s="153"/>
      <c r="J926" s="153"/>
      <c r="K926" s="252"/>
      <c r="L926" s="153"/>
      <c r="M926" s="252"/>
      <c r="N926" s="153"/>
      <c r="O926" s="153"/>
      <c r="P926" s="153"/>
      <c r="Q926" s="152"/>
      <c r="R926" s="153"/>
      <c r="S926" s="153"/>
      <c r="T926" s="153"/>
      <c r="U926" s="153"/>
      <c r="V926" s="153"/>
      <c r="W926" s="153"/>
      <c r="X926" s="153"/>
      <c r="Y926" s="153"/>
      <c r="Z926" s="153"/>
      <c r="AA926" s="153"/>
    </row>
    <row r="927" ht="39.75" customHeight="1">
      <c r="A927" s="153"/>
      <c r="B927" s="153"/>
      <c r="C927" s="153"/>
      <c r="D927" s="153"/>
      <c r="E927" s="251"/>
      <c r="F927" s="251"/>
      <c r="G927" s="153"/>
      <c r="H927" s="252"/>
      <c r="I927" s="153"/>
      <c r="J927" s="153"/>
      <c r="K927" s="252"/>
      <c r="L927" s="153"/>
      <c r="M927" s="252"/>
      <c r="N927" s="153"/>
      <c r="O927" s="153"/>
      <c r="P927" s="153"/>
      <c r="Q927" s="152"/>
      <c r="R927" s="153"/>
      <c r="S927" s="153"/>
      <c r="T927" s="153"/>
      <c r="U927" s="153"/>
      <c r="V927" s="153"/>
      <c r="W927" s="153"/>
      <c r="X927" s="153"/>
      <c r="Y927" s="153"/>
      <c r="Z927" s="153"/>
      <c r="AA927" s="153"/>
    </row>
    <row r="928" ht="39.75" customHeight="1">
      <c r="A928" s="153"/>
      <c r="B928" s="153"/>
      <c r="C928" s="153"/>
      <c r="D928" s="153"/>
      <c r="E928" s="251"/>
      <c r="F928" s="251"/>
      <c r="G928" s="153"/>
      <c r="H928" s="252"/>
      <c r="I928" s="153"/>
      <c r="J928" s="153"/>
      <c r="K928" s="252"/>
      <c r="L928" s="153"/>
      <c r="M928" s="252"/>
      <c r="N928" s="153"/>
      <c r="O928" s="153"/>
      <c r="P928" s="153"/>
      <c r="Q928" s="152"/>
      <c r="R928" s="153"/>
      <c r="S928" s="153"/>
      <c r="T928" s="153"/>
      <c r="U928" s="153"/>
      <c r="V928" s="153"/>
      <c r="W928" s="153"/>
      <c r="X928" s="153"/>
      <c r="Y928" s="153"/>
      <c r="Z928" s="153"/>
      <c r="AA928" s="153"/>
    </row>
    <row r="929" ht="39.75" customHeight="1">
      <c r="A929" s="153"/>
      <c r="B929" s="153"/>
      <c r="C929" s="153"/>
      <c r="D929" s="153"/>
      <c r="E929" s="251"/>
      <c r="F929" s="251"/>
      <c r="G929" s="153"/>
      <c r="H929" s="252"/>
      <c r="I929" s="153"/>
      <c r="J929" s="153"/>
      <c r="K929" s="252"/>
      <c r="L929" s="153"/>
      <c r="M929" s="252"/>
      <c r="N929" s="153"/>
      <c r="O929" s="153"/>
      <c r="P929" s="153"/>
      <c r="Q929" s="152"/>
      <c r="R929" s="153"/>
      <c r="S929" s="153"/>
      <c r="T929" s="153"/>
      <c r="U929" s="153"/>
      <c r="V929" s="153"/>
      <c r="W929" s="153"/>
      <c r="X929" s="153"/>
      <c r="Y929" s="153"/>
      <c r="Z929" s="153"/>
      <c r="AA929" s="153"/>
    </row>
    <row r="930" ht="39.75" customHeight="1">
      <c r="A930" s="153"/>
      <c r="B930" s="153"/>
      <c r="C930" s="153"/>
      <c r="D930" s="153"/>
      <c r="E930" s="251"/>
      <c r="F930" s="251"/>
      <c r="G930" s="153"/>
      <c r="H930" s="252"/>
      <c r="I930" s="153"/>
      <c r="J930" s="153"/>
      <c r="K930" s="252"/>
      <c r="L930" s="153"/>
      <c r="M930" s="252"/>
      <c r="N930" s="153"/>
      <c r="O930" s="153"/>
      <c r="P930" s="153"/>
      <c r="Q930" s="152"/>
      <c r="R930" s="153"/>
      <c r="S930" s="153"/>
      <c r="T930" s="153"/>
      <c r="U930" s="153"/>
      <c r="V930" s="153"/>
      <c r="W930" s="153"/>
      <c r="X930" s="153"/>
      <c r="Y930" s="153"/>
      <c r="Z930" s="153"/>
      <c r="AA930" s="153"/>
    </row>
    <row r="931" ht="39.75" customHeight="1">
      <c r="A931" s="153"/>
      <c r="B931" s="153"/>
      <c r="C931" s="153"/>
      <c r="D931" s="153"/>
      <c r="E931" s="251"/>
      <c r="F931" s="251"/>
      <c r="G931" s="153"/>
      <c r="H931" s="252"/>
      <c r="I931" s="153"/>
      <c r="J931" s="153"/>
      <c r="K931" s="252"/>
      <c r="L931" s="153"/>
      <c r="M931" s="252"/>
      <c r="N931" s="153"/>
      <c r="O931" s="153"/>
      <c r="P931" s="153"/>
      <c r="Q931" s="152"/>
      <c r="R931" s="153"/>
      <c r="S931" s="153"/>
      <c r="T931" s="153"/>
      <c r="U931" s="153"/>
      <c r="V931" s="153"/>
      <c r="W931" s="153"/>
      <c r="X931" s="153"/>
      <c r="Y931" s="153"/>
      <c r="Z931" s="153"/>
      <c r="AA931" s="153"/>
    </row>
    <row r="932" ht="39.75" customHeight="1">
      <c r="A932" s="153"/>
      <c r="B932" s="153"/>
      <c r="C932" s="153"/>
      <c r="D932" s="153"/>
      <c r="E932" s="251"/>
      <c r="F932" s="251"/>
      <c r="G932" s="153"/>
      <c r="H932" s="252"/>
      <c r="I932" s="153"/>
      <c r="J932" s="153"/>
      <c r="K932" s="252"/>
      <c r="L932" s="153"/>
      <c r="M932" s="252"/>
      <c r="N932" s="153"/>
      <c r="O932" s="153"/>
      <c r="P932" s="153"/>
      <c r="Q932" s="152"/>
      <c r="R932" s="153"/>
      <c r="S932" s="153"/>
      <c r="T932" s="153"/>
      <c r="U932" s="153"/>
      <c r="V932" s="153"/>
      <c r="W932" s="153"/>
      <c r="X932" s="153"/>
      <c r="Y932" s="153"/>
      <c r="Z932" s="153"/>
      <c r="AA932" s="153"/>
    </row>
    <row r="933" ht="39.75" customHeight="1">
      <c r="A933" s="153"/>
      <c r="B933" s="153"/>
      <c r="C933" s="153"/>
      <c r="D933" s="153"/>
      <c r="E933" s="251"/>
      <c r="F933" s="251"/>
      <c r="G933" s="153"/>
      <c r="H933" s="252"/>
      <c r="I933" s="153"/>
      <c r="J933" s="153"/>
      <c r="K933" s="252"/>
      <c r="L933" s="153"/>
      <c r="M933" s="252"/>
      <c r="N933" s="153"/>
      <c r="O933" s="153"/>
      <c r="P933" s="153"/>
      <c r="Q933" s="152"/>
      <c r="R933" s="153"/>
      <c r="S933" s="153"/>
      <c r="T933" s="153"/>
      <c r="U933" s="153"/>
      <c r="V933" s="153"/>
      <c r="W933" s="153"/>
      <c r="X933" s="153"/>
      <c r="Y933" s="153"/>
      <c r="Z933" s="153"/>
      <c r="AA933" s="153"/>
    </row>
    <row r="934" ht="39.75" customHeight="1">
      <c r="A934" s="153"/>
      <c r="B934" s="153"/>
      <c r="C934" s="153"/>
      <c r="D934" s="153"/>
      <c r="E934" s="251"/>
      <c r="F934" s="251"/>
      <c r="G934" s="153"/>
      <c r="H934" s="252"/>
      <c r="I934" s="153"/>
      <c r="J934" s="153"/>
      <c r="K934" s="252"/>
      <c r="L934" s="153"/>
      <c r="M934" s="252"/>
      <c r="N934" s="153"/>
      <c r="O934" s="153"/>
      <c r="P934" s="153"/>
      <c r="Q934" s="152"/>
      <c r="R934" s="153"/>
      <c r="S934" s="153"/>
      <c r="T934" s="153"/>
      <c r="U934" s="153"/>
      <c r="V934" s="153"/>
      <c r="W934" s="153"/>
      <c r="X934" s="153"/>
      <c r="Y934" s="153"/>
      <c r="Z934" s="153"/>
      <c r="AA934" s="153"/>
    </row>
    <row r="935" ht="39.75" customHeight="1">
      <c r="A935" s="153"/>
      <c r="B935" s="153"/>
      <c r="C935" s="153"/>
      <c r="D935" s="153"/>
      <c r="E935" s="251"/>
      <c r="F935" s="251"/>
      <c r="G935" s="153"/>
      <c r="H935" s="252"/>
      <c r="I935" s="153"/>
      <c r="J935" s="153"/>
      <c r="K935" s="252"/>
      <c r="L935" s="153"/>
      <c r="M935" s="252"/>
      <c r="N935" s="153"/>
      <c r="O935" s="153"/>
      <c r="P935" s="153"/>
      <c r="Q935" s="152"/>
      <c r="R935" s="153"/>
      <c r="S935" s="153"/>
      <c r="T935" s="153"/>
      <c r="U935" s="153"/>
      <c r="V935" s="153"/>
      <c r="W935" s="153"/>
      <c r="X935" s="153"/>
      <c r="Y935" s="153"/>
      <c r="Z935" s="153"/>
      <c r="AA935" s="153"/>
    </row>
    <row r="936" ht="39.75" customHeight="1">
      <c r="A936" s="153"/>
      <c r="B936" s="153"/>
      <c r="C936" s="153"/>
      <c r="D936" s="153"/>
      <c r="E936" s="251"/>
      <c r="F936" s="251"/>
      <c r="G936" s="153"/>
      <c r="H936" s="252"/>
      <c r="I936" s="153"/>
      <c r="J936" s="153"/>
      <c r="K936" s="252"/>
      <c r="L936" s="153"/>
      <c r="M936" s="252"/>
      <c r="N936" s="153"/>
      <c r="O936" s="153"/>
      <c r="P936" s="153"/>
      <c r="Q936" s="152"/>
      <c r="R936" s="153"/>
      <c r="S936" s="153"/>
      <c r="T936" s="153"/>
      <c r="U936" s="153"/>
      <c r="V936" s="153"/>
      <c r="W936" s="153"/>
      <c r="X936" s="153"/>
      <c r="Y936" s="153"/>
      <c r="Z936" s="153"/>
      <c r="AA936" s="153"/>
    </row>
    <row r="937" ht="39.75" customHeight="1">
      <c r="A937" s="153"/>
      <c r="B937" s="153"/>
      <c r="C937" s="153"/>
      <c r="D937" s="153"/>
      <c r="E937" s="251"/>
      <c r="F937" s="251"/>
      <c r="G937" s="153"/>
      <c r="H937" s="252"/>
      <c r="I937" s="153"/>
      <c r="J937" s="153"/>
      <c r="K937" s="252"/>
      <c r="L937" s="153"/>
      <c r="M937" s="252"/>
      <c r="N937" s="153"/>
      <c r="O937" s="153"/>
      <c r="P937" s="153"/>
      <c r="Q937" s="152"/>
      <c r="R937" s="153"/>
      <c r="S937" s="153"/>
      <c r="T937" s="153"/>
      <c r="U937" s="153"/>
      <c r="V937" s="153"/>
      <c r="W937" s="153"/>
      <c r="X937" s="153"/>
      <c r="Y937" s="153"/>
      <c r="Z937" s="153"/>
      <c r="AA937" s="153"/>
    </row>
    <row r="938" ht="39.75" customHeight="1">
      <c r="A938" s="153"/>
      <c r="B938" s="153"/>
      <c r="C938" s="153"/>
      <c r="D938" s="153"/>
      <c r="E938" s="251"/>
      <c r="F938" s="251"/>
      <c r="G938" s="153"/>
      <c r="H938" s="252"/>
      <c r="I938" s="153"/>
      <c r="J938" s="153"/>
      <c r="K938" s="252"/>
      <c r="L938" s="153"/>
      <c r="M938" s="252"/>
      <c r="N938" s="153"/>
      <c r="O938" s="153"/>
      <c r="P938" s="153"/>
      <c r="Q938" s="152"/>
      <c r="R938" s="153"/>
      <c r="S938" s="153"/>
      <c r="T938" s="153"/>
      <c r="U938" s="153"/>
      <c r="V938" s="153"/>
      <c r="W938" s="153"/>
      <c r="X938" s="153"/>
      <c r="Y938" s="153"/>
      <c r="Z938" s="153"/>
      <c r="AA938" s="153"/>
    </row>
    <row r="939" ht="39.75" customHeight="1">
      <c r="A939" s="153"/>
      <c r="B939" s="153"/>
      <c r="C939" s="153"/>
      <c r="D939" s="153"/>
      <c r="E939" s="251"/>
      <c r="F939" s="251"/>
      <c r="G939" s="153"/>
      <c r="H939" s="252"/>
      <c r="I939" s="153"/>
      <c r="J939" s="153"/>
      <c r="K939" s="252"/>
      <c r="L939" s="153"/>
      <c r="M939" s="252"/>
      <c r="N939" s="153"/>
      <c r="O939" s="153"/>
      <c r="P939" s="153"/>
      <c r="Q939" s="152"/>
      <c r="R939" s="153"/>
      <c r="S939" s="153"/>
      <c r="T939" s="153"/>
      <c r="U939" s="153"/>
      <c r="V939" s="153"/>
      <c r="W939" s="153"/>
      <c r="X939" s="153"/>
      <c r="Y939" s="153"/>
      <c r="Z939" s="153"/>
      <c r="AA939" s="153"/>
    </row>
    <row r="940" ht="39.75" customHeight="1">
      <c r="A940" s="153"/>
      <c r="B940" s="153"/>
      <c r="C940" s="153"/>
      <c r="D940" s="153"/>
      <c r="E940" s="251"/>
      <c r="F940" s="251"/>
      <c r="G940" s="153"/>
      <c r="H940" s="252"/>
      <c r="I940" s="153"/>
      <c r="J940" s="153"/>
      <c r="K940" s="252"/>
      <c r="L940" s="153"/>
      <c r="M940" s="252"/>
      <c r="N940" s="153"/>
      <c r="O940" s="153"/>
      <c r="P940" s="153"/>
      <c r="Q940" s="152"/>
      <c r="R940" s="153"/>
      <c r="S940" s="153"/>
      <c r="T940" s="153"/>
      <c r="U940" s="153"/>
      <c r="V940" s="153"/>
      <c r="W940" s="153"/>
      <c r="X940" s="153"/>
      <c r="Y940" s="153"/>
      <c r="Z940" s="153"/>
      <c r="AA940" s="153"/>
    </row>
    <row r="941" ht="39.75" customHeight="1">
      <c r="A941" s="153"/>
      <c r="B941" s="153"/>
      <c r="C941" s="153"/>
      <c r="D941" s="153"/>
      <c r="E941" s="251"/>
      <c r="F941" s="251"/>
      <c r="G941" s="153"/>
      <c r="H941" s="252"/>
      <c r="I941" s="153"/>
      <c r="J941" s="153"/>
      <c r="K941" s="252"/>
      <c r="L941" s="153"/>
      <c r="M941" s="252"/>
      <c r="N941" s="153"/>
      <c r="O941" s="153"/>
      <c r="P941" s="153"/>
      <c r="Q941" s="152"/>
      <c r="R941" s="153"/>
      <c r="S941" s="153"/>
      <c r="T941" s="153"/>
      <c r="U941" s="153"/>
      <c r="V941" s="153"/>
      <c r="W941" s="153"/>
      <c r="X941" s="153"/>
      <c r="Y941" s="153"/>
      <c r="Z941" s="153"/>
      <c r="AA941" s="153"/>
    </row>
    <row r="942" ht="39.75" customHeight="1">
      <c r="A942" s="153"/>
      <c r="B942" s="153"/>
      <c r="C942" s="153"/>
      <c r="D942" s="153"/>
      <c r="E942" s="251"/>
      <c r="F942" s="251"/>
      <c r="G942" s="153"/>
      <c r="H942" s="252"/>
      <c r="I942" s="153"/>
      <c r="J942" s="153"/>
      <c r="K942" s="252"/>
      <c r="L942" s="153"/>
      <c r="M942" s="252"/>
      <c r="N942" s="153"/>
      <c r="O942" s="153"/>
      <c r="P942" s="153"/>
      <c r="Q942" s="152"/>
      <c r="R942" s="153"/>
      <c r="S942" s="153"/>
      <c r="T942" s="153"/>
      <c r="U942" s="153"/>
      <c r="V942" s="153"/>
      <c r="W942" s="153"/>
      <c r="X942" s="153"/>
      <c r="Y942" s="153"/>
      <c r="Z942" s="153"/>
      <c r="AA942" s="153"/>
    </row>
    <row r="943" ht="39.75" customHeight="1">
      <c r="A943" s="153"/>
      <c r="B943" s="153"/>
      <c r="C943" s="153"/>
      <c r="D943" s="153"/>
      <c r="E943" s="251"/>
      <c r="F943" s="251"/>
      <c r="G943" s="153"/>
      <c r="H943" s="252"/>
      <c r="I943" s="153"/>
      <c r="J943" s="153"/>
      <c r="K943" s="252"/>
      <c r="L943" s="153"/>
      <c r="M943" s="252"/>
      <c r="N943" s="153"/>
      <c r="O943" s="153"/>
      <c r="P943" s="153"/>
      <c r="Q943" s="152"/>
      <c r="R943" s="153"/>
      <c r="S943" s="153"/>
      <c r="T943" s="153"/>
      <c r="U943" s="153"/>
      <c r="V943" s="153"/>
      <c r="W943" s="153"/>
      <c r="X943" s="153"/>
      <c r="Y943" s="153"/>
      <c r="Z943" s="153"/>
      <c r="AA943" s="153"/>
    </row>
    <row r="944" ht="39.75" customHeight="1">
      <c r="A944" s="153"/>
      <c r="B944" s="153"/>
      <c r="C944" s="153"/>
      <c r="D944" s="153"/>
      <c r="E944" s="251"/>
      <c r="F944" s="251"/>
      <c r="G944" s="153"/>
      <c r="H944" s="252"/>
      <c r="I944" s="153"/>
      <c r="J944" s="153"/>
      <c r="K944" s="252"/>
      <c r="L944" s="153"/>
      <c r="M944" s="252"/>
      <c r="N944" s="153"/>
      <c r="O944" s="153"/>
      <c r="P944" s="153"/>
      <c r="Q944" s="152"/>
      <c r="R944" s="153"/>
      <c r="S944" s="153"/>
      <c r="T944" s="153"/>
      <c r="U944" s="153"/>
      <c r="V944" s="153"/>
      <c r="W944" s="153"/>
      <c r="X944" s="153"/>
      <c r="Y944" s="153"/>
      <c r="Z944" s="153"/>
      <c r="AA944" s="153"/>
    </row>
    <row r="945" ht="39.75" customHeight="1">
      <c r="A945" s="153"/>
      <c r="B945" s="153"/>
      <c r="C945" s="153"/>
      <c r="D945" s="153"/>
      <c r="E945" s="251"/>
      <c r="F945" s="251"/>
      <c r="G945" s="153"/>
      <c r="H945" s="252"/>
      <c r="I945" s="153"/>
      <c r="J945" s="153"/>
      <c r="K945" s="252"/>
      <c r="L945" s="153"/>
      <c r="M945" s="252"/>
      <c r="N945" s="153"/>
      <c r="O945" s="153"/>
      <c r="P945" s="153"/>
      <c r="Q945" s="152"/>
      <c r="R945" s="153"/>
      <c r="S945" s="153"/>
      <c r="T945" s="153"/>
      <c r="U945" s="153"/>
      <c r="V945" s="153"/>
      <c r="W945" s="153"/>
      <c r="X945" s="153"/>
      <c r="Y945" s="153"/>
      <c r="Z945" s="153"/>
      <c r="AA945" s="153"/>
    </row>
    <row r="946" ht="39.75" customHeight="1">
      <c r="A946" s="153"/>
      <c r="B946" s="153"/>
      <c r="C946" s="153"/>
      <c r="D946" s="153"/>
      <c r="E946" s="251"/>
      <c r="F946" s="251"/>
      <c r="G946" s="153"/>
      <c r="H946" s="252"/>
      <c r="I946" s="153"/>
      <c r="J946" s="153"/>
      <c r="K946" s="252"/>
      <c r="L946" s="153"/>
      <c r="M946" s="252"/>
      <c r="N946" s="153"/>
      <c r="O946" s="153"/>
      <c r="P946" s="153"/>
      <c r="Q946" s="152"/>
      <c r="R946" s="153"/>
      <c r="S946" s="153"/>
      <c r="T946" s="153"/>
      <c r="U946" s="153"/>
      <c r="V946" s="153"/>
      <c r="W946" s="153"/>
      <c r="X946" s="153"/>
      <c r="Y946" s="153"/>
      <c r="Z946" s="153"/>
      <c r="AA946" s="153"/>
    </row>
    <row r="947" ht="39.75" customHeight="1">
      <c r="A947" s="153"/>
      <c r="B947" s="153"/>
      <c r="C947" s="153"/>
      <c r="D947" s="153"/>
      <c r="E947" s="251"/>
      <c r="F947" s="251"/>
      <c r="G947" s="153"/>
      <c r="H947" s="252"/>
      <c r="I947" s="153"/>
      <c r="J947" s="153"/>
      <c r="K947" s="252"/>
      <c r="L947" s="153"/>
      <c r="M947" s="252"/>
      <c r="N947" s="153"/>
      <c r="O947" s="153"/>
      <c r="P947" s="153"/>
      <c r="Q947" s="152"/>
      <c r="R947" s="153"/>
      <c r="S947" s="153"/>
      <c r="T947" s="153"/>
      <c r="U947" s="153"/>
      <c r="V947" s="153"/>
      <c r="W947" s="153"/>
      <c r="X947" s="153"/>
      <c r="Y947" s="153"/>
      <c r="Z947" s="153"/>
      <c r="AA947" s="153"/>
    </row>
    <row r="948" ht="39.75" customHeight="1">
      <c r="A948" s="153"/>
      <c r="B948" s="153"/>
      <c r="C948" s="153"/>
      <c r="D948" s="153"/>
      <c r="E948" s="251"/>
      <c r="F948" s="251"/>
      <c r="G948" s="153"/>
      <c r="H948" s="252"/>
      <c r="I948" s="153"/>
      <c r="J948" s="153"/>
      <c r="K948" s="252"/>
      <c r="L948" s="153"/>
      <c r="M948" s="252"/>
      <c r="N948" s="153"/>
      <c r="O948" s="153"/>
      <c r="P948" s="153"/>
      <c r="Q948" s="152"/>
      <c r="R948" s="153"/>
      <c r="S948" s="153"/>
      <c r="T948" s="153"/>
      <c r="U948" s="153"/>
      <c r="V948" s="153"/>
      <c r="W948" s="153"/>
      <c r="X948" s="153"/>
      <c r="Y948" s="153"/>
      <c r="Z948" s="153"/>
      <c r="AA948" s="153"/>
    </row>
    <row r="949" ht="39.75" customHeight="1">
      <c r="A949" s="153"/>
      <c r="B949" s="153"/>
      <c r="C949" s="153"/>
      <c r="D949" s="153"/>
      <c r="E949" s="251"/>
      <c r="F949" s="251"/>
      <c r="G949" s="153"/>
      <c r="H949" s="252"/>
      <c r="I949" s="153"/>
      <c r="J949" s="153"/>
      <c r="K949" s="252"/>
      <c r="L949" s="153"/>
      <c r="M949" s="252"/>
      <c r="N949" s="153"/>
      <c r="O949" s="153"/>
      <c r="P949" s="153"/>
      <c r="Q949" s="152"/>
      <c r="R949" s="153"/>
      <c r="S949" s="153"/>
      <c r="T949" s="153"/>
      <c r="U949" s="153"/>
      <c r="V949" s="153"/>
      <c r="W949" s="153"/>
      <c r="X949" s="153"/>
      <c r="Y949" s="153"/>
      <c r="Z949" s="153"/>
      <c r="AA949" s="153"/>
    </row>
    <row r="950" ht="39.75" customHeight="1">
      <c r="A950" s="153"/>
      <c r="B950" s="153"/>
      <c r="C950" s="153"/>
      <c r="D950" s="153"/>
      <c r="E950" s="251"/>
      <c r="F950" s="251"/>
      <c r="G950" s="153"/>
      <c r="H950" s="252"/>
      <c r="I950" s="153"/>
      <c r="J950" s="153"/>
      <c r="K950" s="252"/>
      <c r="L950" s="153"/>
      <c r="M950" s="252"/>
      <c r="N950" s="153"/>
      <c r="O950" s="153"/>
      <c r="P950" s="153"/>
      <c r="Q950" s="152"/>
      <c r="R950" s="153"/>
      <c r="S950" s="153"/>
      <c r="T950" s="153"/>
      <c r="U950" s="153"/>
      <c r="V950" s="153"/>
      <c r="W950" s="153"/>
      <c r="X950" s="153"/>
      <c r="Y950" s="153"/>
      <c r="Z950" s="153"/>
      <c r="AA950" s="153"/>
    </row>
    <row r="951" ht="39.75" customHeight="1">
      <c r="A951" s="153"/>
      <c r="B951" s="153"/>
      <c r="C951" s="153"/>
      <c r="D951" s="153"/>
      <c r="E951" s="251"/>
      <c r="F951" s="251"/>
      <c r="G951" s="153"/>
      <c r="H951" s="252"/>
      <c r="I951" s="153"/>
      <c r="J951" s="153"/>
      <c r="K951" s="252"/>
      <c r="L951" s="153"/>
      <c r="M951" s="252"/>
      <c r="N951" s="153"/>
      <c r="O951" s="153"/>
      <c r="P951" s="153"/>
      <c r="Q951" s="152"/>
      <c r="R951" s="153"/>
      <c r="S951" s="153"/>
      <c r="T951" s="153"/>
      <c r="U951" s="153"/>
      <c r="V951" s="153"/>
      <c r="W951" s="153"/>
      <c r="X951" s="153"/>
      <c r="Y951" s="153"/>
      <c r="Z951" s="153"/>
      <c r="AA951" s="153"/>
    </row>
    <row r="952" ht="39.75" customHeight="1">
      <c r="A952" s="153"/>
      <c r="B952" s="153"/>
      <c r="C952" s="153"/>
      <c r="D952" s="153"/>
      <c r="E952" s="251"/>
      <c r="F952" s="251"/>
      <c r="G952" s="153"/>
      <c r="H952" s="252"/>
      <c r="I952" s="153"/>
      <c r="J952" s="153"/>
      <c r="K952" s="252"/>
      <c r="L952" s="153"/>
      <c r="M952" s="252"/>
      <c r="N952" s="153"/>
      <c r="O952" s="153"/>
      <c r="P952" s="153"/>
      <c r="Q952" s="152"/>
      <c r="R952" s="153"/>
      <c r="S952" s="153"/>
      <c r="T952" s="153"/>
      <c r="U952" s="153"/>
      <c r="V952" s="153"/>
      <c r="W952" s="153"/>
      <c r="X952" s="153"/>
      <c r="Y952" s="153"/>
      <c r="Z952" s="153"/>
      <c r="AA952" s="153"/>
    </row>
    <row r="953" ht="39.75" customHeight="1">
      <c r="A953" s="153"/>
      <c r="B953" s="153"/>
      <c r="C953" s="153"/>
      <c r="D953" s="153"/>
      <c r="E953" s="251"/>
      <c r="F953" s="251"/>
      <c r="G953" s="153"/>
      <c r="H953" s="252"/>
      <c r="I953" s="153"/>
      <c r="J953" s="153"/>
      <c r="K953" s="252"/>
      <c r="L953" s="153"/>
      <c r="M953" s="252"/>
      <c r="N953" s="153"/>
      <c r="O953" s="153"/>
      <c r="P953" s="153"/>
      <c r="Q953" s="152"/>
      <c r="R953" s="153"/>
      <c r="S953" s="153"/>
      <c r="T953" s="153"/>
      <c r="U953" s="153"/>
      <c r="V953" s="153"/>
      <c r="W953" s="153"/>
      <c r="X953" s="153"/>
      <c r="Y953" s="153"/>
      <c r="Z953" s="153"/>
      <c r="AA953" s="153"/>
    </row>
    <row r="954" ht="39.75" customHeight="1">
      <c r="A954" s="153"/>
      <c r="B954" s="153"/>
      <c r="C954" s="153"/>
      <c r="D954" s="153"/>
      <c r="E954" s="251"/>
      <c r="F954" s="251"/>
      <c r="G954" s="153"/>
      <c r="H954" s="252"/>
      <c r="I954" s="153"/>
      <c r="J954" s="153"/>
      <c r="K954" s="252"/>
      <c r="L954" s="153"/>
      <c r="M954" s="252"/>
      <c r="N954" s="153"/>
      <c r="O954" s="153"/>
      <c r="P954" s="153"/>
      <c r="Q954" s="152"/>
      <c r="R954" s="153"/>
      <c r="S954" s="153"/>
      <c r="T954" s="153"/>
      <c r="U954" s="153"/>
      <c r="V954" s="153"/>
      <c r="W954" s="153"/>
      <c r="X954" s="153"/>
      <c r="Y954" s="153"/>
      <c r="Z954" s="153"/>
      <c r="AA954" s="153"/>
    </row>
    <row r="955" ht="39.75" customHeight="1">
      <c r="A955" s="153"/>
      <c r="B955" s="153"/>
      <c r="C955" s="153"/>
      <c r="D955" s="153"/>
      <c r="E955" s="251"/>
      <c r="F955" s="251"/>
      <c r="G955" s="153"/>
      <c r="H955" s="252"/>
      <c r="I955" s="153"/>
      <c r="J955" s="153"/>
      <c r="K955" s="252"/>
      <c r="L955" s="153"/>
      <c r="M955" s="252"/>
      <c r="N955" s="153"/>
      <c r="O955" s="153"/>
      <c r="P955" s="153"/>
      <c r="Q955" s="152"/>
      <c r="R955" s="153"/>
      <c r="S955" s="153"/>
      <c r="T955" s="153"/>
      <c r="U955" s="153"/>
      <c r="V955" s="153"/>
      <c r="W955" s="153"/>
      <c r="X955" s="153"/>
      <c r="Y955" s="153"/>
      <c r="Z955" s="153"/>
      <c r="AA955" s="153"/>
    </row>
    <row r="956" ht="39.75" customHeight="1">
      <c r="A956" s="153"/>
      <c r="B956" s="153"/>
      <c r="C956" s="153"/>
      <c r="D956" s="153"/>
      <c r="E956" s="251"/>
      <c r="F956" s="251"/>
      <c r="G956" s="153"/>
      <c r="H956" s="252"/>
      <c r="I956" s="153"/>
      <c r="J956" s="153"/>
      <c r="K956" s="252"/>
      <c r="L956" s="153"/>
      <c r="M956" s="252"/>
      <c r="N956" s="153"/>
      <c r="O956" s="153"/>
      <c r="P956" s="153"/>
      <c r="Q956" s="152"/>
      <c r="R956" s="153"/>
      <c r="S956" s="153"/>
      <c r="T956" s="153"/>
      <c r="U956" s="153"/>
      <c r="V956" s="153"/>
      <c r="W956" s="153"/>
      <c r="X956" s="153"/>
      <c r="Y956" s="153"/>
      <c r="Z956" s="153"/>
      <c r="AA956" s="153"/>
    </row>
    <row r="957" ht="39.75" customHeight="1">
      <c r="A957" s="153"/>
      <c r="B957" s="153"/>
      <c r="C957" s="153"/>
      <c r="D957" s="153"/>
      <c r="E957" s="251"/>
      <c r="F957" s="251"/>
      <c r="G957" s="153"/>
      <c r="H957" s="252"/>
      <c r="I957" s="153"/>
      <c r="J957" s="153"/>
      <c r="K957" s="252"/>
      <c r="L957" s="153"/>
      <c r="M957" s="252"/>
      <c r="N957" s="153"/>
      <c r="O957" s="153"/>
      <c r="P957" s="153"/>
      <c r="Q957" s="152"/>
      <c r="R957" s="153"/>
      <c r="S957" s="153"/>
      <c r="T957" s="153"/>
      <c r="U957" s="153"/>
      <c r="V957" s="153"/>
      <c r="W957" s="153"/>
      <c r="X957" s="153"/>
      <c r="Y957" s="153"/>
      <c r="Z957" s="153"/>
      <c r="AA957" s="153"/>
    </row>
    <row r="958" ht="39.75" customHeight="1">
      <c r="A958" s="153"/>
      <c r="B958" s="153"/>
      <c r="C958" s="153"/>
      <c r="D958" s="153"/>
      <c r="E958" s="251"/>
      <c r="F958" s="251"/>
      <c r="G958" s="153"/>
      <c r="H958" s="252"/>
      <c r="I958" s="153"/>
      <c r="J958" s="153"/>
      <c r="K958" s="252"/>
      <c r="L958" s="153"/>
      <c r="M958" s="252"/>
      <c r="N958" s="153"/>
      <c r="O958" s="153"/>
      <c r="P958" s="153"/>
      <c r="Q958" s="152"/>
      <c r="R958" s="153"/>
      <c r="S958" s="153"/>
      <c r="T958" s="153"/>
      <c r="U958" s="153"/>
      <c r="V958" s="153"/>
      <c r="W958" s="153"/>
      <c r="X958" s="153"/>
      <c r="Y958" s="153"/>
      <c r="Z958" s="153"/>
      <c r="AA958" s="153"/>
    </row>
    <row r="959" ht="39.75" customHeight="1">
      <c r="A959" s="153"/>
      <c r="B959" s="153"/>
      <c r="C959" s="153"/>
      <c r="D959" s="153"/>
      <c r="E959" s="251"/>
      <c r="F959" s="251"/>
      <c r="G959" s="153"/>
      <c r="H959" s="252"/>
      <c r="I959" s="153"/>
      <c r="J959" s="153"/>
      <c r="K959" s="252"/>
      <c r="L959" s="153"/>
      <c r="M959" s="252"/>
      <c r="N959" s="153"/>
      <c r="O959" s="153"/>
      <c r="P959" s="153"/>
      <c r="Q959" s="152"/>
      <c r="R959" s="153"/>
      <c r="S959" s="153"/>
      <c r="T959" s="153"/>
      <c r="U959" s="153"/>
      <c r="V959" s="153"/>
      <c r="W959" s="153"/>
      <c r="X959" s="153"/>
      <c r="Y959" s="153"/>
      <c r="Z959" s="153"/>
      <c r="AA959" s="153"/>
    </row>
    <row r="960" ht="39.75" customHeight="1">
      <c r="A960" s="153"/>
      <c r="B960" s="153"/>
      <c r="C960" s="153"/>
      <c r="D960" s="153"/>
      <c r="E960" s="251"/>
      <c r="F960" s="251"/>
      <c r="G960" s="153"/>
      <c r="H960" s="252"/>
      <c r="I960" s="153"/>
      <c r="J960" s="153"/>
      <c r="K960" s="252"/>
      <c r="L960" s="153"/>
      <c r="M960" s="252"/>
      <c r="N960" s="153"/>
      <c r="O960" s="153"/>
      <c r="P960" s="153"/>
      <c r="Q960" s="152"/>
      <c r="R960" s="153"/>
      <c r="S960" s="153"/>
      <c r="T960" s="153"/>
      <c r="U960" s="153"/>
      <c r="V960" s="153"/>
      <c r="W960" s="153"/>
      <c r="X960" s="153"/>
      <c r="Y960" s="153"/>
      <c r="Z960" s="153"/>
      <c r="AA960" s="153"/>
    </row>
    <row r="961" ht="39.75" customHeight="1">
      <c r="A961" s="153"/>
      <c r="B961" s="153"/>
      <c r="C961" s="153"/>
      <c r="D961" s="153"/>
      <c r="E961" s="251"/>
      <c r="F961" s="251"/>
      <c r="G961" s="153"/>
      <c r="H961" s="252"/>
      <c r="I961" s="153"/>
      <c r="J961" s="153"/>
      <c r="K961" s="252"/>
      <c r="L961" s="153"/>
      <c r="M961" s="252"/>
      <c r="N961" s="153"/>
      <c r="O961" s="153"/>
      <c r="P961" s="153"/>
      <c r="Q961" s="152"/>
      <c r="R961" s="153"/>
      <c r="S961" s="153"/>
      <c r="T961" s="153"/>
      <c r="U961" s="153"/>
      <c r="V961" s="153"/>
      <c r="W961" s="153"/>
      <c r="X961" s="153"/>
      <c r="Y961" s="153"/>
      <c r="Z961" s="153"/>
      <c r="AA961" s="153"/>
    </row>
    <row r="962" ht="39.75" customHeight="1">
      <c r="A962" s="153"/>
      <c r="B962" s="153"/>
      <c r="C962" s="153"/>
      <c r="D962" s="153"/>
      <c r="E962" s="251"/>
      <c r="F962" s="251"/>
      <c r="G962" s="153"/>
      <c r="H962" s="252"/>
      <c r="I962" s="153"/>
      <c r="J962" s="153"/>
      <c r="K962" s="252"/>
      <c r="L962" s="153"/>
      <c r="M962" s="252"/>
      <c r="N962" s="153"/>
      <c r="O962" s="153"/>
      <c r="P962" s="153"/>
      <c r="Q962" s="152"/>
      <c r="R962" s="153"/>
      <c r="S962" s="153"/>
      <c r="T962" s="153"/>
      <c r="U962" s="153"/>
      <c r="V962" s="153"/>
      <c r="W962" s="153"/>
      <c r="X962" s="153"/>
      <c r="Y962" s="153"/>
      <c r="Z962" s="153"/>
      <c r="AA962" s="153"/>
    </row>
    <row r="963" ht="39.75" customHeight="1">
      <c r="A963" s="153"/>
      <c r="B963" s="153"/>
      <c r="C963" s="153"/>
      <c r="D963" s="153"/>
      <c r="E963" s="251"/>
      <c r="F963" s="251"/>
      <c r="G963" s="153"/>
      <c r="H963" s="252"/>
      <c r="I963" s="153"/>
      <c r="J963" s="153"/>
      <c r="K963" s="252"/>
      <c r="L963" s="153"/>
      <c r="M963" s="252"/>
      <c r="N963" s="153"/>
      <c r="O963" s="153"/>
      <c r="P963" s="153"/>
      <c r="Q963" s="152"/>
      <c r="R963" s="153"/>
      <c r="S963" s="153"/>
      <c r="T963" s="153"/>
      <c r="U963" s="153"/>
      <c r="V963" s="153"/>
      <c r="W963" s="153"/>
      <c r="X963" s="153"/>
      <c r="Y963" s="153"/>
      <c r="Z963" s="153"/>
      <c r="AA963" s="153"/>
    </row>
    <row r="964" ht="39.75" customHeight="1">
      <c r="A964" s="153"/>
      <c r="B964" s="153"/>
      <c r="C964" s="153"/>
      <c r="D964" s="153"/>
      <c r="E964" s="251"/>
      <c r="F964" s="251"/>
      <c r="G964" s="153"/>
      <c r="H964" s="252"/>
      <c r="I964" s="153"/>
      <c r="J964" s="153"/>
      <c r="K964" s="252"/>
      <c r="L964" s="153"/>
      <c r="M964" s="252"/>
      <c r="N964" s="153"/>
      <c r="O964" s="153"/>
      <c r="P964" s="153"/>
      <c r="Q964" s="152"/>
      <c r="R964" s="153"/>
      <c r="S964" s="153"/>
      <c r="T964" s="153"/>
      <c r="U964" s="153"/>
      <c r="V964" s="153"/>
      <c r="W964" s="153"/>
      <c r="X964" s="153"/>
      <c r="Y964" s="153"/>
      <c r="Z964" s="153"/>
      <c r="AA964" s="153"/>
    </row>
    <row r="965" ht="39.75" customHeight="1">
      <c r="A965" s="153"/>
      <c r="B965" s="153"/>
      <c r="C965" s="153"/>
      <c r="D965" s="153"/>
      <c r="E965" s="251"/>
      <c r="F965" s="251"/>
      <c r="G965" s="153"/>
      <c r="H965" s="252"/>
      <c r="I965" s="153"/>
      <c r="J965" s="153"/>
      <c r="K965" s="252"/>
      <c r="L965" s="153"/>
      <c r="M965" s="252"/>
      <c r="N965" s="153"/>
      <c r="O965" s="153"/>
      <c r="P965" s="153"/>
      <c r="Q965" s="152"/>
      <c r="R965" s="153"/>
      <c r="S965" s="153"/>
      <c r="T965" s="153"/>
      <c r="U965" s="153"/>
      <c r="V965" s="153"/>
      <c r="W965" s="153"/>
      <c r="X965" s="153"/>
      <c r="Y965" s="153"/>
      <c r="Z965" s="153"/>
      <c r="AA965" s="153"/>
    </row>
    <row r="966" ht="39.75" customHeight="1">
      <c r="A966" s="153"/>
      <c r="B966" s="153"/>
      <c r="C966" s="153"/>
      <c r="D966" s="153"/>
      <c r="E966" s="251"/>
      <c r="F966" s="251"/>
      <c r="G966" s="153"/>
      <c r="H966" s="252"/>
      <c r="I966" s="153"/>
      <c r="J966" s="153"/>
      <c r="K966" s="252"/>
      <c r="L966" s="153"/>
      <c r="M966" s="252"/>
      <c r="N966" s="153"/>
      <c r="O966" s="153"/>
      <c r="P966" s="153"/>
      <c r="Q966" s="152"/>
      <c r="R966" s="153"/>
      <c r="S966" s="153"/>
      <c r="T966" s="153"/>
      <c r="U966" s="153"/>
      <c r="V966" s="153"/>
      <c r="W966" s="153"/>
      <c r="X966" s="153"/>
      <c r="Y966" s="153"/>
      <c r="Z966" s="153"/>
      <c r="AA966" s="153"/>
    </row>
    <row r="967" ht="39.75" customHeight="1">
      <c r="A967" s="153"/>
      <c r="B967" s="153"/>
      <c r="C967" s="153"/>
      <c r="D967" s="153"/>
      <c r="E967" s="251"/>
      <c r="F967" s="251"/>
      <c r="G967" s="153"/>
      <c r="H967" s="252"/>
      <c r="I967" s="153"/>
      <c r="J967" s="153"/>
      <c r="K967" s="252"/>
      <c r="L967" s="153"/>
      <c r="M967" s="252"/>
      <c r="N967" s="153"/>
      <c r="O967" s="153"/>
      <c r="P967" s="153"/>
      <c r="Q967" s="152"/>
      <c r="R967" s="153"/>
      <c r="S967" s="153"/>
      <c r="T967" s="153"/>
      <c r="U967" s="153"/>
      <c r="V967" s="153"/>
      <c r="W967" s="153"/>
      <c r="X967" s="153"/>
      <c r="Y967" s="153"/>
      <c r="Z967" s="153"/>
      <c r="AA967" s="153"/>
    </row>
    <row r="968" ht="39.75" customHeight="1">
      <c r="A968" s="153"/>
      <c r="B968" s="153"/>
      <c r="C968" s="153"/>
      <c r="D968" s="153"/>
      <c r="E968" s="251"/>
      <c r="F968" s="251"/>
      <c r="G968" s="153"/>
      <c r="H968" s="252"/>
      <c r="I968" s="153"/>
      <c r="J968" s="153"/>
      <c r="K968" s="252"/>
      <c r="L968" s="153"/>
      <c r="M968" s="252"/>
      <c r="N968" s="153"/>
      <c r="O968" s="153"/>
      <c r="P968" s="153"/>
      <c r="Q968" s="152"/>
      <c r="R968" s="153"/>
      <c r="S968" s="153"/>
      <c r="T968" s="153"/>
      <c r="U968" s="153"/>
      <c r="V968" s="153"/>
      <c r="W968" s="153"/>
      <c r="X968" s="153"/>
      <c r="Y968" s="153"/>
      <c r="Z968" s="153"/>
      <c r="AA968" s="153"/>
    </row>
    <row r="969" ht="39.75" customHeight="1">
      <c r="A969" s="153"/>
      <c r="B969" s="153"/>
      <c r="C969" s="153"/>
      <c r="D969" s="153"/>
      <c r="E969" s="251"/>
      <c r="F969" s="251"/>
      <c r="G969" s="153"/>
      <c r="H969" s="252"/>
      <c r="I969" s="153"/>
      <c r="J969" s="153"/>
      <c r="K969" s="252"/>
      <c r="L969" s="153"/>
      <c r="M969" s="252"/>
      <c r="N969" s="153"/>
      <c r="O969" s="153"/>
      <c r="P969" s="153"/>
      <c r="Q969" s="152"/>
      <c r="R969" s="153"/>
      <c r="S969" s="153"/>
      <c r="T969" s="153"/>
      <c r="U969" s="153"/>
      <c r="V969" s="153"/>
      <c r="W969" s="153"/>
      <c r="X969" s="153"/>
      <c r="Y969" s="153"/>
      <c r="Z969" s="153"/>
      <c r="AA969" s="153"/>
    </row>
    <row r="970" ht="39.75" customHeight="1">
      <c r="A970" s="153"/>
      <c r="B970" s="153"/>
      <c r="C970" s="153"/>
      <c r="D970" s="153"/>
      <c r="E970" s="251"/>
      <c r="F970" s="251"/>
      <c r="G970" s="153"/>
      <c r="H970" s="252"/>
      <c r="I970" s="153"/>
      <c r="J970" s="153"/>
      <c r="K970" s="252"/>
      <c r="L970" s="153"/>
      <c r="M970" s="252"/>
      <c r="N970" s="153"/>
      <c r="O970" s="153"/>
      <c r="P970" s="153"/>
      <c r="Q970" s="152"/>
      <c r="R970" s="153"/>
      <c r="S970" s="153"/>
      <c r="T970" s="153"/>
      <c r="U970" s="153"/>
      <c r="V970" s="153"/>
      <c r="W970" s="153"/>
      <c r="X970" s="153"/>
      <c r="Y970" s="153"/>
      <c r="Z970" s="153"/>
      <c r="AA970" s="153"/>
    </row>
    <row r="971" ht="39.75" customHeight="1">
      <c r="A971" s="153"/>
      <c r="B971" s="153"/>
      <c r="C971" s="153"/>
      <c r="D971" s="153"/>
      <c r="E971" s="251"/>
      <c r="F971" s="251"/>
      <c r="G971" s="153"/>
      <c r="H971" s="252"/>
      <c r="I971" s="153"/>
      <c r="J971" s="153"/>
      <c r="K971" s="252"/>
      <c r="L971" s="153"/>
      <c r="M971" s="252"/>
      <c r="N971" s="153"/>
      <c r="O971" s="153"/>
      <c r="P971" s="153"/>
      <c r="Q971" s="152"/>
      <c r="R971" s="153"/>
      <c r="S971" s="153"/>
      <c r="T971" s="153"/>
      <c r="U971" s="153"/>
      <c r="V971" s="153"/>
      <c r="W971" s="153"/>
      <c r="X971" s="153"/>
      <c r="Y971" s="153"/>
      <c r="Z971" s="153"/>
      <c r="AA971" s="153"/>
    </row>
    <row r="972" ht="39.75" customHeight="1">
      <c r="A972" s="153"/>
      <c r="B972" s="153"/>
      <c r="C972" s="153"/>
      <c r="D972" s="153"/>
      <c r="E972" s="251"/>
      <c r="F972" s="251"/>
      <c r="G972" s="153"/>
      <c r="H972" s="252"/>
      <c r="I972" s="153"/>
      <c r="J972" s="153"/>
      <c r="K972" s="252"/>
      <c r="L972" s="153"/>
      <c r="M972" s="252"/>
      <c r="N972" s="153"/>
      <c r="O972" s="153"/>
      <c r="P972" s="153"/>
      <c r="Q972" s="152"/>
      <c r="R972" s="153"/>
      <c r="S972" s="153"/>
      <c r="T972" s="153"/>
      <c r="U972" s="153"/>
      <c r="V972" s="153"/>
      <c r="W972" s="153"/>
      <c r="X972" s="153"/>
      <c r="Y972" s="153"/>
      <c r="Z972" s="153"/>
      <c r="AA972" s="153"/>
    </row>
    <row r="973" ht="39.75" customHeight="1">
      <c r="A973" s="153"/>
      <c r="B973" s="153"/>
      <c r="C973" s="153"/>
      <c r="D973" s="153"/>
      <c r="E973" s="251"/>
      <c r="F973" s="251"/>
      <c r="G973" s="153"/>
      <c r="H973" s="252"/>
      <c r="I973" s="153"/>
      <c r="J973" s="153"/>
      <c r="K973" s="252"/>
      <c r="L973" s="153"/>
      <c r="M973" s="252"/>
      <c r="N973" s="153"/>
      <c r="O973" s="153"/>
      <c r="P973" s="153"/>
      <c r="Q973" s="152"/>
      <c r="R973" s="153"/>
      <c r="S973" s="153"/>
      <c r="T973" s="153"/>
      <c r="U973" s="153"/>
      <c r="V973" s="153"/>
      <c r="W973" s="153"/>
      <c r="X973" s="153"/>
      <c r="Y973" s="153"/>
      <c r="Z973" s="153"/>
      <c r="AA973" s="153"/>
    </row>
    <row r="974" ht="39.75" customHeight="1">
      <c r="A974" s="153"/>
      <c r="B974" s="153"/>
      <c r="C974" s="153"/>
      <c r="D974" s="153"/>
      <c r="E974" s="251"/>
      <c r="F974" s="251"/>
      <c r="G974" s="153"/>
      <c r="H974" s="252"/>
      <c r="I974" s="153"/>
      <c r="J974" s="153"/>
      <c r="K974" s="252"/>
      <c r="L974" s="153"/>
      <c r="M974" s="252"/>
      <c r="N974" s="153"/>
      <c r="O974" s="153"/>
      <c r="P974" s="153"/>
      <c r="Q974" s="152"/>
      <c r="R974" s="153"/>
      <c r="S974" s="153"/>
      <c r="T974" s="153"/>
      <c r="U974" s="153"/>
      <c r="V974" s="153"/>
      <c r="W974" s="153"/>
      <c r="X974" s="153"/>
      <c r="Y974" s="153"/>
      <c r="Z974" s="153"/>
      <c r="AA974" s="153"/>
    </row>
    <row r="975" ht="39.75" customHeight="1">
      <c r="A975" s="153"/>
      <c r="B975" s="153"/>
      <c r="C975" s="153"/>
      <c r="D975" s="153"/>
      <c r="E975" s="251"/>
      <c r="F975" s="251"/>
      <c r="G975" s="153"/>
      <c r="H975" s="252"/>
      <c r="I975" s="153"/>
      <c r="J975" s="153"/>
      <c r="K975" s="252"/>
      <c r="L975" s="153"/>
      <c r="M975" s="252"/>
      <c r="N975" s="153"/>
      <c r="O975" s="153"/>
      <c r="P975" s="153"/>
      <c r="Q975" s="152"/>
      <c r="R975" s="153"/>
      <c r="S975" s="153"/>
      <c r="T975" s="153"/>
      <c r="U975" s="153"/>
      <c r="V975" s="153"/>
      <c r="W975" s="153"/>
      <c r="X975" s="153"/>
      <c r="Y975" s="153"/>
      <c r="Z975" s="153"/>
      <c r="AA975" s="153"/>
    </row>
    <row r="976" ht="39.75" customHeight="1">
      <c r="A976" s="153"/>
      <c r="B976" s="153"/>
      <c r="C976" s="153"/>
      <c r="D976" s="153"/>
      <c r="E976" s="251"/>
      <c r="F976" s="251"/>
      <c r="G976" s="153"/>
      <c r="H976" s="252"/>
      <c r="I976" s="153"/>
      <c r="J976" s="153"/>
      <c r="K976" s="252"/>
      <c r="L976" s="153"/>
      <c r="M976" s="252"/>
      <c r="N976" s="153"/>
      <c r="O976" s="153"/>
      <c r="P976" s="153"/>
      <c r="Q976" s="152"/>
      <c r="R976" s="153"/>
      <c r="S976" s="153"/>
      <c r="T976" s="153"/>
      <c r="U976" s="153"/>
      <c r="V976" s="153"/>
      <c r="W976" s="153"/>
      <c r="X976" s="153"/>
      <c r="Y976" s="153"/>
      <c r="Z976" s="153"/>
      <c r="AA976" s="153"/>
    </row>
    <row r="977" ht="39.75" customHeight="1">
      <c r="A977" s="153"/>
      <c r="B977" s="153"/>
      <c r="C977" s="153"/>
      <c r="D977" s="153"/>
      <c r="E977" s="251"/>
      <c r="F977" s="251"/>
      <c r="G977" s="153"/>
      <c r="H977" s="252"/>
      <c r="I977" s="153"/>
      <c r="J977" s="153"/>
      <c r="K977" s="252"/>
      <c r="L977" s="153"/>
      <c r="M977" s="252"/>
      <c r="N977" s="153"/>
      <c r="O977" s="153"/>
      <c r="P977" s="153"/>
      <c r="Q977" s="152"/>
      <c r="R977" s="153"/>
      <c r="S977" s="153"/>
      <c r="T977" s="153"/>
      <c r="U977" s="153"/>
      <c r="V977" s="153"/>
      <c r="W977" s="153"/>
      <c r="X977" s="153"/>
      <c r="Y977" s="153"/>
      <c r="Z977" s="153"/>
      <c r="AA977" s="153"/>
    </row>
    <row r="978" ht="39.75" customHeight="1">
      <c r="A978" s="153"/>
      <c r="B978" s="153"/>
      <c r="C978" s="153"/>
      <c r="D978" s="153"/>
      <c r="E978" s="251"/>
      <c r="F978" s="251"/>
      <c r="G978" s="153"/>
      <c r="H978" s="252"/>
      <c r="I978" s="153"/>
      <c r="J978" s="153"/>
      <c r="K978" s="252"/>
      <c r="L978" s="153"/>
      <c r="M978" s="252"/>
      <c r="N978" s="153"/>
      <c r="O978" s="153"/>
      <c r="P978" s="153"/>
      <c r="Q978" s="152"/>
      <c r="R978" s="153"/>
      <c r="S978" s="153"/>
      <c r="T978" s="153"/>
      <c r="U978" s="153"/>
      <c r="V978" s="153"/>
      <c r="W978" s="153"/>
      <c r="X978" s="153"/>
      <c r="Y978" s="153"/>
      <c r="Z978" s="153"/>
      <c r="AA978" s="153"/>
    </row>
    <row r="979" ht="39.75" customHeight="1">
      <c r="A979" s="153"/>
      <c r="B979" s="153"/>
      <c r="C979" s="153"/>
      <c r="D979" s="153"/>
      <c r="E979" s="251"/>
      <c r="F979" s="251"/>
      <c r="G979" s="153"/>
      <c r="H979" s="252"/>
      <c r="I979" s="153"/>
      <c r="J979" s="153"/>
      <c r="K979" s="252"/>
      <c r="L979" s="153"/>
      <c r="M979" s="252"/>
      <c r="N979" s="153"/>
      <c r="O979" s="153"/>
      <c r="P979" s="153"/>
      <c r="Q979" s="152"/>
      <c r="R979" s="153"/>
      <c r="S979" s="153"/>
      <c r="T979" s="153"/>
      <c r="U979" s="153"/>
      <c r="V979" s="153"/>
      <c r="W979" s="153"/>
      <c r="X979" s="153"/>
      <c r="Y979" s="153"/>
      <c r="Z979" s="153"/>
      <c r="AA979" s="153"/>
    </row>
    <row r="980" ht="39.75" customHeight="1">
      <c r="A980" s="153"/>
      <c r="B980" s="153"/>
      <c r="C980" s="153"/>
      <c r="D980" s="153"/>
      <c r="E980" s="251"/>
      <c r="F980" s="251"/>
      <c r="G980" s="153"/>
      <c r="H980" s="252"/>
      <c r="I980" s="153"/>
      <c r="J980" s="153"/>
      <c r="K980" s="252"/>
      <c r="L980" s="153"/>
      <c r="M980" s="252"/>
      <c r="N980" s="153"/>
      <c r="O980" s="153"/>
      <c r="P980" s="153"/>
      <c r="Q980" s="152"/>
      <c r="R980" s="153"/>
      <c r="S980" s="153"/>
      <c r="T980" s="153"/>
      <c r="U980" s="153"/>
      <c r="V980" s="153"/>
      <c r="W980" s="153"/>
      <c r="X980" s="153"/>
      <c r="Y980" s="153"/>
      <c r="Z980" s="153"/>
      <c r="AA980" s="153"/>
    </row>
    <row r="981" ht="39.75" customHeight="1">
      <c r="A981" s="153"/>
      <c r="B981" s="153"/>
      <c r="C981" s="153"/>
      <c r="D981" s="153"/>
      <c r="E981" s="251"/>
      <c r="F981" s="251"/>
      <c r="G981" s="153"/>
      <c r="H981" s="252"/>
      <c r="I981" s="153"/>
      <c r="J981" s="153"/>
      <c r="K981" s="252"/>
      <c r="L981" s="153"/>
      <c r="M981" s="252"/>
      <c r="N981" s="153"/>
      <c r="O981" s="153"/>
      <c r="P981" s="153"/>
      <c r="Q981" s="152"/>
      <c r="R981" s="153"/>
      <c r="S981" s="153"/>
      <c r="T981" s="153"/>
      <c r="U981" s="153"/>
      <c r="V981" s="153"/>
      <c r="W981" s="153"/>
      <c r="X981" s="153"/>
      <c r="Y981" s="153"/>
      <c r="Z981" s="153"/>
      <c r="AA981" s="153"/>
    </row>
    <row r="982" ht="39.75" customHeight="1">
      <c r="A982" s="153"/>
      <c r="B982" s="153"/>
      <c r="C982" s="153"/>
      <c r="D982" s="153"/>
      <c r="E982" s="251"/>
      <c r="F982" s="251"/>
      <c r="G982" s="153"/>
      <c r="H982" s="252"/>
      <c r="I982" s="153"/>
      <c r="J982" s="153"/>
      <c r="K982" s="252"/>
      <c r="L982" s="153"/>
      <c r="M982" s="252"/>
      <c r="N982" s="153"/>
      <c r="O982" s="153"/>
      <c r="P982" s="153"/>
      <c r="Q982" s="152"/>
      <c r="R982" s="153"/>
      <c r="S982" s="153"/>
      <c r="T982" s="153"/>
      <c r="U982" s="153"/>
      <c r="V982" s="153"/>
      <c r="W982" s="153"/>
      <c r="X982" s="153"/>
      <c r="Y982" s="153"/>
      <c r="Z982" s="153"/>
      <c r="AA982" s="153"/>
    </row>
    <row r="983" ht="39.75" customHeight="1">
      <c r="A983" s="153"/>
      <c r="B983" s="153"/>
      <c r="C983" s="153"/>
      <c r="D983" s="153"/>
      <c r="E983" s="251"/>
      <c r="F983" s="251"/>
      <c r="G983" s="153"/>
      <c r="H983" s="252"/>
      <c r="I983" s="153"/>
      <c r="J983" s="153"/>
      <c r="K983" s="252"/>
      <c r="L983" s="153"/>
      <c r="M983" s="252"/>
      <c r="N983" s="153"/>
      <c r="O983" s="153"/>
      <c r="P983" s="153"/>
      <c r="Q983" s="152"/>
      <c r="R983" s="153"/>
      <c r="S983" s="153"/>
      <c r="T983" s="153"/>
      <c r="U983" s="153"/>
      <c r="V983" s="153"/>
      <c r="W983" s="153"/>
      <c r="X983" s="153"/>
      <c r="Y983" s="153"/>
      <c r="Z983" s="153"/>
      <c r="AA983" s="153"/>
    </row>
    <row r="984" ht="39.75" customHeight="1">
      <c r="A984" s="153"/>
      <c r="B984" s="153"/>
      <c r="C984" s="153"/>
      <c r="D984" s="153"/>
      <c r="E984" s="251"/>
      <c r="F984" s="251"/>
      <c r="G984" s="153"/>
      <c r="H984" s="252"/>
      <c r="I984" s="153"/>
      <c r="J984" s="153"/>
      <c r="K984" s="252"/>
      <c r="L984" s="153"/>
      <c r="M984" s="252"/>
      <c r="N984" s="153"/>
      <c r="O984" s="153"/>
      <c r="P984" s="153"/>
      <c r="Q984" s="152"/>
      <c r="R984" s="153"/>
      <c r="S984" s="153"/>
      <c r="T984" s="153"/>
      <c r="U984" s="153"/>
      <c r="V984" s="153"/>
      <c r="W984" s="153"/>
      <c r="X984" s="153"/>
      <c r="Y984" s="153"/>
      <c r="Z984" s="153"/>
      <c r="AA984" s="153"/>
    </row>
    <row r="985" ht="39.75" customHeight="1">
      <c r="A985" s="153"/>
      <c r="B985" s="153"/>
      <c r="C985" s="153"/>
      <c r="D985" s="153"/>
      <c r="E985" s="251"/>
      <c r="F985" s="251"/>
      <c r="G985" s="153"/>
      <c r="H985" s="252"/>
      <c r="I985" s="153"/>
      <c r="J985" s="153"/>
      <c r="K985" s="252"/>
      <c r="L985" s="153"/>
      <c r="M985" s="252"/>
      <c r="N985" s="153"/>
      <c r="O985" s="153"/>
      <c r="P985" s="153"/>
      <c r="Q985" s="152"/>
      <c r="R985" s="153"/>
      <c r="S985" s="153"/>
      <c r="T985" s="153"/>
      <c r="U985" s="153"/>
      <c r="V985" s="153"/>
      <c r="W985" s="153"/>
      <c r="X985" s="153"/>
      <c r="Y985" s="153"/>
      <c r="Z985" s="153"/>
      <c r="AA985" s="153"/>
    </row>
    <row r="986" ht="39.75" customHeight="1">
      <c r="A986" s="153"/>
      <c r="B986" s="153"/>
      <c r="C986" s="153"/>
      <c r="D986" s="153"/>
      <c r="E986" s="251"/>
      <c r="F986" s="251"/>
      <c r="G986" s="153"/>
      <c r="H986" s="252"/>
      <c r="I986" s="153"/>
      <c r="J986" s="153"/>
      <c r="K986" s="252"/>
      <c r="L986" s="153"/>
      <c r="M986" s="252"/>
      <c r="N986" s="153"/>
      <c r="O986" s="153"/>
      <c r="P986" s="153"/>
      <c r="Q986" s="152"/>
      <c r="R986" s="153"/>
      <c r="S986" s="153"/>
      <c r="T986" s="153"/>
      <c r="U986" s="153"/>
      <c r="V986" s="153"/>
      <c r="W986" s="153"/>
      <c r="X986" s="153"/>
      <c r="Y986" s="153"/>
      <c r="Z986" s="153"/>
      <c r="AA986" s="153"/>
    </row>
    <row r="987" ht="39.75" customHeight="1">
      <c r="A987" s="153"/>
      <c r="B987" s="153"/>
      <c r="C987" s="153"/>
      <c r="D987" s="153"/>
      <c r="E987" s="251"/>
      <c r="F987" s="251"/>
      <c r="G987" s="153"/>
      <c r="H987" s="252"/>
      <c r="I987" s="153"/>
      <c r="J987" s="153"/>
      <c r="K987" s="252"/>
      <c r="L987" s="153"/>
      <c r="M987" s="252"/>
      <c r="N987" s="153"/>
      <c r="O987" s="153"/>
      <c r="P987" s="153"/>
      <c r="Q987" s="152"/>
      <c r="R987" s="153"/>
      <c r="S987" s="153"/>
      <c r="T987" s="153"/>
      <c r="U987" s="153"/>
      <c r="V987" s="153"/>
      <c r="W987" s="153"/>
      <c r="X987" s="153"/>
      <c r="Y987" s="153"/>
      <c r="Z987" s="153"/>
      <c r="AA987" s="153"/>
    </row>
    <row r="988" ht="39.75" customHeight="1">
      <c r="A988" s="153"/>
      <c r="B988" s="153"/>
      <c r="C988" s="153"/>
      <c r="D988" s="153"/>
      <c r="E988" s="251"/>
      <c r="F988" s="251"/>
      <c r="G988" s="153"/>
      <c r="H988" s="252"/>
      <c r="I988" s="153"/>
      <c r="J988" s="153"/>
      <c r="K988" s="252"/>
      <c r="L988" s="153"/>
      <c r="M988" s="252"/>
      <c r="N988" s="153"/>
      <c r="O988" s="153"/>
      <c r="P988" s="153"/>
      <c r="Q988" s="152"/>
      <c r="R988" s="153"/>
      <c r="S988" s="153"/>
      <c r="T988" s="153"/>
      <c r="U988" s="153"/>
      <c r="V988" s="153"/>
      <c r="W988" s="153"/>
      <c r="X988" s="153"/>
      <c r="Y988" s="153"/>
      <c r="Z988" s="153"/>
      <c r="AA988" s="153"/>
    </row>
    <row r="989" ht="39.75" customHeight="1">
      <c r="A989" s="153"/>
      <c r="B989" s="153"/>
      <c r="C989" s="153"/>
      <c r="D989" s="153"/>
      <c r="E989" s="251"/>
      <c r="F989" s="251"/>
      <c r="G989" s="153"/>
      <c r="H989" s="252"/>
      <c r="I989" s="153"/>
      <c r="J989" s="153"/>
      <c r="K989" s="252"/>
      <c r="L989" s="153"/>
      <c r="M989" s="252"/>
      <c r="N989" s="153"/>
      <c r="O989" s="153"/>
      <c r="P989" s="153"/>
      <c r="Q989" s="152"/>
      <c r="R989" s="153"/>
      <c r="S989" s="153"/>
      <c r="T989" s="153"/>
      <c r="U989" s="153"/>
      <c r="V989" s="153"/>
      <c r="W989" s="153"/>
      <c r="X989" s="153"/>
      <c r="Y989" s="153"/>
      <c r="Z989" s="153"/>
      <c r="AA989" s="153"/>
    </row>
    <row r="990" ht="39.75" customHeight="1">
      <c r="A990" s="153"/>
      <c r="B990" s="153"/>
      <c r="C990" s="153"/>
      <c r="D990" s="153"/>
      <c r="E990" s="251"/>
      <c r="F990" s="251"/>
      <c r="G990" s="153"/>
      <c r="H990" s="252"/>
      <c r="I990" s="153"/>
      <c r="J990" s="153"/>
      <c r="K990" s="252"/>
      <c r="L990" s="153"/>
      <c r="M990" s="252"/>
      <c r="N990" s="153"/>
      <c r="O990" s="153"/>
      <c r="P990" s="153"/>
      <c r="Q990" s="152"/>
      <c r="R990" s="153"/>
      <c r="S990" s="153"/>
      <c r="T990" s="153"/>
      <c r="U990" s="153"/>
      <c r="V990" s="153"/>
      <c r="W990" s="153"/>
      <c r="X990" s="153"/>
      <c r="Y990" s="153"/>
      <c r="Z990" s="153"/>
      <c r="AA990" s="153"/>
    </row>
    <row r="991" ht="39.75" customHeight="1">
      <c r="A991" s="153"/>
      <c r="B991" s="153"/>
      <c r="C991" s="153"/>
      <c r="D991" s="153"/>
      <c r="E991" s="251"/>
      <c r="F991" s="251"/>
      <c r="G991" s="153"/>
      <c r="H991" s="252"/>
      <c r="I991" s="153"/>
      <c r="J991" s="153"/>
      <c r="K991" s="252"/>
      <c r="L991" s="153"/>
      <c r="M991" s="252"/>
      <c r="N991" s="153"/>
      <c r="O991" s="153"/>
      <c r="P991" s="153"/>
      <c r="Q991" s="152"/>
      <c r="R991" s="153"/>
      <c r="S991" s="153"/>
      <c r="T991" s="153"/>
      <c r="U991" s="153"/>
      <c r="V991" s="153"/>
      <c r="W991" s="153"/>
      <c r="X991" s="153"/>
      <c r="Y991" s="153"/>
      <c r="Z991" s="153"/>
      <c r="AA991" s="153"/>
    </row>
    <row r="992" ht="39.75" customHeight="1">
      <c r="A992" s="153"/>
      <c r="B992" s="153"/>
      <c r="C992" s="153"/>
      <c r="D992" s="153"/>
      <c r="E992" s="251"/>
      <c r="F992" s="251"/>
      <c r="G992" s="153"/>
      <c r="H992" s="252"/>
      <c r="I992" s="153"/>
      <c r="J992" s="153"/>
      <c r="K992" s="252"/>
      <c r="L992" s="153"/>
      <c r="M992" s="252"/>
      <c r="N992" s="153"/>
      <c r="O992" s="153"/>
      <c r="P992" s="153"/>
      <c r="Q992" s="152"/>
      <c r="R992" s="153"/>
      <c r="S992" s="153"/>
      <c r="T992" s="153"/>
      <c r="U992" s="153"/>
      <c r="V992" s="153"/>
      <c r="W992" s="153"/>
      <c r="X992" s="153"/>
      <c r="Y992" s="153"/>
      <c r="Z992" s="153"/>
      <c r="AA992" s="153"/>
    </row>
    <row r="993" ht="39.75" customHeight="1">
      <c r="A993" s="153"/>
      <c r="B993" s="153"/>
      <c r="C993" s="153"/>
      <c r="D993" s="153"/>
      <c r="E993" s="251"/>
      <c r="F993" s="251"/>
      <c r="G993" s="153"/>
      <c r="H993" s="252"/>
      <c r="I993" s="153"/>
      <c r="J993" s="153"/>
      <c r="K993" s="252"/>
      <c r="L993" s="153"/>
      <c r="M993" s="252"/>
      <c r="N993" s="153"/>
      <c r="O993" s="153"/>
      <c r="P993" s="153"/>
      <c r="Q993" s="152"/>
      <c r="R993" s="153"/>
      <c r="S993" s="153"/>
      <c r="T993" s="153"/>
      <c r="U993" s="153"/>
      <c r="V993" s="153"/>
      <c r="W993" s="153"/>
      <c r="X993" s="153"/>
      <c r="Y993" s="153"/>
      <c r="Z993" s="153"/>
      <c r="AA993" s="153"/>
    </row>
    <row r="994" ht="39.75" customHeight="1">
      <c r="A994" s="153"/>
      <c r="B994" s="153"/>
      <c r="C994" s="153"/>
      <c r="D994" s="153"/>
      <c r="E994" s="251"/>
      <c r="F994" s="251"/>
      <c r="G994" s="153"/>
      <c r="H994" s="252"/>
      <c r="I994" s="153"/>
      <c r="J994" s="153"/>
      <c r="K994" s="252"/>
      <c r="L994" s="153"/>
      <c r="M994" s="252"/>
      <c r="N994" s="153"/>
      <c r="O994" s="153"/>
      <c r="P994" s="153"/>
      <c r="Q994" s="152"/>
      <c r="R994" s="153"/>
      <c r="S994" s="153"/>
      <c r="T994" s="153"/>
      <c r="U994" s="153"/>
      <c r="V994" s="153"/>
      <c r="W994" s="153"/>
      <c r="X994" s="153"/>
      <c r="Y994" s="153"/>
      <c r="Z994" s="153"/>
      <c r="AA994" s="153"/>
    </row>
    <row r="995" ht="39.75" customHeight="1">
      <c r="A995" s="153"/>
      <c r="B995" s="153"/>
      <c r="C995" s="153"/>
      <c r="D995" s="153"/>
      <c r="E995" s="251"/>
      <c r="F995" s="251"/>
      <c r="G995" s="153"/>
      <c r="H995" s="252"/>
      <c r="I995" s="153"/>
      <c r="J995" s="153"/>
      <c r="K995" s="252"/>
      <c r="L995" s="153"/>
      <c r="M995" s="252"/>
      <c r="N995" s="153"/>
      <c r="O995" s="153"/>
      <c r="P995" s="153"/>
      <c r="Q995" s="152"/>
      <c r="R995" s="153"/>
      <c r="S995" s="153"/>
      <c r="T995" s="153"/>
      <c r="U995" s="153"/>
      <c r="V995" s="153"/>
      <c r="W995" s="153"/>
      <c r="X995" s="153"/>
      <c r="Y995" s="153"/>
      <c r="Z995" s="153"/>
      <c r="AA995" s="153"/>
    </row>
    <row r="996" ht="39.75" customHeight="1">
      <c r="A996" s="153"/>
      <c r="B996" s="153"/>
      <c r="C996" s="153"/>
      <c r="D996" s="153"/>
      <c r="E996" s="251"/>
      <c r="F996" s="251"/>
      <c r="G996" s="153"/>
      <c r="H996" s="252"/>
      <c r="I996" s="153"/>
      <c r="J996" s="153"/>
      <c r="K996" s="252"/>
      <c r="L996" s="153"/>
      <c r="M996" s="252"/>
      <c r="N996" s="153"/>
      <c r="O996" s="153"/>
      <c r="P996" s="153"/>
      <c r="Q996" s="152"/>
      <c r="R996" s="153"/>
      <c r="S996" s="153"/>
      <c r="T996" s="153"/>
      <c r="U996" s="153"/>
      <c r="V996" s="153"/>
      <c r="W996" s="153"/>
      <c r="X996" s="153"/>
      <c r="Y996" s="153"/>
      <c r="Z996" s="153"/>
      <c r="AA996" s="153"/>
    </row>
    <row r="997" ht="39.75" customHeight="1">
      <c r="A997" s="153"/>
      <c r="B997" s="153"/>
      <c r="C997" s="153"/>
      <c r="D997" s="153"/>
      <c r="E997" s="251"/>
      <c r="F997" s="251"/>
      <c r="G997" s="153"/>
      <c r="H997" s="252"/>
      <c r="I997" s="153"/>
      <c r="J997" s="153"/>
      <c r="K997" s="252"/>
      <c r="L997" s="153"/>
      <c r="M997" s="252"/>
      <c r="N997" s="153"/>
      <c r="O997" s="153"/>
      <c r="P997" s="153"/>
      <c r="Q997" s="152"/>
      <c r="R997" s="153"/>
      <c r="S997" s="153"/>
      <c r="T997" s="153"/>
      <c r="U997" s="153"/>
      <c r="V997" s="153"/>
      <c r="W997" s="153"/>
      <c r="X997" s="153"/>
      <c r="Y997" s="153"/>
      <c r="Z997" s="153"/>
      <c r="AA997" s="153"/>
    </row>
    <row r="998" ht="39.75" customHeight="1">
      <c r="A998" s="153"/>
      <c r="B998" s="153"/>
      <c r="C998" s="153"/>
      <c r="D998" s="153"/>
      <c r="E998" s="251"/>
      <c r="F998" s="251"/>
      <c r="G998" s="153"/>
      <c r="H998" s="252"/>
      <c r="I998" s="153"/>
      <c r="J998" s="153"/>
      <c r="K998" s="252"/>
      <c r="L998" s="153"/>
      <c r="M998" s="252"/>
      <c r="N998" s="153"/>
      <c r="O998" s="153"/>
      <c r="P998" s="153"/>
      <c r="Q998" s="152"/>
      <c r="R998" s="153"/>
      <c r="S998" s="153"/>
      <c r="T998" s="153"/>
      <c r="U998" s="153"/>
      <c r="V998" s="153"/>
      <c r="W998" s="153"/>
      <c r="X998" s="153"/>
      <c r="Y998" s="153"/>
      <c r="Z998" s="153"/>
      <c r="AA998" s="153"/>
    </row>
    <row r="999" ht="39.75" customHeight="1">
      <c r="A999" s="153"/>
      <c r="B999" s="153"/>
      <c r="C999" s="153"/>
      <c r="D999" s="153"/>
      <c r="E999" s="251"/>
      <c r="F999" s="251"/>
      <c r="G999" s="153"/>
      <c r="H999" s="252"/>
      <c r="I999" s="153"/>
      <c r="J999" s="153"/>
      <c r="K999" s="252"/>
      <c r="L999" s="153"/>
      <c r="M999" s="252"/>
      <c r="N999" s="153"/>
      <c r="O999" s="153"/>
      <c r="P999" s="153"/>
      <c r="Q999" s="152"/>
      <c r="R999" s="153"/>
      <c r="S999" s="153"/>
      <c r="T999" s="153"/>
      <c r="U999" s="153"/>
      <c r="V999" s="153"/>
      <c r="W999" s="153"/>
      <c r="X999" s="153"/>
      <c r="Y999" s="153"/>
      <c r="Z999" s="153"/>
      <c r="AA999" s="153"/>
    </row>
    <row r="1000" ht="39.75" customHeight="1">
      <c r="A1000" s="153"/>
      <c r="B1000" s="153"/>
      <c r="C1000" s="153"/>
      <c r="D1000" s="153"/>
      <c r="E1000" s="251"/>
      <c r="F1000" s="251"/>
      <c r="G1000" s="153"/>
      <c r="H1000" s="252"/>
      <c r="I1000" s="153"/>
      <c r="J1000" s="153"/>
      <c r="K1000" s="252"/>
      <c r="L1000" s="153"/>
      <c r="M1000" s="252"/>
      <c r="N1000" s="153"/>
      <c r="O1000" s="153"/>
      <c r="P1000" s="153"/>
      <c r="Q1000" s="152"/>
      <c r="R1000" s="153"/>
      <c r="S1000" s="153"/>
      <c r="T1000" s="153"/>
      <c r="U1000" s="153"/>
      <c r="V1000" s="153"/>
      <c r="W1000" s="153"/>
      <c r="X1000" s="153"/>
      <c r="Y1000" s="153"/>
      <c r="Z1000" s="153"/>
      <c r="AA1000" s="153"/>
    </row>
  </sheetData>
  <autoFilter ref="$B$2:$P$188">
    <sortState ref="B2:P188">
      <sortCondition ref="B2:B188"/>
    </sortState>
  </autoFilter>
  <printOptions/>
  <pageMargins bottom="0.7874015748031497" footer="0.0" header="0.0" left="0.5118110236220472" right="0.5118110236220472" top="0.7874015748031497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14"/>
    <col customWidth="1" min="2" max="2" width="40.86"/>
    <col customWidth="1" min="3" max="3" width="81.14"/>
    <col customWidth="1" min="4" max="26" width="8.71"/>
  </cols>
  <sheetData>
    <row r="1">
      <c r="A1" s="181" t="s">
        <v>170</v>
      </c>
      <c r="B1" s="181" t="s">
        <v>171</v>
      </c>
      <c r="C1" s="181" t="s">
        <v>173</v>
      </c>
    </row>
    <row r="2">
      <c r="A2" s="183" t="s">
        <v>174</v>
      </c>
      <c r="B2" s="183" t="s">
        <v>176</v>
      </c>
      <c r="C2" s="183" t="s">
        <v>177</v>
      </c>
    </row>
    <row r="3">
      <c r="A3" s="183" t="s">
        <v>55</v>
      </c>
      <c r="B3" s="183" t="s">
        <v>179</v>
      </c>
      <c r="C3" s="183" t="s">
        <v>180</v>
      </c>
    </row>
    <row r="4">
      <c r="A4" s="183" t="s">
        <v>181</v>
      </c>
      <c r="B4" s="183" t="s">
        <v>183</v>
      </c>
      <c r="C4" s="183" t="s">
        <v>184</v>
      </c>
    </row>
    <row r="5">
      <c r="A5" s="183" t="s">
        <v>185</v>
      </c>
      <c r="B5" s="183" t="s">
        <v>186</v>
      </c>
      <c r="C5" s="183" t="s">
        <v>187</v>
      </c>
    </row>
    <row r="6">
      <c r="A6" s="183" t="s">
        <v>188</v>
      </c>
      <c r="B6" s="183" t="s">
        <v>189</v>
      </c>
      <c r="C6" s="183" t="s">
        <v>190</v>
      </c>
    </row>
    <row r="7">
      <c r="A7" s="183" t="s">
        <v>192</v>
      </c>
      <c r="B7" s="183" t="s">
        <v>193</v>
      </c>
      <c r="C7" s="183" t="s">
        <v>194</v>
      </c>
    </row>
    <row r="8">
      <c r="A8" s="183" t="s">
        <v>195</v>
      </c>
      <c r="B8" s="183" t="s">
        <v>196</v>
      </c>
      <c r="C8" s="183" t="s">
        <v>197</v>
      </c>
    </row>
    <row r="9">
      <c r="A9" s="183" t="s">
        <v>198</v>
      </c>
      <c r="B9" s="183" t="s">
        <v>200</v>
      </c>
      <c r="C9" s="183" t="s">
        <v>201</v>
      </c>
    </row>
    <row r="10">
      <c r="A10" s="183" t="s">
        <v>203</v>
      </c>
      <c r="B10" s="183" t="s">
        <v>205</v>
      </c>
      <c r="C10" s="183" t="s">
        <v>206</v>
      </c>
    </row>
    <row r="11">
      <c r="A11" s="183" t="s">
        <v>207</v>
      </c>
      <c r="B11" s="183" t="s">
        <v>209</v>
      </c>
      <c r="C11" s="183" t="s">
        <v>210</v>
      </c>
    </row>
    <row r="12">
      <c r="A12" s="183" t="s">
        <v>211</v>
      </c>
      <c r="B12" s="183" t="s">
        <v>212</v>
      </c>
      <c r="C12" s="183" t="s">
        <v>213</v>
      </c>
    </row>
    <row r="13">
      <c r="A13" s="183" t="s">
        <v>215</v>
      </c>
      <c r="B13" s="183" t="s">
        <v>216</v>
      </c>
      <c r="C13" s="183" t="s">
        <v>217</v>
      </c>
    </row>
    <row r="14">
      <c r="A14" s="183" t="s">
        <v>218</v>
      </c>
      <c r="B14" s="183" t="s">
        <v>219</v>
      </c>
      <c r="C14" s="183" t="s">
        <v>220</v>
      </c>
    </row>
    <row r="15">
      <c r="A15" s="183" t="s">
        <v>221</v>
      </c>
      <c r="B15" s="183" t="s">
        <v>222</v>
      </c>
      <c r="C15" s="183" t="s">
        <v>223</v>
      </c>
    </row>
    <row r="16">
      <c r="A16" s="183" t="s">
        <v>224</v>
      </c>
      <c r="B16" s="183" t="s">
        <v>225</v>
      </c>
      <c r="C16" s="183" t="s">
        <v>226</v>
      </c>
    </row>
    <row r="17">
      <c r="A17" s="183" t="s">
        <v>228</v>
      </c>
      <c r="B17" s="183" t="s">
        <v>229</v>
      </c>
      <c r="C17" s="183" t="s">
        <v>230</v>
      </c>
    </row>
    <row r="18">
      <c r="A18" s="183" t="s">
        <v>231</v>
      </c>
      <c r="B18" s="183" t="s">
        <v>232</v>
      </c>
      <c r="C18" s="183" t="s">
        <v>233</v>
      </c>
    </row>
    <row r="19">
      <c r="A19" s="183" t="s">
        <v>234</v>
      </c>
      <c r="B19" s="183" t="s">
        <v>235</v>
      </c>
      <c r="C19" s="183" t="s">
        <v>236</v>
      </c>
    </row>
    <row r="20">
      <c r="A20" s="183" t="s">
        <v>238</v>
      </c>
      <c r="B20" s="183" t="s">
        <v>243</v>
      </c>
      <c r="C20" s="183" t="s">
        <v>244</v>
      </c>
    </row>
    <row r="21" ht="15.75" customHeight="1">
      <c r="A21" s="183" t="s">
        <v>245</v>
      </c>
      <c r="B21" s="183" t="s">
        <v>248</v>
      </c>
      <c r="C21" s="183" t="s">
        <v>280</v>
      </c>
    </row>
    <row r="22" ht="15.75" customHeight="1">
      <c r="A22" s="183" t="s">
        <v>281</v>
      </c>
      <c r="B22" s="183" t="s">
        <v>282</v>
      </c>
      <c r="C22" s="183" t="s">
        <v>283</v>
      </c>
    </row>
    <row r="23" ht="15.75" customHeight="1">
      <c r="A23" s="183" t="s">
        <v>284</v>
      </c>
      <c r="B23" s="183" t="s">
        <v>286</v>
      </c>
      <c r="C23" s="183" t="s">
        <v>287</v>
      </c>
    </row>
    <row r="24" ht="15.75" customHeight="1">
      <c r="A24" s="183" t="s">
        <v>288</v>
      </c>
      <c r="B24" s="183" t="s">
        <v>289</v>
      </c>
      <c r="C24" s="183" t="s">
        <v>290</v>
      </c>
    </row>
    <row r="25" ht="15.75" customHeight="1">
      <c r="A25" s="183" t="s">
        <v>291</v>
      </c>
      <c r="B25" s="183" t="s">
        <v>292</v>
      </c>
      <c r="C25" s="183" t="s">
        <v>293</v>
      </c>
    </row>
    <row r="26" ht="15.75" customHeight="1">
      <c r="A26" s="183" t="s">
        <v>294</v>
      </c>
      <c r="B26" s="183"/>
      <c r="C26" s="183" t="s">
        <v>295</v>
      </c>
    </row>
    <row r="27" ht="15.75" customHeight="1">
      <c r="A27" s="183" t="s">
        <v>297</v>
      </c>
      <c r="B27" s="183" t="s">
        <v>298</v>
      </c>
      <c r="C27" s="183" t="s">
        <v>299</v>
      </c>
    </row>
    <row r="28" ht="15.75" customHeight="1">
      <c r="A28" s="183" t="s">
        <v>301</v>
      </c>
      <c r="B28" s="183" t="s">
        <v>302</v>
      </c>
      <c r="C28" s="183" t="s">
        <v>303</v>
      </c>
    </row>
    <row r="29" ht="15.75" customHeight="1">
      <c r="A29" s="183" t="s">
        <v>304</v>
      </c>
      <c r="B29" s="183" t="s">
        <v>306</v>
      </c>
      <c r="C29" s="183" t="s">
        <v>307</v>
      </c>
    </row>
    <row r="30" ht="15.75" customHeight="1">
      <c r="A30" s="183" t="s">
        <v>308</v>
      </c>
      <c r="B30" s="183" t="s">
        <v>309</v>
      </c>
      <c r="C30" s="183" t="s">
        <v>311</v>
      </c>
    </row>
    <row r="31" ht="15.75" customHeight="1">
      <c r="A31" s="183" t="s">
        <v>312</v>
      </c>
      <c r="B31" s="183" t="s">
        <v>313</v>
      </c>
      <c r="C31" s="183" t="s">
        <v>314</v>
      </c>
    </row>
    <row r="32" ht="15.75" customHeight="1">
      <c r="A32" s="183" t="s">
        <v>315</v>
      </c>
      <c r="B32" s="183" t="s">
        <v>316</v>
      </c>
      <c r="C32" s="183" t="s">
        <v>317</v>
      </c>
    </row>
    <row r="33" ht="15.75" customHeight="1">
      <c r="A33" s="183" t="s">
        <v>318</v>
      </c>
      <c r="B33" s="183" t="s">
        <v>319</v>
      </c>
      <c r="C33" s="183" t="s">
        <v>321</v>
      </c>
    </row>
    <row r="34" ht="15.75" customHeight="1">
      <c r="A34" s="183" t="s">
        <v>322</v>
      </c>
      <c r="B34" s="183" t="s">
        <v>323</v>
      </c>
      <c r="C34" s="183" t="s">
        <v>324</v>
      </c>
    </row>
    <row r="35" ht="15.75" customHeight="1">
      <c r="A35" s="183" t="s">
        <v>325</v>
      </c>
      <c r="B35" s="183" t="s">
        <v>326</v>
      </c>
      <c r="C35" s="183" t="s">
        <v>327</v>
      </c>
    </row>
    <row r="36" ht="15.75" customHeight="1">
      <c r="A36" s="183" t="s">
        <v>328</v>
      </c>
      <c r="B36" s="183" t="s">
        <v>329</v>
      </c>
      <c r="C36" s="183" t="s">
        <v>330</v>
      </c>
    </row>
    <row r="37" ht="15.75" customHeight="1">
      <c r="A37" s="183" t="s">
        <v>331</v>
      </c>
      <c r="B37" s="183" t="s">
        <v>332</v>
      </c>
      <c r="C37" s="183" t="s">
        <v>333</v>
      </c>
    </row>
    <row r="38" ht="15.75" customHeight="1">
      <c r="A38" s="183" t="s">
        <v>334</v>
      </c>
      <c r="B38" s="183" t="s">
        <v>335</v>
      </c>
      <c r="C38" s="183" t="s">
        <v>336</v>
      </c>
    </row>
    <row r="39" ht="15.75" customHeight="1">
      <c r="A39" s="183" t="s">
        <v>337</v>
      </c>
      <c r="B39" s="183" t="s">
        <v>338</v>
      </c>
      <c r="C39" s="183" t="s">
        <v>339</v>
      </c>
    </row>
    <row r="40" ht="15.75" customHeight="1">
      <c r="A40" s="183" t="s">
        <v>340</v>
      </c>
      <c r="B40" s="183" t="s">
        <v>341</v>
      </c>
      <c r="C40" s="183" t="s">
        <v>343</v>
      </c>
    </row>
    <row r="41" ht="15.75" customHeight="1">
      <c r="A41" s="183" t="s">
        <v>344</v>
      </c>
      <c r="B41" s="183" t="s">
        <v>345</v>
      </c>
      <c r="C41" s="183" t="s">
        <v>346</v>
      </c>
    </row>
    <row r="42" ht="15.75" customHeight="1">
      <c r="A42" s="183" t="s">
        <v>347</v>
      </c>
      <c r="B42" s="183" t="s">
        <v>348</v>
      </c>
      <c r="C42" s="183" t="s">
        <v>349</v>
      </c>
    </row>
    <row r="43" ht="15.75" customHeight="1">
      <c r="A43" s="183" t="s">
        <v>350</v>
      </c>
      <c r="B43" s="183" t="s">
        <v>351</v>
      </c>
      <c r="C43" s="183" t="s">
        <v>353</v>
      </c>
    </row>
    <row r="44" ht="15.75" customHeight="1">
      <c r="A44" s="183" t="s">
        <v>354</v>
      </c>
      <c r="B44" s="183" t="s">
        <v>355</v>
      </c>
      <c r="C44" s="183" t="s">
        <v>356</v>
      </c>
    </row>
    <row r="45" ht="15.75" customHeight="1">
      <c r="A45" s="183" t="s">
        <v>357</v>
      </c>
      <c r="B45" s="183" t="s">
        <v>358</v>
      </c>
      <c r="C45" s="183" t="s">
        <v>359</v>
      </c>
    </row>
    <row r="46" ht="15.75" customHeight="1">
      <c r="A46" s="183" t="s">
        <v>360</v>
      </c>
      <c r="B46" s="183" t="s">
        <v>361</v>
      </c>
      <c r="C46" s="183" t="s">
        <v>362</v>
      </c>
    </row>
    <row r="47" ht="15.75" customHeight="1">
      <c r="A47" s="183" t="s">
        <v>364</v>
      </c>
      <c r="B47" s="183" t="s">
        <v>365</v>
      </c>
      <c r="C47" s="183" t="s">
        <v>366</v>
      </c>
    </row>
    <row r="48" ht="15.75" customHeight="1">
      <c r="A48" s="183" t="s">
        <v>367</v>
      </c>
      <c r="B48" s="183" t="s">
        <v>368</v>
      </c>
      <c r="C48" s="183" t="s">
        <v>369</v>
      </c>
    </row>
    <row r="49" ht="15.75" customHeight="1">
      <c r="A49" s="183" t="s">
        <v>370</v>
      </c>
      <c r="B49" s="183" t="s">
        <v>371</v>
      </c>
      <c r="C49" s="183" t="s">
        <v>372</v>
      </c>
    </row>
    <row r="50" ht="15.75" customHeight="1">
      <c r="A50" s="183" t="s">
        <v>373</v>
      </c>
      <c r="B50" s="183" t="s">
        <v>374</v>
      </c>
      <c r="C50" s="183" t="s">
        <v>375</v>
      </c>
    </row>
    <row r="51" ht="15.75" customHeight="1">
      <c r="A51" s="183" t="s">
        <v>376</v>
      </c>
      <c r="B51" s="183" t="s">
        <v>377</v>
      </c>
      <c r="C51" s="183" t="s">
        <v>378</v>
      </c>
    </row>
    <row r="52" ht="15.75" customHeight="1">
      <c r="A52" s="183" t="s">
        <v>379</v>
      </c>
      <c r="B52" s="183" t="s">
        <v>381</v>
      </c>
      <c r="C52" s="183" t="s">
        <v>382</v>
      </c>
    </row>
    <row r="53" ht="15.75" customHeight="1">
      <c r="A53" s="183" t="s">
        <v>383</v>
      </c>
      <c r="B53" s="183" t="s">
        <v>384</v>
      </c>
      <c r="C53" s="183" t="s">
        <v>385</v>
      </c>
    </row>
    <row r="54" ht="15.75" customHeight="1">
      <c r="A54" s="183" t="s">
        <v>386</v>
      </c>
      <c r="B54" s="183" t="s">
        <v>387</v>
      </c>
      <c r="C54" s="183" t="s">
        <v>388</v>
      </c>
    </row>
    <row r="55" ht="15.75" customHeight="1">
      <c r="A55" s="183" t="s">
        <v>389</v>
      </c>
      <c r="B55" s="183" t="s">
        <v>390</v>
      </c>
      <c r="C55" s="183" t="s">
        <v>391</v>
      </c>
    </row>
    <row r="56" ht="15.75" customHeight="1">
      <c r="A56" s="183" t="s">
        <v>392</v>
      </c>
      <c r="B56" s="183" t="s">
        <v>393</v>
      </c>
      <c r="C56" s="183" t="s">
        <v>394</v>
      </c>
    </row>
    <row r="57" ht="15.75" customHeight="1">
      <c r="A57" s="183" t="s">
        <v>395</v>
      </c>
      <c r="B57" s="183" t="s">
        <v>396</v>
      </c>
      <c r="C57" s="183" t="s">
        <v>397</v>
      </c>
    </row>
    <row r="58" ht="15.75" customHeight="1">
      <c r="A58" s="183" t="s">
        <v>398</v>
      </c>
      <c r="B58" s="183" t="s">
        <v>399</v>
      </c>
      <c r="C58" s="183" t="s">
        <v>400</v>
      </c>
    </row>
    <row r="59" ht="15.75" customHeight="1">
      <c r="A59" s="183" t="s">
        <v>401</v>
      </c>
      <c r="B59" s="183" t="s">
        <v>402</v>
      </c>
      <c r="C59" s="183" t="s">
        <v>403</v>
      </c>
    </row>
    <row r="60" ht="15.75" customHeight="1">
      <c r="A60" s="183" t="s">
        <v>404</v>
      </c>
      <c r="B60" s="183" t="s">
        <v>405</v>
      </c>
      <c r="C60" s="183" t="s">
        <v>406</v>
      </c>
    </row>
    <row r="61" ht="15.75" customHeight="1">
      <c r="A61" s="183" t="s">
        <v>407</v>
      </c>
      <c r="B61" s="183" t="s">
        <v>408</v>
      </c>
      <c r="C61" s="183" t="s">
        <v>409</v>
      </c>
    </row>
    <row r="62" ht="15.75" customHeight="1">
      <c r="A62" s="183" t="s">
        <v>410</v>
      </c>
      <c r="B62" s="183" t="s">
        <v>411</v>
      </c>
      <c r="C62" s="183" t="s">
        <v>412</v>
      </c>
    </row>
    <row r="63" ht="15.75" customHeight="1">
      <c r="A63" s="183" t="s">
        <v>414</v>
      </c>
      <c r="B63" s="183" t="s">
        <v>415</v>
      </c>
      <c r="C63" s="183" t="s">
        <v>416</v>
      </c>
    </row>
    <row r="64" ht="15.75" customHeight="1">
      <c r="A64" s="183" t="s">
        <v>417</v>
      </c>
      <c r="B64" s="183" t="s">
        <v>418</v>
      </c>
      <c r="C64" s="183" t="s">
        <v>419</v>
      </c>
    </row>
    <row r="65" ht="15.75" customHeight="1">
      <c r="A65" s="183" t="s">
        <v>420</v>
      </c>
      <c r="B65" s="183" t="s">
        <v>421</v>
      </c>
      <c r="C65" s="183" t="s">
        <v>422</v>
      </c>
    </row>
    <row r="66" ht="15.75" customHeight="1">
      <c r="A66" s="183" t="s">
        <v>423</v>
      </c>
      <c r="B66" s="183" t="s">
        <v>424</v>
      </c>
      <c r="C66" s="183" t="s">
        <v>425</v>
      </c>
    </row>
    <row r="67" ht="15.75" customHeight="1">
      <c r="A67" s="183" t="s">
        <v>426</v>
      </c>
      <c r="B67" s="183" t="s">
        <v>427</v>
      </c>
      <c r="C67" s="183" t="s">
        <v>428</v>
      </c>
    </row>
    <row r="68" ht="15.75" customHeight="1">
      <c r="A68" s="183" t="s">
        <v>429</v>
      </c>
      <c r="B68" s="183" t="s">
        <v>430</v>
      </c>
      <c r="C68" s="183" t="s">
        <v>431</v>
      </c>
    </row>
    <row r="69" ht="15.75" customHeight="1">
      <c r="A69" s="183" t="s">
        <v>432</v>
      </c>
      <c r="B69" s="183" t="s">
        <v>433</v>
      </c>
      <c r="C69" s="183" t="s">
        <v>434</v>
      </c>
    </row>
    <row r="70" ht="15.75" customHeight="1">
      <c r="A70" s="183" t="s">
        <v>435</v>
      </c>
      <c r="B70" s="183" t="s">
        <v>436</v>
      </c>
      <c r="C70" s="183" t="s">
        <v>437</v>
      </c>
    </row>
    <row r="71" ht="15.75" customHeight="1">
      <c r="A71" s="183" t="s">
        <v>438</v>
      </c>
      <c r="B71" s="183" t="s">
        <v>439</v>
      </c>
      <c r="C71" s="183" t="s">
        <v>440</v>
      </c>
    </row>
    <row r="72" ht="15.75" customHeight="1">
      <c r="A72" s="183" t="s">
        <v>441</v>
      </c>
      <c r="B72" s="183" t="s">
        <v>442</v>
      </c>
      <c r="C72" s="183" t="s">
        <v>443</v>
      </c>
    </row>
    <row r="73" ht="15.75" customHeight="1">
      <c r="A73" s="183" t="s">
        <v>444</v>
      </c>
      <c r="B73" s="183" t="s">
        <v>445</v>
      </c>
      <c r="C73" s="183" t="s">
        <v>446</v>
      </c>
    </row>
    <row r="74" ht="15.75" customHeight="1">
      <c r="A74" s="183" t="s">
        <v>447</v>
      </c>
      <c r="B74" s="183" t="s">
        <v>448</v>
      </c>
      <c r="C74" s="183" t="s">
        <v>449</v>
      </c>
    </row>
    <row r="75" ht="15.75" customHeight="1">
      <c r="A75" s="183" t="s">
        <v>450</v>
      </c>
      <c r="B75" s="183" t="s">
        <v>451</v>
      </c>
      <c r="C75" s="183" t="s">
        <v>452</v>
      </c>
    </row>
    <row r="76" ht="15.75" customHeight="1">
      <c r="A76" s="183" t="s">
        <v>453</v>
      </c>
      <c r="B76" s="183" t="s">
        <v>454</v>
      </c>
      <c r="C76" s="183" t="s">
        <v>455</v>
      </c>
    </row>
    <row r="77" ht="15.75" customHeight="1">
      <c r="A77" s="183" t="s">
        <v>456</v>
      </c>
      <c r="B77" s="183" t="s">
        <v>457</v>
      </c>
      <c r="C77" s="183" t="s">
        <v>458</v>
      </c>
    </row>
    <row r="78" ht="15.75" customHeight="1">
      <c r="A78" s="183" t="s">
        <v>459</v>
      </c>
      <c r="B78" s="183" t="s">
        <v>460</v>
      </c>
      <c r="C78" s="183" t="s">
        <v>461</v>
      </c>
    </row>
    <row r="79" ht="15.75" customHeight="1">
      <c r="A79" s="183" t="s">
        <v>463</v>
      </c>
      <c r="B79" s="183" t="s">
        <v>464</v>
      </c>
      <c r="C79" s="183" t="s">
        <v>465</v>
      </c>
    </row>
    <row r="80" ht="15.75" customHeight="1">
      <c r="A80" s="183" t="s">
        <v>466</v>
      </c>
      <c r="B80" s="183" t="s">
        <v>467</v>
      </c>
      <c r="C80" s="183" t="s">
        <v>468</v>
      </c>
    </row>
    <row r="81" ht="15.75" customHeight="1">
      <c r="A81" s="183" t="s">
        <v>469</v>
      </c>
      <c r="B81" s="183" t="s">
        <v>470</v>
      </c>
      <c r="C81" s="183" t="s">
        <v>471</v>
      </c>
    </row>
    <row r="82" ht="15.75" customHeight="1">
      <c r="A82" s="183" t="s">
        <v>472</v>
      </c>
      <c r="B82" s="183" t="s">
        <v>473</v>
      </c>
      <c r="C82" s="183" t="s">
        <v>474</v>
      </c>
    </row>
    <row r="83" ht="15.75" customHeight="1">
      <c r="A83" s="183" t="s">
        <v>475</v>
      </c>
      <c r="B83" s="183" t="s">
        <v>476</v>
      </c>
      <c r="C83" s="183" t="s">
        <v>477</v>
      </c>
    </row>
    <row r="84" ht="15.75" customHeight="1">
      <c r="A84" s="183" t="s">
        <v>479</v>
      </c>
      <c r="B84" s="183" t="s">
        <v>480</v>
      </c>
      <c r="C84" s="183" t="s">
        <v>481</v>
      </c>
    </row>
    <row r="85" ht="15.75" customHeight="1">
      <c r="A85" s="183" t="s">
        <v>482</v>
      </c>
      <c r="B85" s="183" t="s">
        <v>483</v>
      </c>
      <c r="C85" s="183" t="s">
        <v>484</v>
      </c>
    </row>
    <row r="86" ht="15.75" customHeight="1">
      <c r="A86" s="183" t="s">
        <v>485</v>
      </c>
      <c r="B86" s="183" t="s">
        <v>486</v>
      </c>
      <c r="C86" s="183" t="s">
        <v>487</v>
      </c>
    </row>
    <row r="87" ht="15.75" customHeight="1">
      <c r="A87" s="183" t="s">
        <v>488</v>
      </c>
      <c r="B87" s="183" t="s">
        <v>489</v>
      </c>
      <c r="C87" s="183" t="s">
        <v>490</v>
      </c>
    </row>
    <row r="88" ht="15.75" customHeight="1">
      <c r="A88" s="183" t="s">
        <v>491</v>
      </c>
      <c r="B88" s="183" t="s">
        <v>492</v>
      </c>
      <c r="C88" s="183" t="s">
        <v>493</v>
      </c>
    </row>
    <row r="89" ht="15.75" customHeight="1">
      <c r="A89" s="183" t="s">
        <v>494</v>
      </c>
      <c r="B89" s="183" t="s">
        <v>495</v>
      </c>
      <c r="C89" s="183" t="s">
        <v>496</v>
      </c>
    </row>
    <row r="90" ht="15.75" customHeight="1">
      <c r="A90" s="183" t="s">
        <v>497</v>
      </c>
      <c r="B90" s="183" t="s">
        <v>498</v>
      </c>
      <c r="C90" s="183" t="s">
        <v>499</v>
      </c>
    </row>
    <row r="91" ht="15.75" customHeight="1">
      <c r="A91" s="183" t="s">
        <v>500</v>
      </c>
      <c r="B91" s="183" t="s">
        <v>501</v>
      </c>
      <c r="C91" s="183" t="s">
        <v>502</v>
      </c>
    </row>
    <row r="92" ht="15.75" customHeight="1">
      <c r="A92" s="183" t="s">
        <v>503</v>
      </c>
      <c r="B92" s="183" t="s">
        <v>504</v>
      </c>
      <c r="C92" s="183" t="s">
        <v>505</v>
      </c>
    </row>
    <row r="93" ht="15.75" customHeight="1">
      <c r="A93" s="183" t="s">
        <v>506</v>
      </c>
      <c r="B93" s="183" t="s">
        <v>507</v>
      </c>
      <c r="C93" s="183" t="s">
        <v>508</v>
      </c>
    </row>
    <row r="94" ht="15.75" customHeight="1">
      <c r="A94" s="183" t="s">
        <v>509</v>
      </c>
      <c r="B94" s="183" t="s">
        <v>510</v>
      </c>
      <c r="C94" s="183" t="s">
        <v>511</v>
      </c>
    </row>
    <row r="95" ht="15.75" customHeight="1">
      <c r="A95" s="183" t="s">
        <v>512</v>
      </c>
      <c r="B95" s="183" t="s">
        <v>513</v>
      </c>
      <c r="C95" s="183" t="s">
        <v>514</v>
      </c>
    </row>
    <row r="96" ht="15.75" customHeight="1">
      <c r="A96" s="183" t="s">
        <v>515</v>
      </c>
      <c r="B96" s="183" t="s">
        <v>516</v>
      </c>
      <c r="C96" s="183" t="s">
        <v>517</v>
      </c>
    </row>
    <row r="97" ht="15.75" customHeight="1">
      <c r="A97" s="183" t="s">
        <v>518</v>
      </c>
      <c r="B97" s="183" t="s">
        <v>519</v>
      </c>
      <c r="C97" s="183" t="s">
        <v>520</v>
      </c>
    </row>
    <row r="98" ht="15.75" customHeight="1">
      <c r="A98" s="183" t="s">
        <v>521</v>
      </c>
      <c r="B98" s="183" t="s">
        <v>522</v>
      </c>
      <c r="C98" s="183" t="s">
        <v>523</v>
      </c>
    </row>
    <row r="99" ht="15.75" customHeight="1">
      <c r="A99" s="183" t="s">
        <v>524</v>
      </c>
      <c r="B99" s="183" t="s">
        <v>525</v>
      </c>
      <c r="C99" s="183" t="s">
        <v>526</v>
      </c>
    </row>
    <row r="100" ht="15.75" customHeight="1">
      <c r="A100" s="183" t="s">
        <v>527</v>
      </c>
      <c r="B100" s="183" t="s">
        <v>528</v>
      </c>
      <c r="C100" s="183" t="s">
        <v>529</v>
      </c>
    </row>
    <row r="101" ht="15.75" customHeight="1">
      <c r="A101" s="183" t="s">
        <v>530</v>
      </c>
      <c r="B101" s="183" t="s">
        <v>531</v>
      </c>
      <c r="C101" s="183" t="s">
        <v>532</v>
      </c>
    </row>
    <row r="102" ht="15.75" customHeight="1">
      <c r="A102" s="183" t="s">
        <v>533</v>
      </c>
      <c r="B102" s="183" t="s">
        <v>534</v>
      </c>
      <c r="C102" s="183" t="s">
        <v>535</v>
      </c>
    </row>
    <row r="103" ht="15.75" customHeight="1">
      <c r="A103" s="183" t="s">
        <v>536</v>
      </c>
      <c r="B103" s="183" t="s">
        <v>537</v>
      </c>
      <c r="C103" s="183" t="s">
        <v>538</v>
      </c>
    </row>
    <row r="104" ht="15.75" customHeight="1">
      <c r="A104" s="183" t="s">
        <v>539</v>
      </c>
      <c r="B104" s="183" t="s">
        <v>540</v>
      </c>
      <c r="C104" s="183" t="s">
        <v>541</v>
      </c>
    </row>
    <row r="105" ht="15.75" customHeight="1">
      <c r="A105" s="183" t="s">
        <v>542</v>
      </c>
      <c r="B105" s="183" t="s">
        <v>543</v>
      </c>
      <c r="C105" s="183" t="s">
        <v>544</v>
      </c>
    </row>
    <row r="106" ht="15.75" customHeight="1">
      <c r="A106" s="183" t="s">
        <v>545</v>
      </c>
      <c r="B106" s="183" t="s">
        <v>546</v>
      </c>
      <c r="C106" s="183" t="s">
        <v>547</v>
      </c>
    </row>
    <row r="107" ht="15.75" customHeight="1">
      <c r="A107" s="183" t="s">
        <v>548</v>
      </c>
      <c r="B107" s="183" t="s">
        <v>549</v>
      </c>
      <c r="C107" s="183" t="s">
        <v>550</v>
      </c>
    </row>
    <row r="108" ht="15.75" customHeight="1">
      <c r="A108" s="183" t="s">
        <v>551</v>
      </c>
      <c r="B108" s="183" t="s">
        <v>552</v>
      </c>
      <c r="C108" s="183" t="s">
        <v>553</v>
      </c>
    </row>
    <row r="109" ht="15.75" customHeight="1">
      <c r="A109" s="183" t="s">
        <v>554</v>
      </c>
      <c r="B109" s="183" t="s">
        <v>555</v>
      </c>
      <c r="C109" s="183" t="s">
        <v>556</v>
      </c>
    </row>
    <row r="110" ht="15.75" customHeight="1">
      <c r="A110" s="183" t="s">
        <v>557</v>
      </c>
      <c r="B110" s="183" t="s">
        <v>559</v>
      </c>
      <c r="C110" s="183" t="s">
        <v>560</v>
      </c>
    </row>
    <row r="111" ht="15.75" customHeight="1">
      <c r="A111" s="183" t="s">
        <v>561</v>
      </c>
      <c r="B111" s="183" t="s">
        <v>562</v>
      </c>
      <c r="C111" s="183" t="s">
        <v>563</v>
      </c>
    </row>
    <row r="112" ht="15.75" customHeight="1">
      <c r="A112" s="183" t="s">
        <v>564</v>
      </c>
      <c r="B112" s="183" t="s">
        <v>565</v>
      </c>
      <c r="C112" s="183" t="s">
        <v>566</v>
      </c>
    </row>
    <row r="113" ht="15.75" customHeight="1">
      <c r="A113" s="183" t="s">
        <v>567</v>
      </c>
      <c r="B113" s="183" t="s">
        <v>568</v>
      </c>
      <c r="C113" s="183" t="s">
        <v>569</v>
      </c>
    </row>
    <row r="114" ht="15.75" customHeight="1">
      <c r="A114" s="183" t="s">
        <v>570</v>
      </c>
      <c r="B114" s="183" t="s">
        <v>571</v>
      </c>
      <c r="C114" s="183" t="s">
        <v>576</v>
      </c>
    </row>
    <row r="115" ht="15.75" customHeight="1">
      <c r="A115" s="183" t="s">
        <v>577</v>
      </c>
      <c r="B115" s="183" t="s">
        <v>578</v>
      </c>
      <c r="C115" s="183" t="s">
        <v>579</v>
      </c>
    </row>
    <row r="116" ht="15.75" customHeight="1">
      <c r="A116" s="183" t="s">
        <v>580</v>
      </c>
      <c r="B116" s="183" t="s">
        <v>581</v>
      </c>
      <c r="C116" s="183" t="s">
        <v>582</v>
      </c>
    </row>
    <row r="117" ht="15.75" customHeight="1">
      <c r="A117" s="183" t="s">
        <v>583</v>
      </c>
      <c r="B117" s="183" t="s">
        <v>584</v>
      </c>
      <c r="C117" s="183" t="s">
        <v>585</v>
      </c>
    </row>
    <row r="118" ht="15.75" customHeight="1">
      <c r="A118" s="183" t="s">
        <v>586</v>
      </c>
      <c r="B118" s="183" t="s">
        <v>587</v>
      </c>
      <c r="C118" s="183" t="s">
        <v>588</v>
      </c>
    </row>
    <row r="119" ht="15.75" customHeight="1">
      <c r="A119" s="183" t="s">
        <v>589</v>
      </c>
      <c r="B119" s="183" t="s">
        <v>590</v>
      </c>
      <c r="C119" s="183" t="s">
        <v>591</v>
      </c>
    </row>
    <row r="120" ht="15.75" customHeight="1">
      <c r="A120" s="183" t="s">
        <v>592</v>
      </c>
      <c r="B120" s="183" t="s">
        <v>593</v>
      </c>
      <c r="C120" s="183" t="s">
        <v>594</v>
      </c>
    </row>
    <row r="121" ht="15.75" customHeight="1">
      <c r="A121" s="183" t="s">
        <v>595</v>
      </c>
      <c r="B121" s="183" t="s">
        <v>596</v>
      </c>
      <c r="C121" s="183" t="s">
        <v>597</v>
      </c>
    </row>
    <row r="122" ht="15.75" customHeight="1">
      <c r="A122" s="183" t="s">
        <v>598</v>
      </c>
      <c r="B122" s="183" t="s">
        <v>599</v>
      </c>
      <c r="C122" s="183" t="s">
        <v>602</v>
      </c>
    </row>
    <row r="123" ht="15.75" customHeight="1">
      <c r="A123" s="183" t="s">
        <v>603</v>
      </c>
      <c r="B123" s="183" t="s">
        <v>604</v>
      </c>
      <c r="C123" s="183" t="s">
        <v>605</v>
      </c>
    </row>
    <row r="124" ht="15.75" customHeight="1">
      <c r="A124" s="183" t="s">
        <v>606</v>
      </c>
      <c r="B124" s="183" t="s">
        <v>607</v>
      </c>
      <c r="C124" s="183" t="s">
        <v>608</v>
      </c>
    </row>
    <row r="125" ht="15.75" customHeight="1">
      <c r="A125" s="183" t="s">
        <v>609</v>
      </c>
      <c r="B125" s="183" t="s">
        <v>610</v>
      </c>
      <c r="C125" s="183" t="s">
        <v>611</v>
      </c>
    </row>
    <row r="126" ht="15.75" customHeight="1">
      <c r="A126" s="183" t="s">
        <v>612</v>
      </c>
      <c r="B126" s="183" t="s">
        <v>613</v>
      </c>
      <c r="C126" s="183" t="s">
        <v>614</v>
      </c>
    </row>
    <row r="127" ht="15.75" customHeight="1">
      <c r="A127" s="183" t="s">
        <v>615</v>
      </c>
      <c r="B127" s="183" t="s">
        <v>616</v>
      </c>
      <c r="C127" s="183" t="s">
        <v>617</v>
      </c>
    </row>
    <row r="128" ht="15.75" customHeight="1">
      <c r="A128" s="183" t="s">
        <v>618</v>
      </c>
      <c r="B128" s="183" t="s">
        <v>619</v>
      </c>
      <c r="C128" s="183" t="s">
        <v>620</v>
      </c>
    </row>
    <row r="129" ht="15.75" customHeight="1">
      <c r="A129" s="183" t="s">
        <v>621</v>
      </c>
      <c r="B129" s="183" t="s">
        <v>622</v>
      </c>
      <c r="C129" s="183" t="s">
        <v>623</v>
      </c>
    </row>
    <row r="130" ht="15.75" customHeight="1">
      <c r="A130" s="183" t="s">
        <v>624</v>
      </c>
      <c r="B130" s="183" t="s">
        <v>625</v>
      </c>
      <c r="C130" s="183" t="s">
        <v>626</v>
      </c>
    </row>
    <row r="131" ht="15.75" customHeight="1">
      <c r="A131" s="183" t="s">
        <v>627</v>
      </c>
      <c r="B131" s="183" t="s">
        <v>628</v>
      </c>
      <c r="C131" s="183" t="s">
        <v>629</v>
      </c>
    </row>
    <row r="132" ht="15.75" customHeight="1">
      <c r="A132" s="183" t="s">
        <v>630</v>
      </c>
      <c r="B132" s="183" t="s">
        <v>631</v>
      </c>
      <c r="C132" s="183" t="s">
        <v>632</v>
      </c>
    </row>
    <row r="133" ht="15.75" customHeight="1">
      <c r="A133" s="183" t="s">
        <v>633</v>
      </c>
      <c r="B133" s="183" t="s">
        <v>634</v>
      </c>
      <c r="C133" s="183" t="s">
        <v>635</v>
      </c>
    </row>
    <row r="134" ht="15.75" customHeight="1">
      <c r="A134" s="183" t="s">
        <v>636</v>
      </c>
      <c r="B134" s="183" t="s">
        <v>637</v>
      </c>
      <c r="C134" s="183" t="s">
        <v>638</v>
      </c>
    </row>
    <row r="135" ht="15.75" customHeight="1">
      <c r="A135" s="183" t="s">
        <v>639</v>
      </c>
      <c r="B135" s="183" t="s">
        <v>640</v>
      </c>
      <c r="C135" s="183" t="s">
        <v>641</v>
      </c>
    </row>
    <row r="136" ht="15.75" customHeight="1">
      <c r="A136" s="183" t="s">
        <v>642</v>
      </c>
      <c r="B136" s="183" t="s">
        <v>643</v>
      </c>
      <c r="C136" s="183" t="s">
        <v>644</v>
      </c>
    </row>
    <row r="137" ht="15.75" customHeight="1">
      <c r="A137" s="183" t="s">
        <v>645</v>
      </c>
      <c r="B137" s="183" t="s">
        <v>646</v>
      </c>
      <c r="C137" s="183" t="s">
        <v>647</v>
      </c>
    </row>
    <row r="138" ht="15.75" customHeight="1">
      <c r="A138" s="183" t="s">
        <v>648</v>
      </c>
      <c r="B138" s="183" t="s">
        <v>649</v>
      </c>
      <c r="C138" s="183" t="s">
        <v>650</v>
      </c>
    </row>
    <row r="139" ht="15.75" customHeight="1">
      <c r="A139" s="183" t="s">
        <v>651</v>
      </c>
      <c r="B139" s="183" t="s">
        <v>652</v>
      </c>
      <c r="C139" s="183" t="s">
        <v>653</v>
      </c>
    </row>
    <row r="140" ht="15.75" customHeight="1">
      <c r="A140" s="183" t="s">
        <v>654</v>
      </c>
      <c r="B140" s="183" t="s">
        <v>655</v>
      </c>
      <c r="C140" s="183" t="s">
        <v>656</v>
      </c>
    </row>
    <row r="141" ht="15.75" customHeight="1">
      <c r="A141" s="183" t="s">
        <v>657</v>
      </c>
      <c r="B141" s="183" t="s">
        <v>658</v>
      </c>
      <c r="C141" s="183" t="s">
        <v>659</v>
      </c>
    </row>
    <row r="142" ht="15.75" customHeight="1">
      <c r="A142" s="183" t="s">
        <v>660</v>
      </c>
      <c r="B142" s="183" t="s">
        <v>661</v>
      </c>
      <c r="C142" s="183" t="s">
        <v>662</v>
      </c>
    </row>
    <row r="143" ht="15.75" customHeight="1">
      <c r="A143" s="183" t="s">
        <v>663</v>
      </c>
      <c r="B143" s="183" t="s">
        <v>664</v>
      </c>
      <c r="C143" s="183" t="s">
        <v>665</v>
      </c>
    </row>
    <row r="144" ht="15.75" customHeight="1">
      <c r="A144" s="183" t="s">
        <v>666</v>
      </c>
      <c r="B144" s="183" t="s">
        <v>667</v>
      </c>
      <c r="C144" s="183" t="s">
        <v>669</v>
      </c>
    </row>
    <row r="145" ht="15.75" customHeight="1">
      <c r="A145" s="183" t="s">
        <v>670</v>
      </c>
      <c r="B145" s="183" t="s">
        <v>671</v>
      </c>
      <c r="C145" s="183" t="s">
        <v>672</v>
      </c>
    </row>
    <row r="146" ht="15.75" customHeight="1">
      <c r="A146" s="183" t="s">
        <v>673</v>
      </c>
      <c r="B146" s="183" t="s">
        <v>674</v>
      </c>
      <c r="C146" s="183" t="s">
        <v>675</v>
      </c>
    </row>
    <row r="147" ht="15.75" customHeight="1">
      <c r="A147" s="183" t="s">
        <v>676</v>
      </c>
      <c r="B147" s="183" t="s">
        <v>677</v>
      </c>
      <c r="C147" s="183" t="s">
        <v>678</v>
      </c>
    </row>
    <row r="148" ht="15.75" customHeight="1">
      <c r="A148" s="183" t="s">
        <v>679</v>
      </c>
      <c r="B148" s="183" t="s">
        <v>680</v>
      </c>
      <c r="C148" s="183" t="s">
        <v>681</v>
      </c>
    </row>
    <row r="149" ht="15.75" customHeight="1">
      <c r="A149" s="183" t="s">
        <v>682</v>
      </c>
      <c r="B149" s="183" t="s">
        <v>683</v>
      </c>
      <c r="C149" s="183" t="s">
        <v>684</v>
      </c>
    </row>
    <row r="150" ht="15.75" customHeight="1">
      <c r="A150" s="183" t="s">
        <v>685</v>
      </c>
      <c r="B150" s="183" t="s">
        <v>686</v>
      </c>
      <c r="C150" s="183" t="s">
        <v>687</v>
      </c>
    </row>
    <row r="151" ht="15.75" customHeight="1">
      <c r="A151" s="183" t="s">
        <v>688</v>
      </c>
      <c r="B151" s="183" t="s">
        <v>689</v>
      </c>
      <c r="C151" s="183" t="s">
        <v>690</v>
      </c>
    </row>
    <row r="152" ht="15.75" customHeight="1">
      <c r="A152" s="183" t="s">
        <v>691</v>
      </c>
      <c r="B152" s="183" t="s">
        <v>692</v>
      </c>
      <c r="C152" s="183" t="s">
        <v>693</v>
      </c>
    </row>
    <row r="153" ht="15.75" customHeight="1">
      <c r="A153" s="183" t="s">
        <v>694</v>
      </c>
      <c r="B153" s="183" t="s">
        <v>695</v>
      </c>
      <c r="C153" s="183" t="s">
        <v>696</v>
      </c>
    </row>
    <row r="154" ht="15.75" customHeight="1">
      <c r="A154" s="183" t="s">
        <v>697</v>
      </c>
      <c r="B154" s="183" t="s">
        <v>698</v>
      </c>
      <c r="C154" s="183" t="s">
        <v>699</v>
      </c>
    </row>
    <row r="155" ht="15.75" customHeight="1">
      <c r="A155" s="183" t="s">
        <v>700</v>
      </c>
      <c r="B155" s="183" t="s">
        <v>701</v>
      </c>
      <c r="C155" s="183" t="s">
        <v>702</v>
      </c>
    </row>
    <row r="156" ht="15.75" customHeight="1">
      <c r="A156" s="183" t="s">
        <v>703</v>
      </c>
      <c r="B156" s="183" t="s">
        <v>704</v>
      </c>
      <c r="C156" s="183" t="s">
        <v>705</v>
      </c>
    </row>
    <row r="157" ht="15.75" customHeight="1">
      <c r="A157" s="183" t="s">
        <v>706</v>
      </c>
      <c r="B157" s="183" t="s">
        <v>707</v>
      </c>
      <c r="C157" s="183" t="s">
        <v>708</v>
      </c>
    </row>
    <row r="158" ht="15.75" customHeight="1">
      <c r="A158" s="183" t="s">
        <v>709</v>
      </c>
      <c r="B158" s="183" t="s">
        <v>710</v>
      </c>
      <c r="C158" s="183" t="s">
        <v>711</v>
      </c>
    </row>
    <row r="159" ht="15.75" customHeight="1">
      <c r="A159" s="183" t="s">
        <v>712</v>
      </c>
      <c r="B159" s="183" t="s">
        <v>713</v>
      </c>
      <c r="C159" s="183" t="s">
        <v>714</v>
      </c>
    </row>
    <row r="160" ht="15.75" customHeight="1">
      <c r="A160" s="183" t="s">
        <v>715</v>
      </c>
      <c r="B160" s="183" t="s">
        <v>716</v>
      </c>
      <c r="C160" s="183" t="s">
        <v>717</v>
      </c>
    </row>
    <row r="161" ht="15.75" customHeight="1">
      <c r="A161" s="183" t="s">
        <v>718</v>
      </c>
      <c r="B161" s="183" t="s">
        <v>719</v>
      </c>
      <c r="C161" s="183" t="s">
        <v>720</v>
      </c>
    </row>
    <row r="162" ht="15.75" customHeight="1">
      <c r="A162" s="183" t="s">
        <v>721</v>
      </c>
      <c r="B162" s="183" t="s">
        <v>722</v>
      </c>
      <c r="C162" s="183" t="s">
        <v>723</v>
      </c>
    </row>
    <row r="163" ht="15.75" customHeight="1">
      <c r="A163" s="183" t="s">
        <v>724</v>
      </c>
      <c r="B163" s="183" t="s">
        <v>725</v>
      </c>
      <c r="C163" s="183" t="s">
        <v>726</v>
      </c>
    </row>
    <row r="164" ht="15.75" customHeight="1">
      <c r="A164" s="183" t="s">
        <v>727</v>
      </c>
      <c r="B164" s="183" t="s">
        <v>728</v>
      </c>
      <c r="C164" s="183" t="s">
        <v>729</v>
      </c>
    </row>
    <row r="165" ht="15.75" customHeight="1">
      <c r="A165" s="183" t="s">
        <v>730</v>
      </c>
      <c r="B165" s="183" t="s">
        <v>731</v>
      </c>
      <c r="C165" s="183" t="s">
        <v>732</v>
      </c>
    </row>
    <row r="166" ht="15.75" customHeight="1">
      <c r="A166" s="183" t="s">
        <v>733</v>
      </c>
      <c r="B166" s="183" t="s">
        <v>734</v>
      </c>
      <c r="C166" s="183" t="s">
        <v>735</v>
      </c>
    </row>
    <row r="167" ht="15.75" customHeight="1">
      <c r="A167" s="183" t="s">
        <v>736</v>
      </c>
      <c r="B167" s="183" t="s">
        <v>737</v>
      </c>
      <c r="C167" s="183" t="s">
        <v>738</v>
      </c>
    </row>
    <row r="168" ht="15.75" customHeight="1">
      <c r="A168" s="183" t="s">
        <v>739</v>
      </c>
      <c r="B168" s="183" t="s">
        <v>740</v>
      </c>
      <c r="C168" s="183" t="s">
        <v>741</v>
      </c>
    </row>
    <row r="169" ht="15.75" customHeight="1">
      <c r="A169" s="183" t="s">
        <v>742</v>
      </c>
      <c r="B169" s="183" t="s">
        <v>743</v>
      </c>
      <c r="C169" s="183" t="s">
        <v>744</v>
      </c>
    </row>
    <row r="170" ht="15.75" customHeight="1">
      <c r="A170" s="183" t="s">
        <v>745</v>
      </c>
      <c r="B170" s="183" t="s">
        <v>746</v>
      </c>
      <c r="C170" s="183" t="s">
        <v>747</v>
      </c>
    </row>
    <row r="171" ht="15.75" customHeight="1">
      <c r="A171" s="183" t="s">
        <v>748</v>
      </c>
      <c r="B171" s="183" t="s">
        <v>749</v>
      </c>
      <c r="C171" s="183" t="s">
        <v>750</v>
      </c>
    </row>
    <row r="172" ht="15.75" customHeight="1">
      <c r="A172" s="183" t="s">
        <v>751</v>
      </c>
      <c r="B172" s="183" t="s">
        <v>752</v>
      </c>
      <c r="C172" s="183" t="s">
        <v>753</v>
      </c>
    </row>
    <row r="173" ht="15.75" customHeight="1">
      <c r="A173" s="183" t="s">
        <v>754</v>
      </c>
      <c r="B173" s="183" t="s">
        <v>755</v>
      </c>
      <c r="C173" s="183" t="s">
        <v>756</v>
      </c>
    </row>
    <row r="174" ht="15.75" customHeight="1">
      <c r="A174" s="183" t="s">
        <v>757</v>
      </c>
      <c r="B174" s="183" t="s">
        <v>776</v>
      </c>
      <c r="C174" s="183" t="s">
        <v>777</v>
      </c>
    </row>
    <row r="175" ht="15.75" customHeight="1">
      <c r="A175" s="183" t="s">
        <v>779</v>
      </c>
      <c r="B175" s="183" t="s">
        <v>780</v>
      </c>
      <c r="C175" s="183" t="s">
        <v>781</v>
      </c>
    </row>
    <row r="176" ht="15.75" customHeight="1">
      <c r="A176" s="183" t="s">
        <v>782</v>
      </c>
      <c r="B176" s="183" t="s">
        <v>783</v>
      </c>
      <c r="C176" s="183" t="s">
        <v>784</v>
      </c>
    </row>
    <row r="177" ht="15.75" customHeight="1">
      <c r="A177" s="183" t="s">
        <v>785</v>
      </c>
      <c r="B177" s="183" t="s">
        <v>786</v>
      </c>
      <c r="C177" s="183" t="s">
        <v>787</v>
      </c>
    </row>
    <row r="178" ht="15.75" customHeight="1">
      <c r="A178" s="183" t="s">
        <v>788</v>
      </c>
      <c r="B178" s="183" t="s">
        <v>789</v>
      </c>
      <c r="C178" s="183" t="s">
        <v>790</v>
      </c>
    </row>
    <row r="179" ht="15.75" customHeight="1">
      <c r="A179" s="183" t="s">
        <v>791</v>
      </c>
      <c r="B179" s="183" t="s">
        <v>792</v>
      </c>
      <c r="C179" s="183" t="s">
        <v>793</v>
      </c>
    </row>
    <row r="180" ht="15.75" customHeight="1">
      <c r="A180" s="183" t="s">
        <v>794</v>
      </c>
      <c r="B180" s="183" t="s">
        <v>795</v>
      </c>
      <c r="C180" s="183" t="s">
        <v>796</v>
      </c>
    </row>
    <row r="181" ht="15.75" customHeight="1">
      <c r="A181" s="183" t="s">
        <v>797</v>
      </c>
      <c r="B181" s="183" t="s">
        <v>798</v>
      </c>
      <c r="C181" s="183" t="s">
        <v>799</v>
      </c>
    </row>
    <row r="182" ht="15.75" customHeight="1">
      <c r="A182" s="183" t="s">
        <v>800</v>
      </c>
      <c r="B182" s="183" t="s">
        <v>801</v>
      </c>
      <c r="C182" s="183" t="s">
        <v>802</v>
      </c>
    </row>
    <row r="183" ht="15.75" customHeight="1">
      <c r="A183" s="183" t="s">
        <v>803</v>
      </c>
      <c r="B183" s="183" t="s">
        <v>804</v>
      </c>
      <c r="C183" s="183" t="s">
        <v>805</v>
      </c>
    </row>
    <row r="184" ht="15.75" customHeight="1">
      <c r="A184" s="183" t="s">
        <v>806</v>
      </c>
      <c r="B184" s="183" t="s">
        <v>807</v>
      </c>
      <c r="C184" s="183" t="s">
        <v>808</v>
      </c>
    </row>
    <row r="185" ht="15.75" customHeight="1">
      <c r="A185" s="183" t="s">
        <v>810</v>
      </c>
      <c r="B185" s="183" t="s">
        <v>811</v>
      </c>
      <c r="C185" s="183" t="s">
        <v>812</v>
      </c>
    </row>
    <row r="186" ht="15.75" customHeight="1">
      <c r="A186" s="183" t="s">
        <v>813</v>
      </c>
      <c r="B186" s="183" t="s">
        <v>814</v>
      </c>
      <c r="C186" s="183" t="s">
        <v>815</v>
      </c>
    </row>
    <row r="187" ht="15.75" customHeight="1">
      <c r="A187" s="183" t="s">
        <v>816</v>
      </c>
      <c r="B187" s="183" t="s">
        <v>817</v>
      </c>
      <c r="C187" s="183" t="s">
        <v>818</v>
      </c>
    </row>
    <row r="188" ht="15.75" customHeight="1">
      <c r="A188" s="183" t="s">
        <v>819</v>
      </c>
      <c r="B188" s="183" t="s">
        <v>820</v>
      </c>
      <c r="C188" s="183" t="s">
        <v>821</v>
      </c>
    </row>
    <row r="189" ht="15.75" customHeight="1">
      <c r="A189" s="183" t="s">
        <v>822</v>
      </c>
      <c r="B189" s="183" t="s">
        <v>823</v>
      </c>
      <c r="C189" s="183" t="s">
        <v>824</v>
      </c>
    </row>
    <row r="190" ht="15.75" customHeight="1">
      <c r="A190" s="183" t="s">
        <v>825</v>
      </c>
      <c r="B190" s="183" t="s">
        <v>826</v>
      </c>
      <c r="C190" s="183" t="s">
        <v>827</v>
      </c>
    </row>
    <row r="191" ht="15.75" customHeight="1">
      <c r="A191" s="183" t="s">
        <v>828</v>
      </c>
      <c r="B191" s="183" t="s">
        <v>829</v>
      </c>
      <c r="C191" s="183" t="s">
        <v>830</v>
      </c>
    </row>
    <row r="192" ht="15.75" customHeight="1">
      <c r="A192" s="183" t="s">
        <v>831</v>
      </c>
      <c r="B192" s="183" t="s">
        <v>832</v>
      </c>
      <c r="C192" s="183" t="s">
        <v>833</v>
      </c>
    </row>
    <row r="193" ht="15.75" customHeight="1">
      <c r="A193" s="183" t="s">
        <v>834</v>
      </c>
      <c r="B193" s="183" t="s">
        <v>835</v>
      </c>
      <c r="C193" s="183" t="s">
        <v>836</v>
      </c>
    </row>
    <row r="194" ht="15.75" customHeight="1">
      <c r="A194" s="183" t="s">
        <v>837</v>
      </c>
      <c r="B194" s="183" t="s">
        <v>838</v>
      </c>
      <c r="C194" s="183" t="s">
        <v>839</v>
      </c>
    </row>
    <row r="195" ht="15.75" customHeight="1">
      <c r="A195" s="183" t="s">
        <v>840</v>
      </c>
      <c r="B195" s="183" t="s">
        <v>841</v>
      </c>
      <c r="C195" s="183" t="s">
        <v>842</v>
      </c>
    </row>
    <row r="196" ht="15.75" customHeight="1">
      <c r="A196" s="183" t="s">
        <v>843</v>
      </c>
      <c r="B196" s="183" t="s">
        <v>844</v>
      </c>
      <c r="C196" s="183" t="s">
        <v>845</v>
      </c>
    </row>
    <row r="197" ht="15.75" customHeight="1">
      <c r="A197" s="183" t="s">
        <v>846</v>
      </c>
      <c r="B197" s="183" t="s">
        <v>847</v>
      </c>
      <c r="C197" s="183" t="s">
        <v>848</v>
      </c>
    </row>
    <row r="198" ht="15.75" customHeight="1">
      <c r="A198" s="183" t="s">
        <v>849</v>
      </c>
      <c r="B198" s="183" t="s">
        <v>850</v>
      </c>
      <c r="C198" s="183" t="s">
        <v>851</v>
      </c>
    </row>
    <row r="199" ht="15.75" customHeight="1">
      <c r="A199" s="183" t="s">
        <v>852</v>
      </c>
      <c r="B199" s="183" t="s">
        <v>853</v>
      </c>
      <c r="C199" s="183" t="s">
        <v>854</v>
      </c>
    </row>
    <row r="200" ht="15.75" customHeight="1">
      <c r="A200" s="183" t="s">
        <v>855</v>
      </c>
      <c r="B200" s="183" t="s">
        <v>856</v>
      </c>
      <c r="C200" s="183" t="s">
        <v>857</v>
      </c>
    </row>
    <row r="201" ht="15.75" customHeight="1">
      <c r="A201" s="183" t="s">
        <v>858</v>
      </c>
      <c r="B201" s="183" t="s">
        <v>859</v>
      </c>
      <c r="C201" s="183" t="s">
        <v>860</v>
      </c>
    </row>
    <row r="202" ht="15.75" customHeight="1">
      <c r="A202" s="183" t="s">
        <v>861</v>
      </c>
      <c r="B202" s="183" t="s">
        <v>862</v>
      </c>
      <c r="C202" s="183" t="s">
        <v>863</v>
      </c>
    </row>
    <row r="203" ht="15.75" customHeight="1">
      <c r="A203" s="183" t="s">
        <v>864</v>
      </c>
      <c r="B203" s="183" t="s">
        <v>865</v>
      </c>
      <c r="C203" s="183" t="s">
        <v>866</v>
      </c>
    </row>
    <row r="204" ht="15.75" customHeight="1">
      <c r="A204" s="183" t="s">
        <v>867</v>
      </c>
      <c r="B204" s="183" t="s">
        <v>868</v>
      </c>
      <c r="C204" s="183" t="s">
        <v>869</v>
      </c>
    </row>
    <row r="205" ht="15.75" customHeight="1">
      <c r="A205" s="183" t="s">
        <v>870</v>
      </c>
      <c r="B205" s="183" t="s">
        <v>871</v>
      </c>
      <c r="C205" s="183" t="s">
        <v>872</v>
      </c>
    </row>
    <row r="206" ht="15.75" customHeight="1">
      <c r="A206" s="183" t="s">
        <v>873</v>
      </c>
      <c r="B206" s="183" t="s">
        <v>874</v>
      </c>
      <c r="C206" s="183" t="s">
        <v>875</v>
      </c>
    </row>
    <row r="207" ht="15.75" customHeight="1">
      <c r="A207" s="183" t="s">
        <v>876</v>
      </c>
      <c r="B207" s="183" t="s">
        <v>878</v>
      </c>
      <c r="C207" s="183" t="s">
        <v>879</v>
      </c>
    </row>
    <row r="208" ht="15.75" customHeight="1">
      <c r="A208" s="183" t="s">
        <v>880</v>
      </c>
      <c r="B208" s="183" t="s">
        <v>881</v>
      </c>
      <c r="C208" s="183" t="s">
        <v>882</v>
      </c>
    </row>
    <row r="209" ht="15.75" customHeight="1">
      <c r="A209" s="183" t="s">
        <v>883</v>
      </c>
      <c r="B209" s="183" t="s">
        <v>884</v>
      </c>
      <c r="C209" s="183" t="s">
        <v>885</v>
      </c>
    </row>
    <row r="210" ht="15.75" customHeight="1">
      <c r="A210" s="183" t="s">
        <v>886</v>
      </c>
      <c r="B210" s="183" t="s">
        <v>887</v>
      </c>
      <c r="C210" s="183" t="s">
        <v>888</v>
      </c>
    </row>
    <row r="211" ht="15.75" customHeight="1">
      <c r="A211" s="183" t="s">
        <v>889</v>
      </c>
      <c r="B211" s="183" t="s">
        <v>890</v>
      </c>
      <c r="C211" s="183" t="s">
        <v>891</v>
      </c>
    </row>
    <row r="212" ht="15.75" customHeight="1">
      <c r="A212" s="183" t="s">
        <v>892</v>
      </c>
      <c r="B212" s="183" t="s">
        <v>893</v>
      </c>
      <c r="C212" s="183" t="s">
        <v>894</v>
      </c>
    </row>
    <row r="213" ht="15.75" customHeight="1">
      <c r="A213" s="183" t="s">
        <v>895</v>
      </c>
      <c r="B213" s="183" t="s">
        <v>896</v>
      </c>
      <c r="C213" s="183" t="s">
        <v>897</v>
      </c>
    </row>
    <row r="214" ht="15.75" customHeight="1">
      <c r="A214" s="183" t="s">
        <v>898</v>
      </c>
      <c r="B214" s="183" t="s">
        <v>899</v>
      </c>
      <c r="C214" s="183" t="s">
        <v>900</v>
      </c>
    </row>
    <row r="215" ht="15.75" customHeight="1">
      <c r="A215" s="183" t="s">
        <v>901</v>
      </c>
      <c r="B215" s="183" t="s">
        <v>902</v>
      </c>
      <c r="C215" s="183" t="s">
        <v>903</v>
      </c>
    </row>
    <row r="216" ht="15.75" customHeight="1">
      <c r="A216" s="183" t="s">
        <v>904</v>
      </c>
      <c r="B216" s="183" t="s">
        <v>905</v>
      </c>
      <c r="C216" s="183" t="s">
        <v>906</v>
      </c>
    </row>
    <row r="217" ht="15.75" customHeight="1">
      <c r="A217" s="183" t="s">
        <v>907</v>
      </c>
      <c r="B217" s="183" t="s">
        <v>908</v>
      </c>
      <c r="C217" s="183" t="s">
        <v>909</v>
      </c>
    </row>
    <row r="218" ht="15.75" customHeight="1">
      <c r="A218" s="183" t="s">
        <v>910</v>
      </c>
      <c r="B218" s="183" t="s">
        <v>911</v>
      </c>
      <c r="C218" s="183" t="s">
        <v>912</v>
      </c>
    </row>
    <row r="219" ht="15.75" customHeight="1">
      <c r="A219" s="183" t="s">
        <v>913</v>
      </c>
      <c r="B219" s="183" t="s">
        <v>914</v>
      </c>
      <c r="C219" s="183" t="s">
        <v>915</v>
      </c>
    </row>
    <row r="220" ht="15.75" customHeight="1">
      <c r="A220" s="183" t="s">
        <v>916</v>
      </c>
      <c r="B220" s="183" t="s">
        <v>917</v>
      </c>
      <c r="C220" s="183" t="s">
        <v>918</v>
      </c>
    </row>
    <row r="221" ht="15.75" customHeight="1">
      <c r="A221" s="183" t="s">
        <v>919</v>
      </c>
      <c r="B221" s="183" t="s">
        <v>920</v>
      </c>
      <c r="C221" s="183" t="s">
        <v>921</v>
      </c>
    </row>
    <row r="222" ht="15.75" customHeight="1">
      <c r="A222" s="183" t="s">
        <v>922</v>
      </c>
      <c r="B222" s="183" t="s">
        <v>923</v>
      </c>
      <c r="C222" s="183" t="s">
        <v>924</v>
      </c>
    </row>
    <row r="223" ht="15.75" customHeight="1">
      <c r="A223" s="183" t="s">
        <v>925</v>
      </c>
      <c r="B223" s="183" t="s">
        <v>926</v>
      </c>
      <c r="C223" s="183" t="s">
        <v>927</v>
      </c>
    </row>
    <row r="224" ht="15.75" customHeight="1">
      <c r="A224" s="183" t="s">
        <v>928</v>
      </c>
      <c r="B224" s="183" t="s">
        <v>929</v>
      </c>
      <c r="C224" s="183" t="s">
        <v>930</v>
      </c>
    </row>
    <row r="225" ht="15.75" customHeight="1">
      <c r="A225" s="183" t="s">
        <v>931</v>
      </c>
      <c r="B225" s="183" t="s">
        <v>932</v>
      </c>
      <c r="C225" s="183" t="s">
        <v>933</v>
      </c>
    </row>
    <row r="226" ht="15.75" customHeight="1">
      <c r="A226" s="183" t="s">
        <v>934</v>
      </c>
      <c r="B226" s="183" t="s">
        <v>935</v>
      </c>
      <c r="C226" s="183" t="s">
        <v>936</v>
      </c>
    </row>
    <row r="227" ht="15.75" customHeight="1">
      <c r="A227" s="183" t="s">
        <v>937</v>
      </c>
      <c r="B227" s="183" t="s">
        <v>938</v>
      </c>
      <c r="C227" s="183" t="s">
        <v>939</v>
      </c>
    </row>
    <row r="228" ht="15.75" customHeight="1">
      <c r="A228" s="183" t="s">
        <v>940</v>
      </c>
      <c r="B228" s="183" t="s">
        <v>941</v>
      </c>
      <c r="C228" s="183" t="s">
        <v>942</v>
      </c>
    </row>
    <row r="229" ht="15.75" customHeight="1">
      <c r="A229" s="183" t="s">
        <v>943</v>
      </c>
      <c r="B229" s="183" t="s">
        <v>944</v>
      </c>
      <c r="C229" s="183" t="s">
        <v>945</v>
      </c>
    </row>
    <row r="230" ht="15.75" customHeight="1">
      <c r="A230" s="183" t="s">
        <v>946</v>
      </c>
      <c r="B230" s="183" t="s">
        <v>947</v>
      </c>
      <c r="C230" s="183" t="s">
        <v>948</v>
      </c>
    </row>
    <row r="231" ht="15.75" customHeight="1">
      <c r="A231" s="183" t="s">
        <v>949</v>
      </c>
      <c r="B231" s="183" t="s">
        <v>950</v>
      </c>
      <c r="C231" s="183" t="s">
        <v>952</v>
      </c>
    </row>
    <row r="232" ht="15.75" customHeight="1">
      <c r="A232" s="183" t="s">
        <v>953</v>
      </c>
      <c r="B232" s="183" t="s">
        <v>954</v>
      </c>
      <c r="C232" s="183" t="s">
        <v>955</v>
      </c>
    </row>
    <row r="233" ht="15.75" customHeight="1">
      <c r="A233" s="183" t="s">
        <v>956</v>
      </c>
      <c r="B233" s="183" t="s">
        <v>957</v>
      </c>
      <c r="C233" s="183" t="s">
        <v>958</v>
      </c>
    </row>
    <row r="234" ht="15.75" customHeight="1">
      <c r="A234" s="183" t="s">
        <v>959</v>
      </c>
      <c r="B234" s="183" t="s">
        <v>961</v>
      </c>
      <c r="C234" s="183" t="s">
        <v>962</v>
      </c>
    </row>
    <row r="235" ht="15.75" customHeight="1">
      <c r="A235" s="183" t="s">
        <v>963</v>
      </c>
      <c r="B235" s="183" t="s">
        <v>964</v>
      </c>
      <c r="C235" s="183" t="s">
        <v>965</v>
      </c>
    </row>
    <row r="236" ht="15.75" customHeight="1">
      <c r="A236" s="183" t="s">
        <v>966</v>
      </c>
      <c r="B236" s="183" t="s">
        <v>972</v>
      </c>
      <c r="C236" s="183" t="s">
        <v>973</v>
      </c>
    </row>
    <row r="237" ht="15.75" customHeight="1">
      <c r="A237" s="183" t="s">
        <v>975</v>
      </c>
      <c r="B237" s="183" t="s">
        <v>976</v>
      </c>
      <c r="C237" s="183" t="s">
        <v>977</v>
      </c>
    </row>
    <row r="238" ht="15.75" customHeight="1">
      <c r="A238" s="183" t="s">
        <v>978</v>
      </c>
      <c r="B238" s="183" t="s">
        <v>980</v>
      </c>
      <c r="C238" s="183" t="s">
        <v>981</v>
      </c>
    </row>
    <row r="239" ht="15.75" customHeight="1">
      <c r="A239" s="183" t="s">
        <v>982</v>
      </c>
      <c r="B239" s="183" t="s">
        <v>983</v>
      </c>
      <c r="C239" s="183" t="s">
        <v>984</v>
      </c>
    </row>
    <row r="240" ht="15.75" customHeight="1">
      <c r="A240" s="183" t="s">
        <v>985</v>
      </c>
      <c r="B240" s="183" t="s">
        <v>986</v>
      </c>
      <c r="C240" s="183" t="s">
        <v>987</v>
      </c>
    </row>
    <row r="241" ht="15.75" customHeight="1">
      <c r="A241" s="183" t="s">
        <v>989</v>
      </c>
      <c r="B241" s="183" t="s">
        <v>990</v>
      </c>
      <c r="C241" s="183" t="s">
        <v>991</v>
      </c>
    </row>
    <row r="242" ht="15.75" customHeight="1">
      <c r="A242" s="183" t="s">
        <v>992</v>
      </c>
      <c r="B242" s="183" t="s">
        <v>993</v>
      </c>
      <c r="C242" s="183" t="s">
        <v>994</v>
      </c>
    </row>
    <row r="243" ht="15.75" customHeight="1">
      <c r="A243" s="183" t="s">
        <v>995</v>
      </c>
      <c r="B243" s="183" t="s">
        <v>996</v>
      </c>
      <c r="C243" s="183" t="s">
        <v>997</v>
      </c>
    </row>
    <row r="244" ht="15.75" customHeight="1">
      <c r="A244" s="183" t="s">
        <v>998</v>
      </c>
      <c r="B244" s="183" t="s">
        <v>999</v>
      </c>
      <c r="C244" s="183" t="s">
        <v>1000</v>
      </c>
    </row>
    <row r="245" ht="15.75" customHeight="1">
      <c r="A245" s="183" t="s">
        <v>1001</v>
      </c>
      <c r="B245" s="183" t="s">
        <v>1002</v>
      </c>
      <c r="C245" s="183" t="s">
        <v>1003</v>
      </c>
    </row>
    <row r="246" ht="15.75" customHeight="1">
      <c r="A246" s="183" t="s">
        <v>1005</v>
      </c>
      <c r="B246" s="183" t="s">
        <v>1006</v>
      </c>
      <c r="C246" s="183" t="s">
        <v>1007</v>
      </c>
    </row>
    <row r="247" ht="15.75" customHeight="1">
      <c r="A247" s="183" t="s">
        <v>1009</v>
      </c>
      <c r="B247" s="183" t="s">
        <v>1010</v>
      </c>
      <c r="C247" s="183" t="s">
        <v>1011</v>
      </c>
    </row>
    <row r="248" ht="15.75" customHeight="1">
      <c r="A248" s="183" t="s">
        <v>1012</v>
      </c>
      <c r="B248" s="183" t="s">
        <v>1014</v>
      </c>
      <c r="C248" s="183" t="s">
        <v>1015</v>
      </c>
    </row>
    <row r="249" ht="15.75" customHeight="1">
      <c r="A249" s="183" t="s">
        <v>1016</v>
      </c>
      <c r="B249" s="183" t="s">
        <v>1017</v>
      </c>
      <c r="C249" s="183" t="s">
        <v>1018</v>
      </c>
    </row>
    <row r="250" ht="15.75" customHeight="1">
      <c r="A250" s="183" t="s">
        <v>1020</v>
      </c>
      <c r="B250" s="183" t="s">
        <v>1021</v>
      </c>
      <c r="C250" s="183" t="s">
        <v>1022</v>
      </c>
    </row>
    <row r="251" ht="15.75" customHeight="1">
      <c r="A251" s="183" t="s">
        <v>1023</v>
      </c>
      <c r="B251" s="183" t="s">
        <v>1024</v>
      </c>
      <c r="C251" s="183" t="s">
        <v>1025</v>
      </c>
    </row>
    <row r="252" ht="15.75" customHeight="1">
      <c r="A252" s="183" t="s">
        <v>1026</v>
      </c>
      <c r="B252" s="183" t="s">
        <v>1027</v>
      </c>
      <c r="C252" s="183" t="s">
        <v>1029</v>
      </c>
    </row>
    <row r="253" ht="15.75" customHeight="1">
      <c r="A253" s="183" t="s">
        <v>1031</v>
      </c>
      <c r="B253" s="183" t="s">
        <v>1032</v>
      </c>
      <c r="C253" s="183" t="s">
        <v>1033</v>
      </c>
    </row>
    <row r="254" ht="15.75" customHeight="1">
      <c r="A254" s="183" t="s">
        <v>1034</v>
      </c>
      <c r="B254" s="183" t="s">
        <v>1036</v>
      </c>
      <c r="C254" s="183" t="s">
        <v>1037</v>
      </c>
    </row>
    <row r="255" ht="15.75" customHeight="1">
      <c r="A255" s="183" t="s">
        <v>1038</v>
      </c>
      <c r="B255" s="183" t="s">
        <v>1040</v>
      </c>
      <c r="C255" s="183" t="s">
        <v>1041</v>
      </c>
    </row>
    <row r="256" ht="15.75" customHeight="1">
      <c r="A256" s="183" t="s">
        <v>1042</v>
      </c>
      <c r="B256" s="183" t="s">
        <v>1043</v>
      </c>
      <c r="C256" s="183" t="s">
        <v>1045</v>
      </c>
    </row>
    <row r="257" ht="15.75" customHeight="1">
      <c r="A257" s="183" t="s">
        <v>1047</v>
      </c>
      <c r="B257" s="183" t="s">
        <v>1049</v>
      </c>
      <c r="C257" s="183" t="s">
        <v>1051</v>
      </c>
    </row>
    <row r="258" ht="15.75" customHeight="1">
      <c r="A258" s="183" t="s">
        <v>1052</v>
      </c>
      <c r="B258" s="183" t="s">
        <v>1053</v>
      </c>
      <c r="C258" s="183" t="s">
        <v>1054</v>
      </c>
    </row>
    <row r="259" ht="15.75" customHeight="1">
      <c r="A259" s="183" t="s">
        <v>1055</v>
      </c>
      <c r="B259" s="183" t="s">
        <v>1056</v>
      </c>
      <c r="C259" s="183" t="s">
        <v>1057</v>
      </c>
    </row>
    <row r="260" ht="15.75" customHeight="1">
      <c r="A260" s="183" t="s">
        <v>1058</v>
      </c>
      <c r="B260" s="183" t="s">
        <v>1060</v>
      </c>
      <c r="C260" s="183" t="s">
        <v>1061</v>
      </c>
    </row>
    <row r="261" ht="15.75" customHeight="1">
      <c r="A261" s="183" t="s">
        <v>1062</v>
      </c>
      <c r="B261" s="183" t="s">
        <v>1063</v>
      </c>
      <c r="C261" s="183" t="s">
        <v>1064</v>
      </c>
    </row>
    <row r="262" ht="15.75" customHeight="1">
      <c r="A262" s="183" t="s">
        <v>1065</v>
      </c>
      <c r="B262" s="183" t="s">
        <v>1066</v>
      </c>
      <c r="C262" s="183" t="s">
        <v>1068</v>
      </c>
    </row>
    <row r="263" ht="15.75" customHeight="1">
      <c r="A263" s="183" t="s">
        <v>1069</v>
      </c>
      <c r="B263" s="183" t="s">
        <v>1071</v>
      </c>
      <c r="C263" s="183" t="s">
        <v>1072</v>
      </c>
    </row>
    <row r="264" ht="15.75" customHeight="1">
      <c r="A264" s="183" t="s">
        <v>1073</v>
      </c>
      <c r="B264" s="183" t="s">
        <v>1075</v>
      </c>
      <c r="C264" s="183" t="s">
        <v>981</v>
      </c>
    </row>
    <row r="265" ht="15.75" customHeight="1">
      <c r="A265" s="183" t="s">
        <v>1076</v>
      </c>
      <c r="B265" s="183" t="s">
        <v>1078</v>
      </c>
      <c r="C265" s="183" t="s">
        <v>1079</v>
      </c>
    </row>
    <row r="266" ht="15.75" customHeight="1">
      <c r="A266" s="183" t="s">
        <v>1080</v>
      </c>
      <c r="B266" s="183" t="s">
        <v>1081</v>
      </c>
      <c r="C266" s="183" t="s">
        <v>1082</v>
      </c>
    </row>
    <row r="267" ht="15.75" customHeight="1">
      <c r="A267" s="183" t="s">
        <v>1083</v>
      </c>
      <c r="B267" s="183" t="s">
        <v>1084</v>
      </c>
      <c r="C267" s="183" t="s">
        <v>1085</v>
      </c>
    </row>
    <row r="268" ht="15.75" customHeight="1">
      <c r="A268" s="183" t="s">
        <v>1087</v>
      </c>
      <c r="B268" s="183" t="s">
        <v>1088</v>
      </c>
      <c r="C268" s="183" t="s">
        <v>1089</v>
      </c>
    </row>
    <row r="269" ht="15.75" customHeight="1">
      <c r="A269" s="183" t="s">
        <v>1090</v>
      </c>
      <c r="B269" s="183" t="s">
        <v>1092</v>
      </c>
      <c r="C269" s="183" t="s">
        <v>1093</v>
      </c>
    </row>
    <row r="270" ht="15.75" customHeight="1">
      <c r="A270" s="183" t="s">
        <v>1094</v>
      </c>
      <c r="B270" s="183" t="s">
        <v>1095</v>
      </c>
      <c r="C270" s="183" t="s">
        <v>1096</v>
      </c>
    </row>
    <row r="271" ht="15.75" customHeight="1">
      <c r="A271" s="183" t="s">
        <v>1097</v>
      </c>
      <c r="B271" s="183" t="s">
        <v>1098</v>
      </c>
      <c r="C271" s="183" t="s">
        <v>1099</v>
      </c>
    </row>
    <row r="272" ht="15.75" customHeight="1">
      <c r="A272" s="183" t="s">
        <v>1100</v>
      </c>
      <c r="B272" s="183" t="s">
        <v>1102</v>
      </c>
      <c r="C272" s="183" t="s">
        <v>1103</v>
      </c>
    </row>
    <row r="273" ht="15.75" customHeight="1">
      <c r="A273" s="183" t="s">
        <v>1104</v>
      </c>
      <c r="B273" s="183" t="s">
        <v>1105</v>
      </c>
      <c r="C273" s="183" t="s">
        <v>981</v>
      </c>
    </row>
    <row r="274" ht="15.75" customHeight="1">
      <c r="A274" s="183" t="s">
        <v>1106</v>
      </c>
      <c r="B274" s="183" t="s">
        <v>1107</v>
      </c>
      <c r="C274" s="183" t="s">
        <v>1108</v>
      </c>
    </row>
    <row r="275" ht="15.75" customHeight="1">
      <c r="A275" s="183" t="s">
        <v>1109</v>
      </c>
      <c r="B275" s="183" t="s">
        <v>1110</v>
      </c>
      <c r="C275" s="183" t="s">
        <v>1111</v>
      </c>
    </row>
    <row r="276" ht="15.75" customHeight="1">
      <c r="A276" s="183" t="s">
        <v>1112</v>
      </c>
      <c r="B276" s="183" t="s">
        <v>1113</v>
      </c>
      <c r="C276" s="183" t="s">
        <v>1114</v>
      </c>
    </row>
    <row r="277" ht="15.75" customHeight="1">
      <c r="A277" s="183" t="s">
        <v>1115</v>
      </c>
      <c r="B277" s="183" t="s">
        <v>1116</v>
      </c>
      <c r="C277" s="183" t="s">
        <v>1117</v>
      </c>
    </row>
    <row r="278" ht="15.75" customHeight="1">
      <c r="A278" s="183" t="s">
        <v>1118</v>
      </c>
      <c r="B278" s="183" t="s">
        <v>1120</v>
      </c>
      <c r="C278" s="183" t="s">
        <v>1121</v>
      </c>
    </row>
    <row r="279" ht="15.75" customHeight="1">
      <c r="A279" s="183" t="s">
        <v>1122</v>
      </c>
      <c r="B279" s="183" t="s">
        <v>1123</v>
      </c>
      <c r="C279" s="183" t="s">
        <v>1124</v>
      </c>
    </row>
    <row r="280" ht="15.75" customHeight="1">
      <c r="A280" s="183" t="s">
        <v>1125</v>
      </c>
      <c r="B280" s="183" t="s">
        <v>1126</v>
      </c>
      <c r="C280" s="183" t="s">
        <v>1127</v>
      </c>
    </row>
    <row r="281" ht="15.75" customHeight="1">
      <c r="A281" s="183" t="s">
        <v>1128</v>
      </c>
      <c r="B281" s="183" t="s">
        <v>1130</v>
      </c>
      <c r="C281" s="183" t="s">
        <v>1132</v>
      </c>
    </row>
    <row r="282" ht="15.75" customHeight="1">
      <c r="A282" s="183" t="s">
        <v>1133</v>
      </c>
      <c r="B282" s="183" t="s">
        <v>1135</v>
      </c>
      <c r="C282" s="183" t="s">
        <v>1136</v>
      </c>
    </row>
    <row r="283" ht="15.75" customHeight="1">
      <c r="A283" s="183" t="s">
        <v>1137</v>
      </c>
      <c r="B283" s="183" t="s">
        <v>1138</v>
      </c>
      <c r="C283" s="183" t="s">
        <v>1139</v>
      </c>
    </row>
    <row r="284" ht="15.75" customHeight="1">
      <c r="A284" s="183" t="s">
        <v>1140</v>
      </c>
      <c r="B284" s="183" t="s">
        <v>1141</v>
      </c>
      <c r="C284" s="183" t="s">
        <v>1143</v>
      </c>
    </row>
    <row r="285" ht="15.75" customHeight="1">
      <c r="A285" s="183" t="s">
        <v>1144</v>
      </c>
      <c r="B285" s="183" t="s">
        <v>1145</v>
      </c>
      <c r="C285" s="183" t="s">
        <v>1146</v>
      </c>
    </row>
    <row r="286" ht="15.75" customHeight="1">
      <c r="A286" s="183" t="s">
        <v>1147</v>
      </c>
      <c r="B286" s="183" t="s">
        <v>1149</v>
      </c>
      <c r="C286" s="183" t="s">
        <v>1150</v>
      </c>
    </row>
    <row r="287" ht="15.75" customHeight="1">
      <c r="A287" s="183" t="s">
        <v>1152</v>
      </c>
      <c r="B287" s="183" t="s">
        <v>1153</v>
      </c>
      <c r="C287" s="183" t="s">
        <v>1154</v>
      </c>
    </row>
    <row r="288" ht="15.75" customHeight="1">
      <c r="A288" s="183" t="s">
        <v>1155</v>
      </c>
      <c r="B288" s="183" t="s">
        <v>1157</v>
      </c>
      <c r="C288" s="183" t="s">
        <v>1158</v>
      </c>
    </row>
    <row r="289" ht="15.75" customHeight="1">
      <c r="A289" s="183" t="s">
        <v>1159</v>
      </c>
      <c r="B289" s="183" t="s">
        <v>1160</v>
      </c>
      <c r="C289" s="183" t="s">
        <v>1161</v>
      </c>
    </row>
    <row r="290" ht="15.75" customHeight="1">
      <c r="A290" s="183" t="s">
        <v>1162</v>
      </c>
      <c r="B290" s="183" t="s">
        <v>1163</v>
      </c>
      <c r="C290" s="183" t="s">
        <v>1164</v>
      </c>
    </row>
    <row r="291" ht="15.75" customHeight="1">
      <c r="A291" s="183" t="s">
        <v>1165</v>
      </c>
      <c r="B291" s="183" t="s">
        <v>1167</v>
      </c>
      <c r="C291" s="183" t="s">
        <v>1168</v>
      </c>
    </row>
    <row r="292" ht="15.75" customHeight="1">
      <c r="A292" s="183" t="s">
        <v>1169</v>
      </c>
      <c r="B292" s="183" t="s">
        <v>1172</v>
      </c>
      <c r="C292" s="183" t="s">
        <v>1173</v>
      </c>
    </row>
    <row r="293" ht="15.75" customHeight="1">
      <c r="A293" s="183" t="s">
        <v>1174</v>
      </c>
      <c r="B293" s="183" t="s">
        <v>1176</v>
      </c>
      <c r="C293" s="183" t="s">
        <v>1177</v>
      </c>
    </row>
    <row r="294" ht="15.75" customHeight="1">
      <c r="A294" s="183" t="s">
        <v>1178</v>
      </c>
      <c r="B294" s="183" t="s">
        <v>1179</v>
      </c>
      <c r="C294" s="183" t="s">
        <v>1180</v>
      </c>
    </row>
    <row r="295" ht="15.75" customHeight="1">
      <c r="A295" s="183" t="s">
        <v>1181</v>
      </c>
      <c r="B295" s="183" t="s">
        <v>1182</v>
      </c>
      <c r="C295" s="183" t="s">
        <v>1183</v>
      </c>
    </row>
    <row r="296" ht="15.75" customHeight="1">
      <c r="A296" s="183" t="s">
        <v>1184</v>
      </c>
      <c r="B296" s="183" t="s">
        <v>1185</v>
      </c>
      <c r="C296" s="183" t="s">
        <v>1186</v>
      </c>
    </row>
    <row r="297" ht="15.75" customHeight="1">
      <c r="A297" s="183" t="s">
        <v>1187</v>
      </c>
      <c r="B297" s="183" t="s">
        <v>1189</v>
      </c>
      <c r="C297" s="183" t="s">
        <v>1190</v>
      </c>
    </row>
    <row r="298" ht="15.75" customHeight="1">
      <c r="A298" s="183" t="s">
        <v>1191</v>
      </c>
      <c r="B298" s="183" t="s">
        <v>1192</v>
      </c>
      <c r="C298" s="183" t="s">
        <v>1193</v>
      </c>
    </row>
    <row r="299" ht="15.75" customHeight="1">
      <c r="A299" s="183" t="s">
        <v>1194</v>
      </c>
      <c r="B299" s="183" t="s">
        <v>1195</v>
      </c>
      <c r="C299" s="183" t="s">
        <v>1196</v>
      </c>
    </row>
    <row r="300" ht="15.75" customHeight="1">
      <c r="A300" s="183" t="s">
        <v>1197</v>
      </c>
      <c r="B300" s="183" t="s">
        <v>1198</v>
      </c>
      <c r="C300" s="183" t="s">
        <v>1200</v>
      </c>
    </row>
    <row r="301" ht="15.75" customHeight="1">
      <c r="A301" s="183" t="s">
        <v>1201</v>
      </c>
      <c r="B301" s="183" t="s">
        <v>1202</v>
      </c>
      <c r="C301" s="183" t="s">
        <v>1204</v>
      </c>
    </row>
    <row r="302" ht="15.75" customHeight="1">
      <c r="A302" s="183" t="s">
        <v>1205</v>
      </c>
      <c r="B302" s="183" t="s">
        <v>1206</v>
      </c>
      <c r="C302" s="183" t="s">
        <v>1025</v>
      </c>
    </row>
    <row r="303" ht="15.75" customHeight="1">
      <c r="A303" s="183" t="s">
        <v>1208</v>
      </c>
      <c r="B303" s="183" t="s">
        <v>1209</v>
      </c>
      <c r="C303" s="183" t="s">
        <v>1210</v>
      </c>
    </row>
    <row r="304" ht="15.75" customHeight="1">
      <c r="A304" s="183" t="s">
        <v>1211</v>
      </c>
      <c r="B304" s="183" t="s">
        <v>1213</v>
      </c>
      <c r="C304" s="183" t="s">
        <v>1214</v>
      </c>
    </row>
    <row r="305" ht="15.75" customHeight="1">
      <c r="A305" s="183" t="s">
        <v>1215</v>
      </c>
      <c r="B305" s="183" t="s">
        <v>1216</v>
      </c>
      <c r="C305" s="183" t="s">
        <v>1217</v>
      </c>
    </row>
    <row r="306" ht="15.75" customHeight="1">
      <c r="A306" s="183" t="s">
        <v>1218</v>
      </c>
      <c r="B306" s="183" t="s">
        <v>1219</v>
      </c>
      <c r="C306" s="183" t="s">
        <v>1220</v>
      </c>
    </row>
    <row r="307" ht="15.75" customHeight="1">
      <c r="A307" s="183" t="s">
        <v>1221</v>
      </c>
      <c r="B307" s="183" t="s">
        <v>1222</v>
      </c>
      <c r="C307" s="183" t="s">
        <v>1223</v>
      </c>
    </row>
    <row r="308" ht="15.75" customHeight="1">
      <c r="A308" s="183" t="s">
        <v>1224</v>
      </c>
      <c r="B308" s="183" t="s">
        <v>1225</v>
      </c>
      <c r="C308" s="183" t="s">
        <v>1226</v>
      </c>
    </row>
    <row r="309" ht="15.75" customHeight="1">
      <c r="A309" s="183" t="s">
        <v>1227</v>
      </c>
      <c r="B309" s="183" t="s">
        <v>1228</v>
      </c>
      <c r="C309" s="183" t="s">
        <v>1230</v>
      </c>
    </row>
    <row r="310" ht="15.75" customHeight="1">
      <c r="A310" s="183" t="s">
        <v>1231</v>
      </c>
      <c r="B310" s="183" t="s">
        <v>1232</v>
      </c>
      <c r="C310" s="183" t="s">
        <v>1234</v>
      </c>
    </row>
    <row r="311" ht="15.75" customHeight="1">
      <c r="A311" s="183" t="s">
        <v>1235</v>
      </c>
      <c r="B311" s="183" t="s">
        <v>1236</v>
      </c>
      <c r="C311" s="183" t="s">
        <v>1237</v>
      </c>
    </row>
    <row r="312" ht="15.75" customHeight="1">
      <c r="A312" s="183" t="s">
        <v>1238</v>
      </c>
      <c r="B312" s="183" t="s">
        <v>1239</v>
      </c>
      <c r="C312" s="183" t="s">
        <v>1240</v>
      </c>
    </row>
    <row r="313" ht="15.75" customHeight="1">
      <c r="A313" s="183" t="s">
        <v>1242</v>
      </c>
      <c r="B313" s="183" t="s">
        <v>1243</v>
      </c>
      <c r="C313" s="183" t="s">
        <v>1244</v>
      </c>
    </row>
    <row r="314" ht="15.75" customHeight="1">
      <c r="A314" s="183" t="s">
        <v>1247</v>
      </c>
      <c r="B314" s="183" t="s">
        <v>1248</v>
      </c>
      <c r="C314" s="183" t="s">
        <v>981</v>
      </c>
    </row>
    <row r="315" ht="15.75" customHeight="1">
      <c r="A315" s="183" t="s">
        <v>1249</v>
      </c>
      <c r="B315" s="183" t="s">
        <v>1251</v>
      </c>
      <c r="C315" s="183" t="s">
        <v>1252</v>
      </c>
    </row>
    <row r="316" ht="15.75" customHeight="1">
      <c r="A316" s="183" t="s">
        <v>1253</v>
      </c>
      <c r="B316" s="183" t="s">
        <v>1254</v>
      </c>
      <c r="C316" s="183" t="s">
        <v>1255</v>
      </c>
    </row>
    <row r="317" ht="15.75" customHeight="1">
      <c r="A317" s="183" t="s">
        <v>1257</v>
      </c>
      <c r="B317" s="183" t="s">
        <v>1258</v>
      </c>
      <c r="C317" s="183" t="s">
        <v>1259</v>
      </c>
    </row>
    <row r="318" ht="15.75" customHeight="1">
      <c r="A318" s="183" t="s">
        <v>1260</v>
      </c>
      <c r="B318" s="183" t="s">
        <v>1261</v>
      </c>
      <c r="C318" s="183" t="s">
        <v>1262</v>
      </c>
    </row>
    <row r="319" ht="15.75" customHeight="1">
      <c r="A319" s="183" t="s">
        <v>1263</v>
      </c>
      <c r="B319" s="183" t="s">
        <v>1264</v>
      </c>
      <c r="C319" s="183" t="s">
        <v>1265</v>
      </c>
    </row>
    <row r="320" ht="15.75" customHeight="1">
      <c r="A320" s="183" t="s">
        <v>1267</v>
      </c>
      <c r="B320" s="183" t="s">
        <v>1268</v>
      </c>
      <c r="C320" s="183" t="s">
        <v>1269</v>
      </c>
    </row>
    <row r="321" ht="15.75" customHeight="1">
      <c r="A321" s="183" t="s">
        <v>1270</v>
      </c>
      <c r="B321" s="183" t="s">
        <v>1271</v>
      </c>
      <c r="C321" s="183" t="s">
        <v>1272</v>
      </c>
    </row>
    <row r="322" ht="15.75" customHeight="1">
      <c r="A322" s="183" t="s">
        <v>1273</v>
      </c>
      <c r="B322" s="183" t="s">
        <v>1274</v>
      </c>
      <c r="C322" s="183" t="s">
        <v>1275</v>
      </c>
    </row>
    <row r="323" ht="15.75" customHeight="1">
      <c r="A323" s="183" t="s">
        <v>1277</v>
      </c>
      <c r="B323" s="183" t="s">
        <v>1278</v>
      </c>
      <c r="C323" s="183" t="s">
        <v>1279</v>
      </c>
    </row>
    <row r="324" ht="15.75" customHeight="1">
      <c r="A324" s="183" t="s">
        <v>1280</v>
      </c>
      <c r="B324" s="183" t="s">
        <v>1281</v>
      </c>
      <c r="C324" s="183" t="s">
        <v>1282</v>
      </c>
    </row>
    <row r="325" ht="15.75" customHeight="1">
      <c r="A325" s="183" t="s">
        <v>1283</v>
      </c>
      <c r="B325" s="183" t="s">
        <v>1285</v>
      </c>
      <c r="C325" s="183" t="s">
        <v>1286</v>
      </c>
    </row>
    <row r="326" ht="15.75" customHeight="1">
      <c r="A326" s="183" t="s">
        <v>1287</v>
      </c>
      <c r="B326" s="183" t="s">
        <v>1288</v>
      </c>
      <c r="C326" s="183" t="s">
        <v>981</v>
      </c>
    </row>
    <row r="327" ht="15.75" customHeight="1">
      <c r="A327" s="183" t="s">
        <v>1290</v>
      </c>
      <c r="B327" s="183" t="s">
        <v>1291</v>
      </c>
      <c r="C327" s="183" t="s">
        <v>1292</v>
      </c>
    </row>
    <row r="328" ht="15.75" customHeight="1">
      <c r="A328" s="183" t="s">
        <v>1293</v>
      </c>
      <c r="B328" s="183" t="s">
        <v>1294</v>
      </c>
      <c r="C328" s="183" t="s">
        <v>1295</v>
      </c>
    </row>
    <row r="329" ht="15.75" customHeight="1">
      <c r="A329" s="183" t="s">
        <v>1296</v>
      </c>
      <c r="B329" s="183" t="s">
        <v>1297</v>
      </c>
      <c r="C329" s="183" t="s">
        <v>1299</v>
      </c>
    </row>
    <row r="330" ht="15.75" customHeight="1">
      <c r="A330" s="183" t="s">
        <v>1300</v>
      </c>
      <c r="B330" s="183" t="s">
        <v>1301</v>
      </c>
      <c r="C330" s="183" t="s">
        <v>1302</v>
      </c>
    </row>
    <row r="331" ht="15.75" customHeight="1">
      <c r="A331" s="183" t="s">
        <v>1303</v>
      </c>
      <c r="B331" s="183" t="s">
        <v>1304</v>
      </c>
      <c r="C331" s="183" t="s">
        <v>1305</v>
      </c>
    </row>
    <row r="332" ht="15.75" customHeight="1">
      <c r="A332" s="183" t="s">
        <v>1306</v>
      </c>
      <c r="B332" s="183" t="s">
        <v>1307</v>
      </c>
      <c r="C332" s="183" t="s">
        <v>1308</v>
      </c>
    </row>
    <row r="333" ht="15.75" customHeight="1">
      <c r="A333" s="183" t="s">
        <v>1310</v>
      </c>
      <c r="B333" s="183" t="s">
        <v>1311</v>
      </c>
      <c r="C333" s="183" t="s">
        <v>1312</v>
      </c>
    </row>
    <row r="334" ht="15.75" customHeight="1">
      <c r="A334" s="183" t="s">
        <v>1314</v>
      </c>
      <c r="B334" s="183" t="s">
        <v>1315</v>
      </c>
      <c r="C334" s="183" t="s">
        <v>1316</v>
      </c>
    </row>
    <row r="335" ht="15.75" customHeight="1">
      <c r="A335" s="183" t="s">
        <v>1317</v>
      </c>
      <c r="B335" s="183" t="s">
        <v>1318</v>
      </c>
      <c r="C335" s="183" t="s">
        <v>1320</v>
      </c>
    </row>
    <row r="336" ht="15.75" customHeight="1">
      <c r="A336" s="183" t="s">
        <v>1321</v>
      </c>
      <c r="B336" s="183" t="s">
        <v>1322</v>
      </c>
      <c r="C336" s="183" t="s">
        <v>1324</v>
      </c>
    </row>
    <row r="337" ht="15.75" customHeight="1">
      <c r="A337" s="183" t="s">
        <v>1325</v>
      </c>
      <c r="B337" s="183" t="s">
        <v>1326</v>
      </c>
      <c r="C337" s="183" t="s">
        <v>1327</v>
      </c>
    </row>
    <row r="338" ht="15.75" customHeight="1">
      <c r="A338" s="183" t="s">
        <v>1328</v>
      </c>
      <c r="B338" s="183" t="s">
        <v>1329</v>
      </c>
      <c r="C338" s="183" t="s">
        <v>1330</v>
      </c>
    </row>
    <row r="339" ht="15.75" customHeight="1">
      <c r="A339" s="183" t="s">
        <v>1331</v>
      </c>
      <c r="B339" s="183" t="s">
        <v>1332</v>
      </c>
      <c r="C339" s="183" t="s">
        <v>1333</v>
      </c>
    </row>
    <row r="340" ht="15.75" customHeight="1">
      <c r="A340" s="183" t="s">
        <v>1335</v>
      </c>
      <c r="B340" s="183" t="s">
        <v>1337</v>
      </c>
      <c r="C340" s="183" t="s">
        <v>1338</v>
      </c>
    </row>
    <row r="341" ht="15.75" customHeight="1">
      <c r="A341" s="183" t="s">
        <v>1339</v>
      </c>
      <c r="B341" s="183" t="s">
        <v>1340</v>
      </c>
      <c r="C341" s="183" t="s">
        <v>1341</v>
      </c>
    </row>
    <row r="342" ht="15.75" customHeight="1">
      <c r="A342" s="183" t="s">
        <v>1342</v>
      </c>
      <c r="B342" s="183" t="s">
        <v>1343</v>
      </c>
      <c r="C342" s="183" t="s">
        <v>1344</v>
      </c>
    </row>
    <row r="343" ht="15.75" customHeight="1">
      <c r="A343" s="183" t="s">
        <v>1345</v>
      </c>
      <c r="B343" s="183" t="s">
        <v>1347</v>
      </c>
      <c r="C343" s="183" t="s">
        <v>1348</v>
      </c>
    </row>
    <row r="344" ht="15.75" customHeight="1">
      <c r="A344" s="183" t="s">
        <v>1350</v>
      </c>
      <c r="B344" s="183" t="s">
        <v>1351</v>
      </c>
      <c r="C344" s="183" t="s">
        <v>1352</v>
      </c>
    </row>
    <row r="345" ht="15.75" customHeight="1">
      <c r="A345" s="183" t="s">
        <v>1353</v>
      </c>
      <c r="B345" s="183" t="s">
        <v>1354</v>
      </c>
      <c r="C345" s="183" t="s">
        <v>1356</v>
      </c>
    </row>
    <row r="346" ht="15.75" customHeight="1">
      <c r="A346" s="183" t="s">
        <v>1358</v>
      </c>
      <c r="B346" s="183" t="s">
        <v>1359</v>
      </c>
      <c r="C346" s="183" t="s">
        <v>1360</v>
      </c>
    </row>
    <row r="347" ht="15.75" customHeight="1">
      <c r="A347" s="183" t="s">
        <v>1362</v>
      </c>
      <c r="B347" s="183" t="s">
        <v>1363</v>
      </c>
      <c r="C347" s="183" t="s">
        <v>1364</v>
      </c>
    </row>
    <row r="348" ht="15.75" customHeight="1">
      <c r="A348" s="183" t="s">
        <v>1365</v>
      </c>
      <c r="B348" s="183" t="s">
        <v>1366</v>
      </c>
      <c r="C348" s="183" t="s">
        <v>1367</v>
      </c>
    </row>
    <row r="349" ht="15.75" customHeight="1">
      <c r="A349" s="183" t="s">
        <v>1368</v>
      </c>
      <c r="B349" s="183" t="s">
        <v>1369</v>
      </c>
      <c r="C349" s="183" t="s">
        <v>1370</v>
      </c>
    </row>
    <row r="350" ht="15.75" customHeight="1">
      <c r="A350" s="183" t="s">
        <v>1372</v>
      </c>
      <c r="B350" s="183" t="s">
        <v>1373</v>
      </c>
      <c r="C350" s="183" t="s">
        <v>1374</v>
      </c>
    </row>
    <row r="351" ht="15.75" customHeight="1">
      <c r="A351" s="183" t="s">
        <v>1375</v>
      </c>
      <c r="B351" s="183" t="s">
        <v>1376</v>
      </c>
      <c r="C351" s="183" t="s">
        <v>1377</v>
      </c>
    </row>
    <row r="352" ht="15.75" customHeight="1">
      <c r="A352" s="183" t="s">
        <v>1378</v>
      </c>
      <c r="B352" s="183" t="s">
        <v>1379</v>
      </c>
      <c r="C352" s="183" t="s">
        <v>1380</v>
      </c>
    </row>
    <row r="353" ht="15.75" customHeight="1">
      <c r="A353" s="183" t="s">
        <v>1381</v>
      </c>
      <c r="B353" s="183" t="s">
        <v>1382</v>
      </c>
      <c r="C353" s="183" t="s">
        <v>1383</v>
      </c>
    </row>
    <row r="354" ht="15.75" customHeight="1">
      <c r="A354" s="183" t="s">
        <v>1384</v>
      </c>
      <c r="B354" s="183" t="s">
        <v>1385</v>
      </c>
      <c r="C354" s="183" t="s">
        <v>1386</v>
      </c>
    </row>
    <row r="355" ht="15.75" customHeight="1">
      <c r="A355" s="183" t="s">
        <v>1387</v>
      </c>
      <c r="B355" s="183" t="s">
        <v>1388</v>
      </c>
      <c r="C355" s="183" t="s">
        <v>1389</v>
      </c>
    </row>
    <row r="356" ht="15.75" customHeight="1">
      <c r="A356" s="183" t="s">
        <v>1390</v>
      </c>
      <c r="B356" s="183" t="s">
        <v>1392</v>
      </c>
      <c r="C356" s="183" t="s">
        <v>1393</v>
      </c>
    </row>
    <row r="357" ht="15.75" customHeight="1">
      <c r="A357" s="183" t="s">
        <v>1394</v>
      </c>
      <c r="B357" s="183" t="s">
        <v>890</v>
      </c>
      <c r="C357" s="183" t="s">
        <v>1396</v>
      </c>
    </row>
    <row r="358" ht="15.75" customHeight="1">
      <c r="A358" s="183" t="s">
        <v>1397</v>
      </c>
      <c r="B358" s="183" t="s">
        <v>1398</v>
      </c>
      <c r="C358" s="183" t="s">
        <v>1399</v>
      </c>
    </row>
    <row r="359" ht="15.75" customHeight="1">
      <c r="A359" s="183" t="s">
        <v>1400</v>
      </c>
      <c r="B359" s="183" t="s">
        <v>1401</v>
      </c>
      <c r="C359" s="183" t="s">
        <v>1402</v>
      </c>
    </row>
    <row r="360" ht="15.75" customHeight="1">
      <c r="A360" s="183" t="s">
        <v>1403</v>
      </c>
      <c r="B360" s="183" t="s">
        <v>1404</v>
      </c>
      <c r="C360" s="183" t="s">
        <v>1406</v>
      </c>
    </row>
    <row r="361" ht="15.75" customHeight="1">
      <c r="A361" s="183" t="s">
        <v>1407</v>
      </c>
      <c r="B361" s="183" t="s">
        <v>1408</v>
      </c>
      <c r="C361" s="183" t="s">
        <v>1409</v>
      </c>
    </row>
    <row r="362" ht="15.75" customHeight="1">
      <c r="A362" s="183" t="s">
        <v>1410</v>
      </c>
      <c r="B362" s="183" t="s">
        <v>1411</v>
      </c>
      <c r="C362" s="183" t="s">
        <v>1412</v>
      </c>
    </row>
    <row r="363" ht="15.75" customHeight="1">
      <c r="A363" s="183" t="s">
        <v>1413</v>
      </c>
      <c r="B363" s="183" t="s">
        <v>1414</v>
      </c>
      <c r="C363" s="183" t="s">
        <v>1416</v>
      </c>
    </row>
    <row r="364" ht="15.75" customHeight="1">
      <c r="A364" s="183" t="s">
        <v>1418</v>
      </c>
      <c r="B364" s="183" t="s">
        <v>1419</v>
      </c>
      <c r="C364" s="183" t="s">
        <v>1420</v>
      </c>
    </row>
    <row r="365" ht="15.75" customHeight="1">
      <c r="A365" s="183" t="s">
        <v>1421</v>
      </c>
      <c r="B365" s="183" t="s">
        <v>1422</v>
      </c>
      <c r="C365" s="183" t="s">
        <v>1423</v>
      </c>
    </row>
    <row r="366" ht="15.75" customHeight="1">
      <c r="A366" s="183" t="s">
        <v>1424</v>
      </c>
      <c r="B366" s="183" t="s">
        <v>1425</v>
      </c>
      <c r="C366" s="183" t="s">
        <v>1427</v>
      </c>
    </row>
    <row r="367" ht="15.75" customHeight="1">
      <c r="A367" s="183" t="s">
        <v>1428</v>
      </c>
      <c r="B367" s="183" t="s">
        <v>1429</v>
      </c>
      <c r="C367" s="183" t="s">
        <v>1431</v>
      </c>
    </row>
    <row r="368" ht="15.75" customHeight="1">
      <c r="A368" s="183" t="s">
        <v>1432</v>
      </c>
      <c r="B368" s="183" t="s">
        <v>1433</v>
      </c>
      <c r="C368" s="183" t="s">
        <v>1434</v>
      </c>
    </row>
    <row r="369" ht="15.75" customHeight="1">
      <c r="A369" s="183" t="s">
        <v>1435</v>
      </c>
      <c r="B369" s="183" t="s">
        <v>1437</v>
      </c>
      <c r="C369" s="183" t="s">
        <v>1438</v>
      </c>
    </row>
    <row r="370" ht="15.75" customHeight="1">
      <c r="A370" s="183" t="s">
        <v>1439</v>
      </c>
      <c r="B370" s="183" t="s">
        <v>1440</v>
      </c>
      <c r="C370" s="183" t="s">
        <v>1441</v>
      </c>
    </row>
    <row r="371" ht="15.75" customHeight="1">
      <c r="A371" s="183" t="s">
        <v>1442</v>
      </c>
      <c r="B371" s="183" t="s">
        <v>1443</v>
      </c>
      <c r="C371" s="183" t="s">
        <v>1444</v>
      </c>
    </row>
    <row r="372" ht="15.75" customHeight="1">
      <c r="A372" s="183" t="s">
        <v>1445</v>
      </c>
      <c r="B372" s="183" t="s">
        <v>1447</v>
      </c>
      <c r="C372" s="183" t="s">
        <v>1448</v>
      </c>
    </row>
    <row r="373" ht="15.75" customHeight="1">
      <c r="A373" s="183" t="s">
        <v>1449</v>
      </c>
      <c r="B373" s="183" t="s">
        <v>1450</v>
      </c>
      <c r="C373" s="183" t="s">
        <v>1451</v>
      </c>
    </row>
    <row r="374" ht="15.75" customHeight="1">
      <c r="A374" s="183" t="s">
        <v>1452</v>
      </c>
      <c r="B374" s="183" t="s">
        <v>1454</v>
      </c>
      <c r="C374" s="183" t="s">
        <v>1455</v>
      </c>
    </row>
    <row r="375" ht="15.75" customHeight="1">
      <c r="A375" s="183" t="s">
        <v>1456</v>
      </c>
      <c r="B375" s="183" t="s">
        <v>1457</v>
      </c>
      <c r="C375" s="183" t="s">
        <v>1458</v>
      </c>
    </row>
    <row r="376" ht="15.75" customHeight="1">
      <c r="A376" s="183" t="s">
        <v>1460</v>
      </c>
      <c r="B376" s="183" t="s">
        <v>1461</v>
      </c>
      <c r="C376" s="183" t="s">
        <v>1462</v>
      </c>
    </row>
    <row r="377" ht="15.75" customHeight="1">
      <c r="A377" s="183" t="s">
        <v>1463</v>
      </c>
      <c r="B377" s="183" t="s">
        <v>1464</v>
      </c>
      <c r="C377" s="183" t="s">
        <v>1465</v>
      </c>
    </row>
    <row r="378" ht="15.75" customHeight="1">
      <c r="A378" s="183" t="s">
        <v>1466</v>
      </c>
      <c r="B378" s="183" t="s">
        <v>1467</v>
      </c>
      <c r="C378" s="183" t="s">
        <v>1469</v>
      </c>
    </row>
    <row r="379" ht="15.75" customHeight="1">
      <c r="A379" s="183" t="s">
        <v>1470</v>
      </c>
      <c r="B379" s="183" t="s">
        <v>1471</v>
      </c>
      <c r="C379" s="183" t="s">
        <v>1472</v>
      </c>
    </row>
    <row r="380" ht="15.75" customHeight="1">
      <c r="A380" s="183" t="s">
        <v>1473</v>
      </c>
      <c r="B380" s="183" t="s">
        <v>1474</v>
      </c>
      <c r="C380" s="183" t="s">
        <v>1475</v>
      </c>
    </row>
    <row r="381" ht="15.75" customHeight="1">
      <c r="A381" s="183" t="s">
        <v>1476</v>
      </c>
      <c r="B381" s="183" t="s">
        <v>1477</v>
      </c>
      <c r="C381" s="183" t="s">
        <v>1475</v>
      </c>
    </row>
    <row r="382" ht="15.75" customHeight="1">
      <c r="A382" s="183" t="s">
        <v>1478</v>
      </c>
      <c r="B382" s="183" t="s">
        <v>1480</v>
      </c>
      <c r="C382" s="183" t="s">
        <v>1481</v>
      </c>
    </row>
    <row r="383" ht="15.75" customHeight="1">
      <c r="A383" s="183" t="s">
        <v>1482</v>
      </c>
      <c r="B383" s="183" t="s">
        <v>1483</v>
      </c>
      <c r="C383" s="183" t="s">
        <v>1485</v>
      </c>
    </row>
    <row r="384" ht="15.75" customHeight="1">
      <c r="A384" s="183" t="s">
        <v>1486</v>
      </c>
      <c r="B384" s="183" t="s">
        <v>1487</v>
      </c>
      <c r="C384" s="183" t="s">
        <v>1489</v>
      </c>
    </row>
    <row r="385" ht="15.75" customHeight="1">
      <c r="A385" s="183" t="s">
        <v>1490</v>
      </c>
      <c r="B385" s="183" t="s">
        <v>1491</v>
      </c>
      <c r="C385" s="183" t="s">
        <v>1492</v>
      </c>
    </row>
    <row r="386" ht="15.75" customHeight="1">
      <c r="A386" s="183" t="s">
        <v>1493</v>
      </c>
      <c r="B386" s="183" t="s">
        <v>1494</v>
      </c>
      <c r="C386" s="183" t="s">
        <v>1495</v>
      </c>
    </row>
    <row r="387" ht="15.75" customHeight="1">
      <c r="A387" s="183" t="s">
        <v>1496</v>
      </c>
      <c r="B387" s="183" t="s">
        <v>1497</v>
      </c>
      <c r="C387" s="183" t="s">
        <v>1498</v>
      </c>
    </row>
    <row r="388" ht="15.75" customHeight="1">
      <c r="A388" s="183" t="s">
        <v>1499</v>
      </c>
      <c r="B388" s="183" t="s">
        <v>1500</v>
      </c>
      <c r="C388" s="183" t="s">
        <v>1501</v>
      </c>
    </row>
    <row r="389" ht="15.75" customHeight="1">
      <c r="A389" s="183" t="s">
        <v>1503</v>
      </c>
      <c r="B389" s="183" t="s">
        <v>1504</v>
      </c>
      <c r="C389" s="183" t="s">
        <v>1505</v>
      </c>
    </row>
    <row r="390" ht="15.75" customHeight="1">
      <c r="A390" s="183" t="s">
        <v>1506</v>
      </c>
      <c r="B390" s="183" t="s">
        <v>1507</v>
      </c>
      <c r="C390" s="183" t="s">
        <v>1508</v>
      </c>
    </row>
    <row r="391" ht="15.75" customHeight="1">
      <c r="A391" s="183" t="s">
        <v>1510</v>
      </c>
      <c r="B391" s="183" t="s">
        <v>1511</v>
      </c>
      <c r="C391" s="183" t="s">
        <v>1512</v>
      </c>
    </row>
    <row r="392" ht="15.75" customHeight="1">
      <c r="A392" s="183" t="s">
        <v>1513</v>
      </c>
      <c r="B392" s="183" t="s">
        <v>1514</v>
      </c>
      <c r="C392" s="183" t="s">
        <v>1515</v>
      </c>
    </row>
    <row r="393" ht="15.75" customHeight="1">
      <c r="A393" s="183" t="s">
        <v>1517</v>
      </c>
      <c r="B393" s="183" t="s">
        <v>1518</v>
      </c>
      <c r="C393" s="183" t="s">
        <v>1441</v>
      </c>
    </row>
    <row r="394" ht="15.75" customHeight="1">
      <c r="A394" s="183" t="s">
        <v>1519</v>
      </c>
      <c r="B394" s="183" t="s">
        <v>1521</v>
      </c>
      <c r="C394" s="183" t="s">
        <v>1522</v>
      </c>
    </row>
    <row r="395" ht="15.75" customHeight="1">
      <c r="A395" s="183" t="s">
        <v>1523</v>
      </c>
      <c r="B395" s="183" t="s">
        <v>1524</v>
      </c>
      <c r="C395" s="183" t="s">
        <v>1525</v>
      </c>
    </row>
    <row r="396" ht="15.75" customHeight="1">
      <c r="A396" s="183" t="s">
        <v>1526</v>
      </c>
      <c r="B396" s="183" t="s">
        <v>1527</v>
      </c>
      <c r="C396" s="183" t="s">
        <v>1528</v>
      </c>
    </row>
    <row r="397" ht="15.75" customHeight="1">
      <c r="A397" s="183" t="s">
        <v>1530</v>
      </c>
      <c r="B397" s="183" t="s">
        <v>1531</v>
      </c>
      <c r="C397" s="183" t="s">
        <v>1533</v>
      </c>
    </row>
    <row r="398" ht="15.75" customHeight="1">
      <c r="A398" s="183" t="s">
        <v>1535</v>
      </c>
      <c r="B398" s="183" t="s">
        <v>1536</v>
      </c>
      <c r="C398" s="183" t="s">
        <v>1537</v>
      </c>
    </row>
    <row r="399" ht="15.75" customHeight="1">
      <c r="A399" s="183" t="s">
        <v>1538</v>
      </c>
      <c r="B399" s="183" t="s">
        <v>1539</v>
      </c>
      <c r="C399" s="183" t="s">
        <v>1540</v>
      </c>
    </row>
    <row r="400" ht="15.75" customHeight="1">
      <c r="A400" s="183" t="s">
        <v>1541</v>
      </c>
      <c r="B400" s="183" t="s">
        <v>1542</v>
      </c>
      <c r="C400" s="183" t="s">
        <v>1543</v>
      </c>
    </row>
    <row r="401" ht="15.75" customHeight="1">
      <c r="A401" s="183" t="s">
        <v>1544</v>
      </c>
      <c r="B401" s="183" t="s">
        <v>1545</v>
      </c>
      <c r="C401" s="183" t="s">
        <v>1546</v>
      </c>
    </row>
    <row r="402" ht="15.75" customHeight="1">
      <c r="A402" s="183" t="s">
        <v>1547</v>
      </c>
      <c r="B402" s="183" t="s">
        <v>1548</v>
      </c>
      <c r="C402" s="183" t="s">
        <v>1549</v>
      </c>
    </row>
    <row r="403" ht="15.75" customHeight="1">
      <c r="A403" s="183" t="s">
        <v>1550</v>
      </c>
      <c r="B403" s="183" t="s">
        <v>1551</v>
      </c>
      <c r="C403" s="183" t="s">
        <v>1552</v>
      </c>
    </row>
    <row r="404" ht="15.75" customHeight="1">
      <c r="A404" s="183" t="s">
        <v>1553</v>
      </c>
      <c r="B404" s="183" t="s">
        <v>1554</v>
      </c>
      <c r="C404" s="183" t="s">
        <v>1556</v>
      </c>
    </row>
    <row r="405" ht="15.75" customHeight="1">
      <c r="A405" s="183" t="s">
        <v>1558</v>
      </c>
      <c r="B405" s="183" t="s">
        <v>1559</v>
      </c>
      <c r="C405" s="183" t="s">
        <v>1561</v>
      </c>
    </row>
    <row r="406" ht="15.75" customHeight="1">
      <c r="A406" s="183" t="s">
        <v>1563</v>
      </c>
      <c r="B406" s="183" t="s">
        <v>1564</v>
      </c>
      <c r="C406" s="183" t="s">
        <v>1565</v>
      </c>
    </row>
    <row r="407" ht="15.75" customHeight="1">
      <c r="A407" s="183" t="s">
        <v>1567</v>
      </c>
      <c r="B407" s="183" t="s">
        <v>1568</v>
      </c>
      <c r="C407" s="183" t="s">
        <v>1569</v>
      </c>
    </row>
    <row r="408" ht="15.75" customHeight="1">
      <c r="A408" s="183" t="s">
        <v>1571</v>
      </c>
      <c r="B408" s="183" t="s">
        <v>1572</v>
      </c>
      <c r="C408" s="183" t="s">
        <v>1573</v>
      </c>
    </row>
    <row r="409" ht="15.75" customHeight="1">
      <c r="A409" s="183" t="s">
        <v>1574</v>
      </c>
      <c r="B409" s="183" t="s">
        <v>1575</v>
      </c>
      <c r="C409" s="183" t="s">
        <v>1576</v>
      </c>
    </row>
    <row r="410" ht="15.75" customHeight="1">
      <c r="A410" s="183" t="s">
        <v>1577</v>
      </c>
      <c r="B410" s="183" t="s">
        <v>1578</v>
      </c>
      <c r="C410" s="183" t="s">
        <v>1579</v>
      </c>
    </row>
    <row r="411" ht="15.75" customHeight="1">
      <c r="A411" s="183" t="s">
        <v>1580</v>
      </c>
      <c r="B411" s="183" t="s">
        <v>1582</v>
      </c>
      <c r="C411" s="183" t="s">
        <v>1583</v>
      </c>
    </row>
    <row r="412" ht="15.75" customHeight="1">
      <c r="A412" s="183" t="s">
        <v>1584</v>
      </c>
      <c r="B412" s="183" t="s">
        <v>1585</v>
      </c>
      <c r="C412" s="183"/>
    </row>
    <row r="413" ht="15.75" customHeight="1">
      <c r="A413" s="183" t="s">
        <v>1586</v>
      </c>
      <c r="B413" s="183" t="s">
        <v>1587</v>
      </c>
      <c r="C413" s="183" t="s">
        <v>1588</v>
      </c>
    </row>
    <row r="414" ht="15.75" customHeight="1">
      <c r="A414" s="183" t="s">
        <v>1589</v>
      </c>
      <c r="B414" s="183" t="s">
        <v>1591</v>
      </c>
      <c r="C414" s="183" t="s">
        <v>1592</v>
      </c>
    </row>
    <row r="415" ht="15.75" customHeight="1">
      <c r="A415" s="183" t="s">
        <v>1593</v>
      </c>
      <c r="B415" s="183" t="s">
        <v>1595</v>
      </c>
      <c r="C415" s="183" t="s">
        <v>1596</v>
      </c>
    </row>
    <row r="416" ht="15.75" customHeight="1">
      <c r="A416" s="183" t="s">
        <v>1598</v>
      </c>
      <c r="B416" s="183" t="s">
        <v>1599</v>
      </c>
      <c r="C416" s="183" t="s">
        <v>1601</v>
      </c>
    </row>
    <row r="417" ht="15.75" customHeight="1">
      <c r="A417" s="183" t="s">
        <v>1602</v>
      </c>
      <c r="B417" s="183" t="s">
        <v>1603</v>
      </c>
      <c r="C417" s="183" t="s">
        <v>1604</v>
      </c>
    </row>
    <row r="418" ht="15.75" customHeight="1">
      <c r="A418" s="183" t="s">
        <v>1606</v>
      </c>
      <c r="B418" s="183" t="s">
        <v>1607</v>
      </c>
      <c r="C418" s="183" t="s">
        <v>1441</v>
      </c>
    </row>
    <row r="419" ht="15.75" customHeight="1">
      <c r="A419" s="183" t="s">
        <v>1608</v>
      </c>
      <c r="B419" s="183" t="s">
        <v>1609</v>
      </c>
      <c r="C419" s="183" t="s">
        <v>1618</v>
      </c>
    </row>
    <row r="420" ht="15.75" customHeight="1">
      <c r="A420" s="183" t="s">
        <v>1620</v>
      </c>
      <c r="B420" s="183" t="s">
        <v>1621</v>
      </c>
      <c r="C420" s="183" t="s">
        <v>1622</v>
      </c>
    </row>
    <row r="421" ht="15.75" customHeight="1">
      <c r="A421" s="183" t="s">
        <v>1623</v>
      </c>
      <c r="B421" s="183"/>
      <c r="C421" s="183" t="s">
        <v>1624</v>
      </c>
    </row>
    <row r="422" ht="15.75" customHeight="1">
      <c r="A422" s="183" t="s">
        <v>1625</v>
      </c>
      <c r="B422" s="183"/>
      <c r="C422" s="183"/>
    </row>
    <row r="423" ht="15.75" customHeight="1">
      <c r="A423" s="183" t="s">
        <v>1626</v>
      </c>
      <c r="B423" s="183" t="s">
        <v>1628</v>
      </c>
      <c r="C423" s="183" t="s">
        <v>1629</v>
      </c>
    </row>
    <row r="424" ht="15.75" customHeight="1">
      <c r="A424" s="183" t="s">
        <v>1630</v>
      </c>
      <c r="B424" s="183" t="s">
        <v>1631</v>
      </c>
      <c r="C424" s="183" t="s">
        <v>1632</v>
      </c>
    </row>
    <row r="425" ht="15.75" customHeight="1">
      <c r="A425" s="183" t="s">
        <v>1633</v>
      </c>
      <c r="B425" s="183" t="s">
        <v>1634</v>
      </c>
      <c r="C425" s="183" t="s">
        <v>1635</v>
      </c>
    </row>
    <row r="426" ht="15.75" customHeight="1">
      <c r="A426" s="183" t="s">
        <v>1636</v>
      </c>
      <c r="B426" s="183" t="s">
        <v>1637</v>
      </c>
      <c r="C426" s="183" t="s">
        <v>1639</v>
      </c>
    </row>
    <row r="427" ht="15.75" customHeight="1">
      <c r="A427" s="183" t="s">
        <v>1640</v>
      </c>
      <c r="B427" s="183" t="s">
        <v>1641</v>
      </c>
      <c r="C427" s="183" t="s">
        <v>1643</v>
      </c>
    </row>
    <row r="428" ht="15.75" customHeight="1">
      <c r="A428" s="183" t="s">
        <v>1644</v>
      </c>
      <c r="B428" s="183" t="s">
        <v>1645</v>
      </c>
      <c r="C428" s="183" t="s">
        <v>1646</v>
      </c>
    </row>
    <row r="429" ht="15.75" customHeight="1">
      <c r="A429" s="183" t="s">
        <v>1647</v>
      </c>
      <c r="B429" s="183" t="s">
        <v>1649</v>
      </c>
      <c r="C429" s="183" t="s">
        <v>1650</v>
      </c>
    </row>
    <row r="430" ht="15.75" customHeight="1">
      <c r="A430" s="183" t="s">
        <v>1651</v>
      </c>
      <c r="B430" s="183" t="s">
        <v>1653</v>
      </c>
      <c r="C430" s="183" t="s">
        <v>1654</v>
      </c>
    </row>
    <row r="431" ht="15.75" customHeight="1">
      <c r="A431" s="183" t="s">
        <v>1655</v>
      </c>
      <c r="B431" s="183" t="s">
        <v>1656</v>
      </c>
      <c r="C431" s="183" t="s">
        <v>1657</v>
      </c>
    </row>
    <row r="432" ht="15.75" customHeight="1">
      <c r="A432" s="183" t="s">
        <v>1658</v>
      </c>
      <c r="B432" s="183"/>
      <c r="C432" s="183"/>
    </row>
    <row r="433" ht="15.75" customHeight="1">
      <c r="A433" s="183" t="s">
        <v>1659</v>
      </c>
      <c r="B433" s="183"/>
      <c r="C433" s="183"/>
    </row>
    <row r="434" ht="15.75" customHeight="1">
      <c r="A434" s="183" t="s">
        <v>1661</v>
      </c>
      <c r="B434" s="183" t="s">
        <v>1664</v>
      </c>
      <c r="C434" s="183" t="s">
        <v>1665</v>
      </c>
    </row>
    <row r="435" ht="15.75" customHeight="1">
      <c r="A435" s="183" t="s">
        <v>1667</v>
      </c>
      <c r="B435" s="183" t="s">
        <v>1668</v>
      </c>
      <c r="C435" s="183" t="s">
        <v>1669</v>
      </c>
    </row>
    <row r="436" ht="15.75" customHeight="1">
      <c r="A436" s="183" t="s">
        <v>1670</v>
      </c>
      <c r="B436" s="183" t="s">
        <v>1671</v>
      </c>
      <c r="C436" s="183" t="s">
        <v>1672</v>
      </c>
    </row>
    <row r="437" ht="15.75" customHeight="1">
      <c r="A437" s="183" t="s">
        <v>1673</v>
      </c>
      <c r="B437" s="183" t="s">
        <v>1675</v>
      </c>
      <c r="C437" s="183" t="s">
        <v>1676</v>
      </c>
    </row>
    <row r="438" ht="15.75" customHeight="1">
      <c r="A438" s="183" t="s">
        <v>1677</v>
      </c>
      <c r="B438" s="183" t="s">
        <v>1682</v>
      </c>
      <c r="C438" s="183" t="s">
        <v>1683</v>
      </c>
    </row>
    <row r="439" ht="15.75" customHeight="1">
      <c r="A439" s="183" t="s">
        <v>1684</v>
      </c>
      <c r="B439" s="183" t="s">
        <v>1685</v>
      </c>
      <c r="C439" s="183" t="s">
        <v>1686</v>
      </c>
    </row>
    <row r="440" ht="15.75" customHeight="1">
      <c r="A440" s="183" t="s">
        <v>1687</v>
      </c>
      <c r="B440" s="183" t="s">
        <v>1689</v>
      </c>
      <c r="C440" s="183" t="s">
        <v>1690</v>
      </c>
    </row>
    <row r="441" ht="15.75" customHeight="1">
      <c r="A441" s="183" t="s">
        <v>1692</v>
      </c>
      <c r="B441" s="183" t="s">
        <v>1693</v>
      </c>
      <c r="C441" s="183" t="s">
        <v>1694</v>
      </c>
    </row>
    <row r="442" ht="15.75" customHeight="1">
      <c r="A442" s="183" t="s">
        <v>1696</v>
      </c>
      <c r="B442" s="183" t="s">
        <v>1697</v>
      </c>
      <c r="C442" s="183" t="s">
        <v>1698</v>
      </c>
    </row>
    <row r="443" ht="15.75" customHeight="1">
      <c r="A443" s="183" t="s">
        <v>1699</v>
      </c>
      <c r="B443" s="183" t="s">
        <v>1700</v>
      </c>
      <c r="C443" s="183" t="s">
        <v>1701</v>
      </c>
    </row>
    <row r="444" ht="15.75" customHeight="1">
      <c r="A444" s="183" t="s">
        <v>1703</v>
      </c>
      <c r="B444" s="183"/>
      <c r="C444" s="183" t="s">
        <v>1704</v>
      </c>
    </row>
    <row r="445" ht="15.75" customHeight="1">
      <c r="A445" s="183" t="s">
        <v>1705</v>
      </c>
      <c r="B445" s="183" t="s">
        <v>1706</v>
      </c>
      <c r="C445" s="183" t="s">
        <v>1707</v>
      </c>
    </row>
    <row r="446" ht="15.75" customHeight="1">
      <c r="A446" s="183" t="s">
        <v>1708</v>
      </c>
      <c r="B446" s="183" t="s">
        <v>1709</v>
      </c>
      <c r="C446" s="183" t="s">
        <v>1710</v>
      </c>
    </row>
    <row r="447" ht="15.75" customHeight="1">
      <c r="A447" s="183" t="s">
        <v>1711</v>
      </c>
      <c r="B447" s="183" t="s">
        <v>1712</v>
      </c>
      <c r="C447" s="183" t="s">
        <v>1713</v>
      </c>
    </row>
    <row r="448" ht="15.75" customHeight="1">
      <c r="A448" s="183" t="s">
        <v>1715</v>
      </c>
      <c r="B448" s="183" t="s">
        <v>1716</v>
      </c>
      <c r="C448" s="183" t="s">
        <v>1717</v>
      </c>
    </row>
    <row r="449" ht="15.75" customHeight="1">
      <c r="A449" s="183" t="s">
        <v>1718</v>
      </c>
      <c r="B449" s="183" t="s">
        <v>1719</v>
      </c>
      <c r="C449" s="183" t="s">
        <v>1720</v>
      </c>
    </row>
    <row r="450" ht="15.75" customHeight="1">
      <c r="A450" s="183" t="s">
        <v>1721</v>
      </c>
      <c r="B450" s="183" t="s">
        <v>1722</v>
      </c>
      <c r="C450" s="183" t="s">
        <v>1723</v>
      </c>
    </row>
    <row r="451" ht="15.75" customHeight="1">
      <c r="A451" s="183" t="s">
        <v>1725</v>
      </c>
      <c r="B451" s="183" t="s">
        <v>1726</v>
      </c>
      <c r="C451" s="183" t="s">
        <v>1727</v>
      </c>
    </row>
    <row r="452" ht="15.75" customHeight="1">
      <c r="A452" s="183" t="s">
        <v>1729</v>
      </c>
      <c r="B452" s="183" t="s">
        <v>1730</v>
      </c>
      <c r="C452" s="183" t="s">
        <v>1731</v>
      </c>
    </row>
    <row r="453" ht="15.75" customHeight="1">
      <c r="A453" s="183" t="s">
        <v>1732</v>
      </c>
      <c r="B453" s="183" t="s">
        <v>1733</v>
      </c>
      <c r="C453" s="183" t="s">
        <v>1734</v>
      </c>
    </row>
    <row r="454" ht="15.75" customHeight="1">
      <c r="A454" s="183" t="s">
        <v>1735</v>
      </c>
      <c r="B454" s="183" t="s">
        <v>1736</v>
      </c>
      <c r="C454" s="183" t="s">
        <v>1737</v>
      </c>
    </row>
    <row r="455" ht="15.75" customHeight="1">
      <c r="A455" s="183" t="s">
        <v>1738</v>
      </c>
      <c r="B455" s="183" t="s">
        <v>1739</v>
      </c>
      <c r="C455" s="183"/>
    </row>
    <row r="456" ht="15.75" customHeight="1">
      <c r="A456" s="183" t="s">
        <v>1740</v>
      </c>
      <c r="B456" s="183" t="s">
        <v>1741</v>
      </c>
      <c r="C456" s="183" t="s">
        <v>1742</v>
      </c>
    </row>
    <row r="457" ht="15.75" customHeight="1">
      <c r="A457" s="183" t="s">
        <v>1743</v>
      </c>
      <c r="B457" s="183" t="s">
        <v>1744</v>
      </c>
      <c r="C457" s="183" t="s">
        <v>1745</v>
      </c>
    </row>
    <row r="458" ht="15.75" customHeight="1">
      <c r="A458" s="183" t="s">
        <v>1746</v>
      </c>
      <c r="B458" s="183" t="s">
        <v>1747</v>
      </c>
      <c r="C458" s="183" t="s">
        <v>1749</v>
      </c>
    </row>
    <row r="459" ht="15.75" customHeight="1">
      <c r="A459" s="183" t="s">
        <v>1750</v>
      </c>
      <c r="B459" s="183" t="s">
        <v>1751</v>
      </c>
      <c r="C459" s="183" t="s">
        <v>1752</v>
      </c>
    </row>
    <row r="460" ht="15.75" customHeight="1">
      <c r="A460" s="183" t="s">
        <v>1753</v>
      </c>
      <c r="B460" s="183" t="s">
        <v>1754</v>
      </c>
      <c r="C460" s="183" t="s">
        <v>1755</v>
      </c>
    </row>
    <row r="461" ht="15.75" customHeight="1">
      <c r="A461" s="183" t="s">
        <v>1756</v>
      </c>
      <c r="B461" s="183" t="s">
        <v>1757</v>
      </c>
      <c r="C461" s="183" t="s">
        <v>1758</v>
      </c>
    </row>
    <row r="462" ht="15.75" customHeight="1">
      <c r="A462" s="183" t="s">
        <v>1760</v>
      </c>
      <c r="B462" s="183" t="s">
        <v>1762</v>
      </c>
      <c r="C462" s="183" t="s">
        <v>1763</v>
      </c>
    </row>
    <row r="463" ht="15.75" customHeight="1">
      <c r="A463" s="183" t="s">
        <v>1764</v>
      </c>
      <c r="B463" s="183" t="s">
        <v>1765</v>
      </c>
      <c r="C463" s="183" t="s">
        <v>1766</v>
      </c>
    </row>
    <row r="464" ht="15.75" customHeight="1">
      <c r="A464" s="183" t="s">
        <v>1767</v>
      </c>
      <c r="B464" s="183" t="s">
        <v>1768</v>
      </c>
      <c r="C464" s="183" t="s">
        <v>1769</v>
      </c>
    </row>
    <row r="465" ht="15.75" customHeight="1">
      <c r="A465" s="183" t="s">
        <v>1770</v>
      </c>
      <c r="B465" s="183" t="s">
        <v>1772</v>
      </c>
      <c r="C465" s="183" t="s">
        <v>1774</v>
      </c>
    </row>
    <row r="466" ht="15.75" customHeight="1">
      <c r="A466" s="183" t="s">
        <v>1776</v>
      </c>
      <c r="B466" s="183"/>
      <c r="C466" s="183" t="s">
        <v>1777</v>
      </c>
    </row>
    <row r="467" ht="15.75" customHeight="1">
      <c r="A467" s="183" t="s">
        <v>1778</v>
      </c>
      <c r="B467" s="183" t="s">
        <v>1780</v>
      </c>
      <c r="C467" s="183" t="s">
        <v>1781</v>
      </c>
    </row>
    <row r="468" ht="15.75" customHeight="1">
      <c r="A468" s="183" t="s">
        <v>1782</v>
      </c>
      <c r="B468" s="183"/>
      <c r="C468" s="183"/>
    </row>
    <row r="469" ht="15.75" customHeight="1">
      <c r="A469" s="183" t="s">
        <v>1784</v>
      </c>
      <c r="B469" s="183" t="s">
        <v>1785</v>
      </c>
      <c r="C469" s="183"/>
    </row>
    <row r="470" ht="15.75" customHeight="1">
      <c r="A470" s="183" t="s">
        <v>1786</v>
      </c>
      <c r="B470" s="183" t="s">
        <v>1787</v>
      </c>
      <c r="C470" s="183" t="s">
        <v>1788</v>
      </c>
    </row>
    <row r="471" ht="15.75" customHeight="1">
      <c r="A471" s="183" t="s">
        <v>1789</v>
      </c>
      <c r="B471" s="183" t="s">
        <v>1791</v>
      </c>
      <c r="C471" s="183" t="s">
        <v>1792</v>
      </c>
    </row>
    <row r="472" ht="15.75" customHeight="1">
      <c r="A472" s="183" t="s">
        <v>1794</v>
      </c>
      <c r="B472" s="183" t="s">
        <v>1795</v>
      </c>
      <c r="C472" s="183" t="s">
        <v>1796</v>
      </c>
    </row>
    <row r="473" ht="15.75" customHeight="1">
      <c r="A473" s="183" t="s">
        <v>1797</v>
      </c>
      <c r="B473" s="183" t="s">
        <v>1798</v>
      </c>
      <c r="C473" s="183" t="s">
        <v>1799</v>
      </c>
    </row>
    <row r="474" ht="15.75" customHeight="1">
      <c r="A474" s="183" t="s">
        <v>1800</v>
      </c>
      <c r="B474" s="183" t="s">
        <v>1801</v>
      </c>
      <c r="C474" s="183" t="s">
        <v>1802</v>
      </c>
    </row>
    <row r="475" ht="15.75" customHeight="1">
      <c r="A475" s="183" t="s">
        <v>1804</v>
      </c>
      <c r="B475" s="183"/>
      <c r="C475" s="183"/>
    </row>
    <row r="476" ht="15.75" customHeight="1">
      <c r="A476" s="183" t="s">
        <v>1807</v>
      </c>
      <c r="B476" s="183"/>
      <c r="C476" s="183" t="s">
        <v>1808</v>
      </c>
    </row>
    <row r="477" ht="15.75" customHeight="1">
      <c r="A477" s="183" t="s">
        <v>1809</v>
      </c>
      <c r="B477" s="183" t="s">
        <v>1810</v>
      </c>
      <c r="C477" s="183" t="s">
        <v>1812</v>
      </c>
    </row>
    <row r="478" ht="15.75" customHeight="1">
      <c r="A478" s="183" t="s">
        <v>1813</v>
      </c>
      <c r="B478" s="183" t="s">
        <v>1814</v>
      </c>
      <c r="C478" s="183" t="s">
        <v>1815</v>
      </c>
    </row>
    <row r="479" ht="15.75" customHeight="1">
      <c r="A479" s="183" t="s">
        <v>1817</v>
      </c>
      <c r="B479" s="183" t="s">
        <v>1818</v>
      </c>
      <c r="C479" s="183" t="s">
        <v>1819</v>
      </c>
    </row>
    <row r="480" ht="15.75" customHeight="1">
      <c r="A480" s="183" t="s">
        <v>1820</v>
      </c>
      <c r="B480" s="183" t="s">
        <v>1821</v>
      </c>
      <c r="C480" s="183" t="s">
        <v>1822</v>
      </c>
    </row>
    <row r="481" ht="15.75" customHeight="1">
      <c r="A481" s="183" t="s">
        <v>1823</v>
      </c>
      <c r="B481" s="183" t="s">
        <v>1824</v>
      </c>
      <c r="C481" s="183" t="s">
        <v>1825</v>
      </c>
    </row>
    <row r="482" ht="15.75" customHeight="1">
      <c r="A482" s="183" t="s">
        <v>1827</v>
      </c>
      <c r="B482" s="183" t="s">
        <v>1828</v>
      </c>
      <c r="C482" s="183" t="s">
        <v>1829</v>
      </c>
    </row>
    <row r="483" ht="15.75" customHeight="1">
      <c r="A483" s="183" t="s">
        <v>1830</v>
      </c>
      <c r="B483" s="183" t="s">
        <v>1831</v>
      </c>
      <c r="C483" s="183" t="s">
        <v>1829</v>
      </c>
    </row>
    <row r="484" ht="15.75" customHeight="1">
      <c r="A484" s="183" t="s">
        <v>1832</v>
      </c>
      <c r="B484" s="183" t="s">
        <v>1833</v>
      </c>
      <c r="C484" s="183" t="s">
        <v>1834</v>
      </c>
    </row>
    <row r="485" ht="15.75" customHeight="1">
      <c r="A485" s="183" t="s">
        <v>1835</v>
      </c>
      <c r="B485" s="183" t="s">
        <v>1836</v>
      </c>
      <c r="C485" s="183" t="s">
        <v>1837</v>
      </c>
    </row>
    <row r="486" ht="15.75" customHeight="1">
      <c r="A486" s="183" t="s">
        <v>1839</v>
      </c>
      <c r="B486" s="183" t="s">
        <v>1840</v>
      </c>
      <c r="C486" s="183" t="s">
        <v>1841</v>
      </c>
    </row>
    <row r="487" ht="15.75" customHeight="1">
      <c r="A487" s="183" t="s">
        <v>1842</v>
      </c>
      <c r="B487" s="183" t="s">
        <v>1843</v>
      </c>
      <c r="C487" s="183" t="s">
        <v>1844</v>
      </c>
    </row>
    <row r="488" ht="15.75" customHeight="1">
      <c r="A488" s="183" t="s">
        <v>1846</v>
      </c>
      <c r="B488" s="183" t="s">
        <v>1847</v>
      </c>
      <c r="C488" s="183" t="s">
        <v>1848</v>
      </c>
    </row>
    <row r="489" ht="15.75" customHeight="1">
      <c r="A489" s="183" t="s">
        <v>1849</v>
      </c>
      <c r="B489" s="183" t="s">
        <v>1850</v>
      </c>
      <c r="C489" s="183" t="s">
        <v>1851</v>
      </c>
    </row>
    <row r="490" ht="15.75" customHeight="1">
      <c r="A490" s="183" t="s">
        <v>1852</v>
      </c>
      <c r="B490" s="183" t="s">
        <v>1854</v>
      </c>
      <c r="C490" s="183" t="s">
        <v>1855</v>
      </c>
    </row>
    <row r="491" ht="15.75" customHeight="1">
      <c r="A491" s="183" t="s">
        <v>1856</v>
      </c>
      <c r="B491" s="183" t="s">
        <v>1857</v>
      </c>
      <c r="C491" s="183" t="s">
        <v>1858</v>
      </c>
    </row>
    <row r="492" ht="15.75" customHeight="1">
      <c r="A492" s="183" t="s">
        <v>1859</v>
      </c>
      <c r="B492" s="183" t="s">
        <v>1860</v>
      </c>
      <c r="C492" s="183" t="s">
        <v>1861</v>
      </c>
    </row>
    <row r="493" ht="15.75" customHeight="1">
      <c r="A493" s="183" t="s">
        <v>1862</v>
      </c>
      <c r="B493" s="183" t="s">
        <v>1863</v>
      </c>
      <c r="C493" s="183" t="s">
        <v>1864</v>
      </c>
    </row>
    <row r="494" ht="15.75" customHeight="1">
      <c r="A494" s="183" t="s">
        <v>1865</v>
      </c>
      <c r="B494" s="183" t="s">
        <v>1866</v>
      </c>
      <c r="C494" s="183" t="s">
        <v>1867</v>
      </c>
    </row>
    <row r="495" ht="15.75" customHeight="1">
      <c r="A495" s="183" t="s">
        <v>1868</v>
      </c>
      <c r="B495" s="183" t="s">
        <v>1869</v>
      </c>
      <c r="C495" s="183" t="s">
        <v>1870</v>
      </c>
    </row>
    <row r="496" ht="15.75" customHeight="1">
      <c r="A496" s="183" t="s">
        <v>1871</v>
      </c>
      <c r="B496" s="183" t="s">
        <v>1872</v>
      </c>
      <c r="C496" s="183" t="s">
        <v>1873</v>
      </c>
    </row>
    <row r="497" ht="15.75" customHeight="1">
      <c r="A497" s="183" t="s">
        <v>1874</v>
      </c>
      <c r="B497" s="183" t="s">
        <v>1875</v>
      </c>
      <c r="C497" s="183" t="s">
        <v>1876</v>
      </c>
    </row>
    <row r="498" ht="15.75" customHeight="1">
      <c r="A498" s="183" t="s">
        <v>1877</v>
      </c>
      <c r="B498" s="183" t="s">
        <v>1878</v>
      </c>
      <c r="C498" s="183" t="s">
        <v>1880</v>
      </c>
    </row>
    <row r="499" ht="15.75" customHeight="1">
      <c r="A499" s="183" t="s">
        <v>1881</v>
      </c>
      <c r="B499" s="183" t="s">
        <v>1882</v>
      </c>
      <c r="C499" s="183" t="s">
        <v>1883</v>
      </c>
    </row>
    <row r="500" ht="15.75" customHeight="1">
      <c r="A500" s="183" t="s">
        <v>1884</v>
      </c>
      <c r="B500" s="183" t="s">
        <v>1885</v>
      </c>
      <c r="C500" s="183" t="s">
        <v>1886</v>
      </c>
    </row>
    <row r="501" ht="15.75" customHeight="1">
      <c r="A501" s="183" t="s">
        <v>1887</v>
      </c>
      <c r="B501" s="183" t="s">
        <v>1888</v>
      </c>
      <c r="C501" s="183" t="s">
        <v>1889</v>
      </c>
    </row>
    <row r="502" ht="15.75" customHeight="1">
      <c r="A502" s="183" t="s">
        <v>1890</v>
      </c>
      <c r="B502" s="183" t="s">
        <v>1891</v>
      </c>
      <c r="C502" s="183" t="s">
        <v>1892</v>
      </c>
    </row>
    <row r="503" ht="15.75" customHeight="1">
      <c r="A503" s="183" t="s">
        <v>1893</v>
      </c>
      <c r="B503" s="183" t="s">
        <v>1894</v>
      </c>
      <c r="C503" s="183" t="s">
        <v>1895</v>
      </c>
    </row>
    <row r="504" ht="15.75" customHeight="1">
      <c r="A504" s="183" t="s">
        <v>1896</v>
      </c>
      <c r="B504" s="183" t="s">
        <v>1897</v>
      </c>
      <c r="C504" s="183" t="s">
        <v>1898</v>
      </c>
    </row>
    <row r="505" ht="15.75" customHeight="1">
      <c r="A505" s="183" t="s">
        <v>1899</v>
      </c>
      <c r="B505" s="183" t="s">
        <v>1900</v>
      </c>
      <c r="C505" s="183" t="s">
        <v>1901</v>
      </c>
    </row>
    <row r="506" ht="15.75" customHeight="1">
      <c r="A506" s="183" t="s">
        <v>1902</v>
      </c>
      <c r="B506" s="183" t="s">
        <v>1903</v>
      </c>
      <c r="C506" s="183" t="s">
        <v>1707</v>
      </c>
    </row>
    <row r="507" ht="15.75" customHeight="1">
      <c r="A507" s="183" t="s">
        <v>1904</v>
      </c>
      <c r="B507" s="183" t="s">
        <v>1905</v>
      </c>
      <c r="C507" s="183" t="s">
        <v>1906</v>
      </c>
    </row>
    <row r="508" ht="15.75" customHeight="1">
      <c r="A508" s="183" t="s">
        <v>1907</v>
      </c>
      <c r="B508" s="183" t="s">
        <v>1909</v>
      </c>
      <c r="C508" s="183" t="s">
        <v>1910</v>
      </c>
    </row>
    <row r="509" ht="15.75" customHeight="1">
      <c r="A509" s="183" t="s">
        <v>1911</v>
      </c>
      <c r="B509" s="183" t="s">
        <v>1913</v>
      </c>
      <c r="C509" s="183" t="s">
        <v>1914</v>
      </c>
    </row>
    <row r="510" ht="15.75" customHeight="1">
      <c r="A510" s="183" t="s">
        <v>1915</v>
      </c>
      <c r="B510" s="183" t="s">
        <v>1916</v>
      </c>
      <c r="C510" s="183" t="s">
        <v>1917</v>
      </c>
    </row>
    <row r="511" ht="15.75" customHeight="1">
      <c r="A511" s="183" t="s">
        <v>1918</v>
      </c>
      <c r="B511" s="183" t="s">
        <v>1919</v>
      </c>
      <c r="C511" s="183" t="s">
        <v>1921</v>
      </c>
    </row>
    <row r="512" ht="15.75" customHeight="1">
      <c r="A512" s="183" t="s">
        <v>1922</v>
      </c>
      <c r="B512" s="183" t="s">
        <v>1923</v>
      </c>
      <c r="C512" s="183" t="s">
        <v>1924</v>
      </c>
    </row>
    <row r="513" ht="15.75" customHeight="1">
      <c r="A513" s="183" t="s">
        <v>1925</v>
      </c>
      <c r="B513" s="183"/>
      <c r="C513" s="183" t="s">
        <v>1441</v>
      </c>
    </row>
    <row r="514" ht="15.75" customHeight="1">
      <c r="A514" s="183" t="s">
        <v>1926</v>
      </c>
      <c r="B514" s="183" t="s">
        <v>1927</v>
      </c>
      <c r="C514" s="183" t="s">
        <v>1928</v>
      </c>
    </row>
    <row r="515" ht="15.75" customHeight="1">
      <c r="A515" s="183" t="s">
        <v>1929</v>
      </c>
      <c r="B515" s="183" t="s">
        <v>1931</v>
      </c>
      <c r="C515" s="183" t="s">
        <v>1932</v>
      </c>
    </row>
    <row r="516" ht="15.75" customHeight="1">
      <c r="A516" s="183" t="s">
        <v>1933</v>
      </c>
      <c r="B516" s="183" t="s">
        <v>1934</v>
      </c>
      <c r="C516" s="183" t="s">
        <v>1935</v>
      </c>
    </row>
    <row r="517" ht="15.75" customHeight="1">
      <c r="A517" s="183" t="s">
        <v>1936</v>
      </c>
      <c r="B517" s="183" t="s">
        <v>1937</v>
      </c>
      <c r="C517" s="183" t="s">
        <v>1938</v>
      </c>
    </row>
    <row r="518" ht="15.75" customHeight="1">
      <c r="A518" s="183" t="s">
        <v>1939</v>
      </c>
      <c r="B518" s="183"/>
      <c r="C518" s="183" t="s">
        <v>1441</v>
      </c>
    </row>
    <row r="519" ht="15.75" customHeight="1">
      <c r="A519" s="183" t="s">
        <v>1941</v>
      </c>
      <c r="B519" s="183" t="s">
        <v>1942</v>
      </c>
      <c r="C519" s="183" t="s">
        <v>1944</v>
      </c>
    </row>
    <row r="520" ht="15.75" customHeight="1">
      <c r="A520" s="183" t="s">
        <v>1945</v>
      </c>
      <c r="B520" s="183"/>
      <c r="C520" s="183" t="s">
        <v>1441</v>
      </c>
    </row>
    <row r="521" ht="15.75" customHeight="1">
      <c r="A521" s="183" t="s">
        <v>1946</v>
      </c>
      <c r="B521" s="183" t="s">
        <v>1947</v>
      </c>
      <c r="C521" s="183" t="s">
        <v>1948</v>
      </c>
    </row>
    <row r="522" ht="15.75" customHeight="1">
      <c r="A522" s="183" t="s">
        <v>1949</v>
      </c>
      <c r="B522" s="183" t="s">
        <v>1951</v>
      </c>
      <c r="C522" s="183" t="s">
        <v>1952</v>
      </c>
    </row>
    <row r="523" ht="15.75" customHeight="1">
      <c r="A523" s="183" t="s">
        <v>1953</v>
      </c>
      <c r="B523" s="183" t="s">
        <v>1954</v>
      </c>
      <c r="C523" s="183" t="s">
        <v>1955</v>
      </c>
    </row>
    <row r="524" ht="15.75" customHeight="1">
      <c r="A524" s="183" t="s">
        <v>1956</v>
      </c>
      <c r="B524" s="183"/>
      <c r="C524" s="183" t="s">
        <v>1441</v>
      </c>
    </row>
    <row r="525" ht="15.75" customHeight="1">
      <c r="A525" s="183" t="s">
        <v>1957</v>
      </c>
      <c r="B525" s="183" t="s">
        <v>1958</v>
      </c>
      <c r="C525" s="183" t="s">
        <v>1959</v>
      </c>
    </row>
    <row r="526" ht="15.75" customHeight="1">
      <c r="A526" s="183" t="s">
        <v>1960</v>
      </c>
      <c r="B526" s="183" t="s">
        <v>1962</v>
      </c>
      <c r="C526" s="183" t="s">
        <v>1963</v>
      </c>
    </row>
    <row r="527" ht="15.75" customHeight="1">
      <c r="A527" s="183" t="s">
        <v>1964</v>
      </c>
      <c r="B527" s="183"/>
      <c r="C527" s="183" t="s">
        <v>1965</v>
      </c>
    </row>
    <row r="528" ht="15.75" customHeight="1">
      <c r="A528" s="183" t="s">
        <v>1966</v>
      </c>
      <c r="B528" s="183" t="s">
        <v>1967</v>
      </c>
      <c r="C528" s="183" t="s">
        <v>1968</v>
      </c>
    </row>
    <row r="529" ht="15.75" customHeight="1">
      <c r="A529" s="183" t="s">
        <v>1969</v>
      </c>
      <c r="B529" s="183" t="s">
        <v>1971</v>
      </c>
      <c r="C529" s="183" t="s">
        <v>1972</v>
      </c>
    </row>
    <row r="530" ht="15.75" customHeight="1">
      <c r="A530" s="183" t="s">
        <v>1973</v>
      </c>
      <c r="B530" s="183" t="s">
        <v>1974</v>
      </c>
      <c r="C530" s="183" t="s">
        <v>790</v>
      </c>
    </row>
    <row r="531" ht="15.75" customHeight="1">
      <c r="A531" s="183" t="s">
        <v>1975</v>
      </c>
      <c r="B531" s="183"/>
      <c r="C531" s="183"/>
    </row>
    <row r="532" ht="15.75" customHeight="1">
      <c r="A532" s="183" t="s">
        <v>1976</v>
      </c>
      <c r="B532" s="183" t="s">
        <v>1978</v>
      </c>
      <c r="C532" s="183" t="s">
        <v>1979</v>
      </c>
    </row>
    <row r="533" ht="15.75" customHeight="1">
      <c r="A533" s="183" t="s">
        <v>1981</v>
      </c>
      <c r="B533" s="183"/>
      <c r="C533" s="183"/>
    </row>
    <row r="534" ht="15.75" customHeight="1">
      <c r="A534" s="183" t="s">
        <v>1984</v>
      </c>
      <c r="B534" s="183" t="s">
        <v>1986</v>
      </c>
      <c r="C534" s="183" t="s">
        <v>1987</v>
      </c>
    </row>
    <row r="535" ht="15.75" customHeight="1">
      <c r="A535" s="183" t="s">
        <v>1988</v>
      </c>
      <c r="B535" s="183"/>
      <c r="C535" s="183"/>
    </row>
    <row r="536" ht="15.75" customHeight="1">
      <c r="A536" s="183" t="s">
        <v>1990</v>
      </c>
      <c r="B536" s="183" t="s">
        <v>1991</v>
      </c>
      <c r="C536" s="183" t="s">
        <v>1992</v>
      </c>
    </row>
    <row r="537" ht="15.75" customHeight="1">
      <c r="A537" s="183" t="s">
        <v>1993</v>
      </c>
      <c r="B537" s="183" t="s">
        <v>1994</v>
      </c>
      <c r="C537" s="183" t="s">
        <v>1995</v>
      </c>
    </row>
    <row r="538" ht="15.75" customHeight="1">
      <c r="A538" s="183" t="s">
        <v>1996</v>
      </c>
      <c r="B538" s="183" t="s">
        <v>1997</v>
      </c>
      <c r="C538" s="183" t="s">
        <v>1999</v>
      </c>
    </row>
    <row r="539" ht="15.75" customHeight="1">
      <c r="A539" s="183" t="s">
        <v>2000</v>
      </c>
      <c r="B539" s="183" t="s">
        <v>2001</v>
      </c>
      <c r="C539" s="183" t="s">
        <v>2002</v>
      </c>
    </row>
    <row r="540" ht="15.75" customHeight="1">
      <c r="A540" s="183" t="s">
        <v>2003</v>
      </c>
      <c r="B540" s="183" t="s">
        <v>2004</v>
      </c>
      <c r="C540" s="183" t="s">
        <v>2005</v>
      </c>
    </row>
    <row r="541" ht="15.75" customHeight="1">
      <c r="A541" s="183" t="s">
        <v>2006</v>
      </c>
      <c r="B541" s="183" t="s">
        <v>2007</v>
      </c>
      <c r="C541" s="183" t="s">
        <v>2008</v>
      </c>
    </row>
    <row r="542" ht="15.75" customHeight="1">
      <c r="A542" s="183" t="s">
        <v>2010</v>
      </c>
      <c r="B542" s="183" t="s">
        <v>2011</v>
      </c>
      <c r="C542" s="183" t="s">
        <v>2012</v>
      </c>
    </row>
    <row r="543" ht="15.75" customHeight="1">
      <c r="A543" s="183" t="s">
        <v>2013</v>
      </c>
      <c r="B543" s="183" t="s">
        <v>2014</v>
      </c>
      <c r="C543" s="183" t="s">
        <v>2015</v>
      </c>
    </row>
    <row r="544" ht="15.75" customHeight="1">
      <c r="A544" s="183" t="s">
        <v>2016</v>
      </c>
      <c r="B544" s="183" t="s">
        <v>2017</v>
      </c>
      <c r="C544" s="183"/>
    </row>
    <row r="545" ht="15.75" customHeight="1">
      <c r="A545" s="183" t="s">
        <v>2019</v>
      </c>
      <c r="B545" s="183" t="s">
        <v>2020</v>
      </c>
      <c r="C545" s="183" t="s">
        <v>2021</v>
      </c>
    </row>
    <row r="546" ht="15.75" customHeight="1">
      <c r="A546" s="183" t="s">
        <v>2023</v>
      </c>
      <c r="B546" s="183" t="s">
        <v>2024</v>
      </c>
      <c r="C546" s="183" t="s">
        <v>2025</v>
      </c>
    </row>
    <row r="547" ht="15.75" customHeight="1">
      <c r="A547" s="183" t="s">
        <v>2026</v>
      </c>
      <c r="B547" s="183" t="s">
        <v>2027</v>
      </c>
      <c r="C547" s="183" t="s">
        <v>2028</v>
      </c>
    </row>
    <row r="548" ht="15.75" customHeight="1">
      <c r="A548" s="183" t="s">
        <v>2029</v>
      </c>
      <c r="B548" s="183" t="s">
        <v>2030</v>
      </c>
      <c r="C548" s="183" t="s">
        <v>2031</v>
      </c>
    </row>
    <row r="549" ht="15.75" customHeight="1">
      <c r="A549" s="183" t="s">
        <v>2033</v>
      </c>
      <c r="B549" s="183" t="s">
        <v>2034</v>
      </c>
      <c r="C549" s="183" t="s">
        <v>2035</v>
      </c>
    </row>
    <row r="550" ht="15.75" customHeight="1">
      <c r="A550" s="183" t="s">
        <v>2036</v>
      </c>
      <c r="B550" s="183" t="s">
        <v>2037</v>
      </c>
      <c r="C550" s="183" t="s">
        <v>2038</v>
      </c>
    </row>
    <row r="551" ht="15.75" customHeight="1">
      <c r="A551" s="183" t="s">
        <v>2039</v>
      </c>
      <c r="B551" s="183" t="s">
        <v>2040</v>
      </c>
      <c r="C551" s="183" t="s">
        <v>2041</v>
      </c>
    </row>
    <row r="552" ht="15.75" customHeight="1">
      <c r="A552" s="183" t="s">
        <v>2042</v>
      </c>
      <c r="B552" s="183" t="s">
        <v>2043</v>
      </c>
      <c r="C552" s="183" t="s">
        <v>2044</v>
      </c>
    </row>
    <row r="553" ht="15.75" customHeight="1">
      <c r="A553" s="183" t="s">
        <v>2045</v>
      </c>
      <c r="B553" s="183" t="s">
        <v>2046</v>
      </c>
      <c r="C553" s="183" t="s">
        <v>2047</v>
      </c>
    </row>
    <row r="554" ht="15.75" customHeight="1">
      <c r="A554" s="183" t="s">
        <v>2048</v>
      </c>
      <c r="B554" s="183" t="s">
        <v>2049</v>
      </c>
      <c r="C554" s="183" t="s">
        <v>2050</v>
      </c>
    </row>
    <row r="555" ht="15.75" customHeight="1">
      <c r="A555" s="183" t="s">
        <v>2051</v>
      </c>
      <c r="B555" s="183" t="s">
        <v>2052</v>
      </c>
      <c r="C555" s="183" t="s">
        <v>2053</v>
      </c>
    </row>
    <row r="556" ht="15.75" customHeight="1">
      <c r="A556" s="183" t="s">
        <v>2054</v>
      </c>
      <c r="B556" s="183" t="s">
        <v>2055</v>
      </c>
      <c r="C556" s="183" t="s">
        <v>2056</v>
      </c>
    </row>
    <row r="557" ht="15.75" customHeight="1">
      <c r="A557" s="183" t="s">
        <v>2057</v>
      </c>
      <c r="B557" s="183" t="s">
        <v>2058</v>
      </c>
      <c r="C557" s="183" t="s">
        <v>2059</v>
      </c>
    </row>
    <row r="558" ht="15.75" customHeight="1">
      <c r="A558" s="183" t="s">
        <v>2060</v>
      </c>
      <c r="B558" s="183" t="s">
        <v>2061</v>
      </c>
      <c r="C558" s="183" t="s">
        <v>2062</v>
      </c>
    </row>
    <row r="559" ht="15.75" customHeight="1">
      <c r="A559" s="183" t="s">
        <v>2063</v>
      </c>
      <c r="B559" s="183" t="s">
        <v>2064</v>
      </c>
      <c r="C559" s="183" t="s">
        <v>2065</v>
      </c>
    </row>
    <row r="560" ht="15.75" customHeight="1">
      <c r="A560" s="183" t="s">
        <v>2066</v>
      </c>
      <c r="B560" s="183" t="s">
        <v>2067</v>
      </c>
      <c r="C560" s="183" t="s">
        <v>2068</v>
      </c>
    </row>
    <row r="561" ht="15.75" customHeight="1">
      <c r="A561" s="183" t="s">
        <v>2069</v>
      </c>
      <c r="B561" s="183" t="s">
        <v>2070</v>
      </c>
      <c r="C561" s="183" t="s">
        <v>2071</v>
      </c>
    </row>
    <row r="562" ht="15.75" customHeight="1">
      <c r="A562" s="183" t="s">
        <v>2072</v>
      </c>
      <c r="B562" s="183" t="s">
        <v>2073</v>
      </c>
      <c r="C562" s="183" t="s">
        <v>2074</v>
      </c>
    </row>
    <row r="563" ht="15.75" customHeight="1">
      <c r="A563" s="183" t="s">
        <v>2075</v>
      </c>
      <c r="B563" s="183" t="s">
        <v>2076</v>
      </c>
      <c r="C563" s="183" t="s">
        <v>2077</v>
      </c>
    </row>
    <row r="564" ht="15.75" customHeight="1">
      <c r="A564" s="183" t="s">
        <v>2078</v>
      </c>
      <c r="B564" s="183" t="s">
        <v>2079</v>
      </c>
      <c r="C564" s="183" t="s">
        <v>2080</v>
      </c>
    </row>
    <row r="565" ht="15.75" customHeight="1">
      <c r="A565" s="183" t="s">
        <v>2081</v>
      </c>
      <c r="B565" s="183" t="s">
        <v>2082</v>
      </c>
      <c r="C565" s="183" t="s">
        <v>2083</v>
      </c>
    </row>
    <row r="566" ht="15.75" customHeight="1">
      <c r="A566" s="183" t="s">
        <v>2084</v>
      </c>
      <c r="B566" s="183" t="s">
        <v>2085</v>
      </c>
      <c r="C566" s="183" t="s">
        <v>2086</v>
      </c>
    </row>
    <row r="567" ht="15.75" customHeight="1">
      <c r="A567" s="183" t="s">
        <v>2087</v>
      </c>
      <c r="B567" s="183" t="s">
        <v>2088</v>
      </c>
      <c r="C567" s="183" t="s">
        <v>2089</v>
      </c>
    </row>
    <row r="568" ht="15.75" customHeight="1">
      <c r="A568" s="183" t="s">
        <v>2090</v>
      </c>
      <c r="B568" s="183" t="s">
        <v>2091</v>
      </c>
      <c r="C568" s="183" t="s">
        <v>2092</v>
      </c>
    </row>
    <row r="569" ht="15.75" customHeight="1">
      <c r="A569" s="183" t="s">
        <v>2093</v>
      </c>
      <c r="B569" s="183" t="s">
        <v>2094</v>
      </c>
      <c r="C569" s="183" t="s">
        <v>2095</v>
      </c>
    </row>
    <row r="570" ht="15.75" customHeight="1">
      <c r="A570" s="183" t="s">
        <v>2096</v>
      </c>
      <c r="B570" s="183" t="s">
        <v>2097</v>
      </c>
      <c r="C570" s="183" t="s">
        <v>2098</v>
      </c>
    </row>
    <row r="571" ht="15.75" customHeight="1">
      <c r="A571" s="183" t="s">
        <v>2099</v>
      </c>
      <c r="B571" s="183" t="s">
        <v>2100</v>
      </c>
      <c r="C571" s="183" t="s">
        <v>2101</v>
      </c>
    </row>
    <row r="572" ht="15.75" customHeight="1">
      <c r="A572" s="183" t="s">
        <v>2103</v>
      </c>
      <c r="B572" s="183"/>
      <c r="C572" s="183"/>
    </row>
    <row r="573" ht="15.75" customHeight="1">
      <c r="A573" s="183" t="s">
        <v>2104</v>
      </c>
      <c r="B573" s="183" t="s">
        <v>2105</v>
      </c>
      <c r="C573" s="183" t="s">
        <v>2106</v>
      </c>
    </row>
    <row r="574" ht="15.75" customHeight="1">
      <c r="A574" s="183" t="s">
        <v>2107</v>
      </c>
      <c r="B574" s="183" t="s">
        <v>2108</v>
      </c>
      <c r="C574" s="183" t="s">
        <v>2109</v>
      </c>
    </row>
    <row r="575" ht="15.75" customHeight="1">
      <c r="A575" s="183" t="s">
        <v>2110</v>
      </c>
      <c r="B575" s="183" t="s">
        <v>2111</v>
      </c>
      <c r="C575" s="183" t="s">
        <v>2112</v>
      </c>
    </row>
    <row r="576" ht="15.75" customHeight="1">
      <c r="A576" s="183" t="s">
        <v>2113</v>
      </c>
      <c r="B576" s="183" t="s">
        <v>2114</v>
      </c>
      <c r="C576" s="183" t="s">
        <v>2115</v>
      </c>
    </row>
    <row r="577" ht="15.75" customHeight="1">
      <c r="A577" s="183" t="s">
        <v>2116</v>
      </c>
      <c r="B577" s="183" t="s">
        <v>2117</v>
      </c>
      <c r="C577" s="183" t="s">
        <v>2118</v>
      </c>
    </row>
    <row r="578" ht="15.75" customHeight="1">
      <c r="A578" s="183" t="s">
        <v>2119</v>
      </c>
      <c r="B578" s="183" t="s">
        <v>2120</v>
      </c>
      <c r="C578" s="183" t="s">
        <v>2121</v>
      </c>
    </row>
    <row r="579" ht="15.75" customHeight="1">
      <c r="A579" s="183" t="s">
        <v>2122</v>
      </c>
      <c r="B579" s="183" t="s">
        <v>2123</v>
      </c>
      <c r="C579" s="183" t="s">
        <v>2124</v>
      </c>
    </row>
    <row r="580" ht="15.75" customHeight="1">
      <c r="A580" s="183" t="s">
        <v>2125</v>
      </c>
      <c r="B580" s="183" t="s">
        <v>123</v>
      </c>
      <c r="C580" s="183"/>
    </row>
    <row r="581" ht="15.75" customHeight="1">
      <c r="A581" s="183" t="s">
        <v>2126</v>
      </c>
      <c r="B581" s="183"/>
      <c r="C581" s="183"/>
    </row>
    <row r="582" ht="15.75" customHeight="1">
      <c r="A582" s="183" t="s">
        <v>2127</v>
      </c>
      <c r="B582" s="183" t="s">
        <v>2128</v>
      </c>
      <c r="C582" s="183" t="s">
        <v>2129</v>
      </c>
    </row>
    <row r="583" ht="15.75" customHeight="1">
      <c r="A583" s="183" t="s">
        <v>2130</v>
      </c>
      <c r="B583" s="183" t="s">
        <v>2131</v>
      </c>
      <c r="C583" s="183" t="s">
        <v>2132</v>
      </c>
    </row>
    <row r="584" ht="15.75" customHeight="1">
      <c r="A584" s="183" t="s">
        <v>2133</v>
      </c>
      <c r="B584" s="183"/>
      <c r="C584" s="183"/>
    </row>
    <row r="585" ht="15.75" customHeight="1">
      <c r="A585" s="183" t="s">
        <v>2134</v>
      </c>
      <c r="B585" s="183" t="s">
        <v>2135</v>
      </c>
      <c r="C585" s="183" t="s">
        <v>2136</v>
      </c>
    </row>
    <row r="586" ht="15.75" customHeight="1">
      <c r="A586" s="183" t="s">
        <v>2137</v>
      </c>
      <c r="B586" s="183"/>
      <c r="C586" s="183"/>
    </row>
    <row r="587" ht="15.75" customHeight="1">
      <c r="A587" s="183" t="s">
        <v>2138</v>
      </c>
      <c r="B587" s="183" t="s">
        <v>2139</v>
      </c>
      <c r="C587" s="183" t="s">
        <v>2140</v>
      </c>
    </row>
    <row r="588" ht="15.75" customHeight="1">
      <c r="A588" s="183" t="s">
        <v>2141</v>
      </c>
      <c r="B588" s="183" t="s">
        <v>2142</v>
      </c>
      <c r="C588" s="183" t="s">
        <v>2143</v>
      </c>
    </row>
    <row r="589" ht="15.75" customHeight="1">
      <c r="A589" s="183" t="s">
        <v>2144</v>
      </c>
      <c r="B589" s="183" t="s">
        <v>2145</v>
      </c>
      <c r="C589" s="183" t="s">
        <v>2146</v>
      </c>
    </row>
    <row r="590" ht="15.75" customHeight="1">
      <c r="A590" s="183" t="s">
        <v>2147</v>
      </c>
      <c r="B590" s="183" t="s">
        <v>2148</v>
      </c>
      <c r="C590" s="183" t="s">
        <v>2149</v>
      </c>
    </row>
    <row r="591" ht="15.75" customHeight="1">
      <c r="A591" s="183" t="s">
        <v>2150</v>
      </c>
      <c r="B591" s="183"/>
      <c r="C591" s="183"/>
    </row>
    <row r="592" ht="15.75" customHeight="1">
      <c r="A592" s="183" t="s">
        <v>2151</v>
      </c>
      <c r="B592" s="183"/>
      <c r="C592" s="183"/>
    </row>
    <row r="593" ht="15.75" customHeight="1">
      <c r="A593" s="183" t="s">
        <v>2152</v>
      </c>
      <c r="B593" s="183" t="s">
        <v>2153</v>
      </c>
      <c r="C593" s="183" t="s">
        <v>2154</v>
      </c>
    </row>
    <row r="594" ht="15.75" customHeight="1">
      <c r="A594" s="183" t="s">
        <v>2156</v>
      </c>
      <c r="B594" s="183"/>
      <c r="C594" s="183"/>
    </row>
    <row r="595" ht="15.75" customHeight="1">
      <c r="A595" s="183" t="s">
        <v>2157</v>
      </c>
      <c r="B595" s="183"/>
      <c r="C595" s="183"/>
    </row>
    <row r="596" ht="15.75" customHeight="1">
      <c r="A596" s="183" t="s">
        <v>2158</v>
      </c>
      <c r="B596" s="183" t="s">
        <v>2159</v>
      </c>
      <c r="C596" s="183" t="s">
        <v>2160</v>
      </c>
    </row>
    <row r="597" ht="15.75" customHeight="1">
      <c r="A597" s="183" t="s">
        <v>2161</v>
      </c>
      <c r="B597" s="183"/>
      <c r="C597" s="183"/>
    </row>
    <row r="598" ht="15.75" customHeight="1">
      <c r="A598" s="183" t="s">
        <v>2162</v>
      </c>
      <c r="B598" s="183"/>
      <c r="C598" s="183"/>
    </row>
    <row r="599" ht="15.75" customHeight="1">
      <c r="A599" s="183" t="s">
        <v>2163</v>
      </c>
      <c r="B599" s="183" t="s">
        <v>2164</v>
      </c>
      <c r="C599" s="183" t="s">
        <v>2165</v>
      </c>
    </row>
    <row r="600" ht="15.75" customHeight="1">
      <c r="A600" s="183" t="s">
        <v>2166</v>
      </c>
      <c r="B600" s="183" t="s">
        <v>2167</v>
      </c>
      <c r="C600" s="183" t="s">
        <v>2168</v>
      </c>
    </row>
    <row r="601" ht="15.75" customHeight="1">
      <c r="A601" s="183" t="s">
        <v>2169</v>
      </c>
      <c r="B601" s="183" t="s">
        <v>2170</v>
      </c>
      <c r="C601" s="183" t="s">
        <v>2171</v>
      </c>
    </row>
    <row r="602" ht="15.75" customHeight="1">
      <c r="A602" s="183" t="s">
        <v>2172</v>
      </c>
      <c r="B602" s="183" t="s">
        <v>2173</v>
      </c>
      <c r="C602" s="183" t="s">
        <v>2174</v>
      </c>
    </row>
    <row r="603" ht="15.75" customHeight="1">
      <c r="A603" s="183" t="s">
        <v>2175</v>
      </c>
      <c r="B603" s="183" t="s">
        <v>2176</v>
      </c>
      <c r="C603" s="183"/>
    </row>
    <row r="604" ht="15.75" customHeight="1">
      <c r="A604" s="183" t="s">
        <v>2177</v>
      </c>
      <c r="B604" s="183" t="s">
        <v>2178</v>
      </c>
      <c r="C604" s="183" t="s">
        <v>2179</v>
      </c>
    </row>
    <row r="605" ht="15.75" customHeight="1">
      <c r="A605" s="183" t="s">
        <v>2180</v>
      </c>
      <c r="B605" s="183" t="s">
        <v>2181</v>
      </c>
      <c r="C605" s="183" t="s">
        <v>2182</v>
      </c>
    </row>
    <row r="606" ht="15.75" customHeight="1">
      <c r="A606" s="183" t="s">
        <v>2183</v>
      </c>
      <c r="B606" s="183" t="s">
        <v>2184</v>
      </c>
      <c r="C606" s="183" t="s">
        <v>2185</v>
      </c>
    </row>
    <row r="607" ht="15.75" customHeight="1">
      <c r="A607" s="183" t="s">
        <v>2186</v>
      </c>
      <c r="B607" s="183" t="s">
        <v>2187</v>
      </c>
      <c r="C607" s="183" t="s">
        <v>2188</v>
      </c>
    </row>
    <row r="608" ht="15.75" customHeight="1">
      <c r="A608" s="183" t="s">
        <v>2189</v>
      </c>
      <c r="B608" s="183" t="s">
        <v>2190</v>
      </c>
      <c r="C608" s="183" t="s">
        <v>2191</v>
      </c>
    </row>
    <row r="609" ht="15.75" customHeight="1">
      <c r="A609" s="183" t="s">
        <v>2192</v>
      </c>
      <c r="B609" s="183" t="s">
        <v>2193</v>
      </c>
      <c r="C609" s="183" t="s">
        <v>2194</v>
      </c>
    </row>
    <row r="610" ht="15.75" customHeight="1">
      <c r="A610" s="183" t="s">
        <v>2195</v>
      </c>
      <c r="B610" s="183" t="s">
        <v>2196</v>
      </c>
      <c r="C610" s="183" t="s">
        <v>2197</v>
      </c>
    </row>
    <row r="611" ht="15.75" customHeight="1">
      <c r="A611" s="183" t="s">
        <v>2198</v>
      </c>
      <c r="B611" s="183" t="s">
        <v>2199</v>
      </c>
      <c r="C611" s="183"/>
    </row>
    <row r="612" ht="15.75" customHeight="1">
      <c r="A612" s="183" t="s">
        <v>2200</v>
      </c>
      <c r="B612" s="183"/>
      <c r="C612" s="183"/>
    </row>
    <row r="613" ht="15.75" customHeight="1">
      <c r="A613" s="183" t="s">
        <v>2201</v>
      </c>
      <c r="B613" s="183" t="s">
        <v>2202</v>
      </c>
      <c r="C613" s="183" t="s">
        <v>2203</v>
      </c>
    </row>
    <row r="614" ht="15.75" customHeight="1">
      <c r="A614" s="183" t="s">
        <v>2204</v>
      </c>
      <c r="B614" s="183" t="s">
        <v>2205</v>
      </c>
      <c r="C614" s="183" t="s">
        <v>2206</v>
      </c>
    </row>
    <row r="615" ht="15.75" customHeight="1">
      <c r="A615" s="183" t="s">
        <v>2207</v>
      </c>
      <c r="B615" s="183" t="s">
        <v>2208</v>
      </c>
      <c r="C615" s="183" t="s">
        <v>2209</v>
      </c>
    </row>
    <row r="616" ht="15.75" customHeight="1">
      <c r="A616" s="183" t="s">
        <v>2210</v>
      </c>
      <c r="B616" s="183" t="s">
        <v>2211</v>
      </c>
      <c r="C616" s="183" t="s">
        <v>2212</v>
      </c>
    </row>
    <row r="617" ht="15.75" customHeight="1">
      <c r="A617" s="183" t="s">
        <v>2213</v>
      </c>
      <c r="B617" s="183" t="s">
        <v>2214</v>
      </c>
      <c r="C617" s="183" t="s">
        <v>2215</v>
      </c>
    </row>
    <row r="618" ht="15.75" customHeight="1">
      <c r="A618" s="183" t="s">
        <v>2216</v>
      </c>
      <c r="B618" s="183" t="s">
        <v>2217</v>
      </c>
      <c r="C618" s="183" t="s">
        <v>2218</v>
      </c>
    </row>
    <row r="619" ht="15.75" customHeight="1">
      <c r="A619" s="183" t="s">
        <v>2219</v>
      </c>
      <c r="B619" s="183" t="s">
        <v>2220</v>
      </c>
      <c r="C619" s="183"/>
    </row>
    <row r="620" ht="15.75" customHeight="1">
      <c r="A620" s="183" t="s">
        <v>2221</v>
      </c>
      <c r="B620" s="183" t="s">
        <v>2222</v>
      </c>
      <c r="C620" s="183" t="s">
        <v>2223</v>
      </c>
    </row>
    <row r="621" ht="15.75" customHeight="1">
      <c r="A621" s="183" t="s">
        <v>2224</v>
      </c>
      <c r="B621" s="183" t="s">
        <v>2225</v>
      </c>
      <c r="C621" s="183" t="s">
        <v>2226</v>
      </c>
    </row>
    <row r="622" ht="15.75" customHeight="1">
      <c r="A622" s="183" t="s">
        <v>2227</v>
      </c>
      <c r="B622" s="183" t="s">
        <v>2228</v>
      </c>
      <c r="C622" s="183" t="s">
        <v>2229</v>
      </c>
    </row>
    <row r="623" ht="15.75" customHeight="1">
      <c r="A623" s="183" t="s">
        <v>2230</v>
      </c>
      <c r="B623" s="183" t="s">
        <v>2231</v>
      </c>
      <c r="C623" s="183" t="s">
        <v>2232</v>
      </c>
    </row>
    <row r="624" ht="15.75" customHeight="1">
      <c r="A624" s="183" t="s">
        <v>2233</v>
      </c>
      <c r="B624" s="183" t="s">
        <v>430</v>
      </c>
      <c r="C624" s="183" t="s">
        <v>2234</v>
      </c>
    </row>
    <row r="625" ht="15.75" customHeight="1">
      <c r="A625" s="183" t="s">
        <v>2235</v>
      </c>
      <c r="B625" s="183" t="s">
        <v>430</v>
      </c>
      <c r="C625" s="183" t="s">
        <v>2236</v>
      </c>
    </row>
    <row r="626" ht="15.75" customHeight="1">
      <c r="A626" s="183" t="s">
        <v>2237</v>
      </c>
      <c r="B626" s="183" t="s">
        <v>430</v>
      </c>
      <c r="C626" s="183" t="s">
        <v>2238</v>
      </c>
    </row>
    <row r="627" ht="15.75" customHeight="1">
      <c r="A627" s="183" t="s">
        <v>2239</v>
      </c>
      <c r="B627" s="183" t="s">
        <v>2240</v>
      </c>
      <c r="C627" s="183" t="s">
        <v>2241</v>
      </c>
    </row>
    <row r="628" ht="15.75" customHeight="1">
      <c r="A628" s="183" t="s">
        <v>2242</v>
      </c>
      <c r="B628" s="183" t="s">
        <v>2243</v>
      </c>
      <c r="C628" s="183" t="s">
        <v>2244</v>
      </c>
    </row>
    <row r="629" ht="15.75" customHeight="1">
      <c r="A629" s="183" t="s">
        <v>2245</v>
      </c>
      <c r="B629" s="183" t="s">
        <v>2246</v>
      </c>
      <c r="C629" s="183" t="s">
        <v>2247</v>
      </c>
    </row>
    <row r="630" ht="15.75" customHeight="1">
      <c r="A630" s="183" t="s">
        <v>2248</v>
      </c>
      <c r="B630" s="183" t="s">
        <v>2249</v>
      </c>
      <c r="C630" s="183" t="s">
        <v>2250</v>
      </c>
    </row>
    <row r="631" ht="15.75" customHeight="1">
      <c r="A631" s="183" t="s">
        <v>2251</v>
      </c>
      <c r="B631" s="183" t="s">
        <v>2252</v>
      </c>
      <c r="C631" s="183" t="s">
        <v>2253</v>
      </c>
    </row>
    <row r="632" ht="15.75" customHeight="1">
      <c r="A632" s="183" t="s">
        <v>2254</v>
      </c>
      <c r="B632" s="183" t="s">
        <v>2255</v>
      </c>
      <c r="C632" s="183" t="s">
        <v>2256</v>
      </c>
    </row>
    <row r="633" ht="15.75" customHeight="1">
      <c r="A633" s="183" t="s">
        <v>2257</v>
      </c>
      <c r="B633" s="183" t="s">
        <v>2258</v>
      </c>
      <c r="C633" s="183" t="s">
        <v>2259</v>
      </c>
    </row>
    <row r="634" ht="15.75" customHeight="1">
      <c r="A634" s="183" t="s">
        <v>2260</v>
      </c>
      <c r="B634" s="183" t="s">
        <v>2261</v>
      </c>
      <c r="C634" s="183"/>
    </row>
    <row r="635" ht="15.75" customHeight="1">
      <c r="A635" s="183" t="s">
        <v>2262</v>
      </c>
      <c r="B635" s="183" t="s">
        <v>2263</v>
      </c>
      <c r="C635" s="183" t="s">
        <v>2264</v>
      </c>
    </row>
    <row r="636" ht="15.75" customHeight="1">
      <c r="A636" s="183" t="s">
        <v>2265</v>
      </c>
      <c r="B636" s="183" t="s">
        <v>2266</v>
      </c>
      <c r="C636" s="183" t="s">
        <v>2267</v>
      </c>
    </row>
    <row r="637" ht="15.75" customHeight="1">
      <c r="A637" s="183" t="s">
        <v>2268</v>
      </c>
      <c r="B637" s="183" t="s">
        <v>2269</v>
      </c>
      <c r="C637" s="183" t="s">
        <v>2270</v>
      </c>
    </row>
    <row r="638" ht="15.75" customHeight="1">
      <c r="A638" s="183" t="s">
        <v>2271</v>
      </c>
      <c r="B638" s="183" t="s">
        <v>2272</v>
      </c>
      <c r="C638" s="183" t="s">
        <v>2273</v>
      </c>
    </row>
    <row r="639" ht="15.75" customHeight="1">
      <c r="A639" s="183" t="s">
        <v>2274</v>
      </c>
      <c r="B639" s="183" t="s">
        <v>2275</v>
      </c>
      <c r="C639" s="183" t="s">
        <v>2276</v>
      </c>
    </row>
    <row r="640" ht="15.75" customHeight="1">
      <c r="A640" s="183" t="s">
        <v>2277</v>
      </c>
      <c r="B640" s="183" t="s">
        <v>2278</v>
      </c>
      <c r="C640" s="183" t="s">
        <v>2279</v>
      </c>
    </row>
    <row r="641" ht="15.75" customHeight="1">
      <c r="A641" s="183" t="s">
        <v>2280</v>
      </c>
      <c r="B641" s="183" t="s">
        <v>2281</v>
      </c>
      <c r="C641" s="183"/>
    </row>
    <row r="642" ht="15.75" customHeight="1">
      <c r="A642" s="183" t="s">
        <v>2282</v>
      </c>
      <c r="B642" s="183" t="s">
        <v>2283</v>
      </c>
      <c r="C642" s="183" t="s">
        <v>2284</v>
      </c>
    </row>
    <row r="643" ht="15.75" customHeight="1">
      <c r="A643" s="183" t="s">
        <v>2285</v>
      </c>
      <c r="B643" s="183" t="s">
        <v>2286</v>
      </c>
      <c r="C643" s="183" t="s">
        <v>2287</v>
      </c>
    </row>
    <row r="644" ht="15.75" customHeight="1">
      <c r="A644" s="183" t="s">
        <v>2288</v>
      </c>
      <c r="B644" s="183" t="s">
        <v>2289</v>
      </c>
      <c r="C644" s="183" t="s">
        <v>2290</v>
      </c>
    </row>
    <row r="645" ht="15.75" customHeight="1">
      <c r="A645" s="183" t="s">
        <v>2291</v>
      </c>
      <c r="B645" s="183" t="s">
        <v>2292</v>
      </c>
      <c r="C645" s="183" t="s">
        <v>2293</v>
      </c>
    </row>
    <row r="646" ht="15.75" customHeight="1">
      <c r="A646" s="183" t="s">
        <v>2294</v>
      </c>
      <c r="B646" s="183" t="s">
        <v>2295</v>
      </c>
      <c r="C646" s="183" t="s">
        <v>2296</v>
      </c>
    </row>
    <row r="647" ht="15.75" customHeight="1">
      <c r="A647" s="183" t="s">
        <v>2297</v>
      </c>
      <c r="B647" s="183" t="s">
        <v>2298</v>
      </c>
      <c r="C647" s="183" t="s">
        <v>2299</v>
      </c>
    </row>
    <row r="648" ht="15.75" customHeight="1">
      <c r="A648" s="183" t="s">
        <v>2300</v>
      </c>
      <c r="B648" s="183" t="s">
        <v>2301</v>
      </c>
      <c r="C648" s="183" t="s">
        <v>2302</v>
      </c>
    </row>
    <row r="649" ht="15.75" customHeight="1">
      <c r="A649" s="183" t="s">
        <v>2303</v>
      </c>
      <c r="B649" s="183" t="s">
        <v>2304</v>
      </c>
      <c r="C649" s="183" t="s">
        <v>2302</v>
      </c>
    </row>
    <row r="650" ht="15.75" customHeight="1">
      <c r="A650" s="183" t="s">
        <v>2305</v>
      </c>
      <c r="B650" s="183" t="s">
        <v>123</v>
      </c>
      <c r="C650" s="183"/>
    </row>
    <row r="651" ht="15.75" customHeight="1">
      <c r="A651" s="183" t="s">
        <v>2306</v>
      </c>
      <c r="B651" s="183" t="s">
        <v>2307</v>
      </c>
      <c r="C651" s="183" t="s">
        <v>2308</v>
      </c>
    </row>
    <row r="652" ht="15.75" customHeight="1">
      <c r="A652" s="183" t="s">
        <v>2309</v>
      </c>
      <c r="B652" s="183" t="s">
        <v>2310</v>
      </c>
      <c r="C652" s="183" t="s">
        <v>2311</v>
      </c>
    </row>
    <row r="653" ht="15.75" customHeight="1">
      <c r="A653" s="183" t="s">
        <v>2312</v>
      </c>
      <c r="B653" s="183" t="s">
        <v>2313</v>
      </c>
      <c r="C653" s="183" t="s">
        <v>2314</v>
      </c>
    </row>
    <row r="654" ht="15.75" customHeight="1">
      <c r="A654" s="183" t="s">
        <v>2315</v>
      </c>
      <c r="B654" s="183" t="s">
        <v>2316</v>
      </c>
      <c r="C654" s="183" t="s">
        <v>2317</v>
      </c>
    </row>
    <row r="655" ht="15.75" customHeight="1">
      <c r="A655" s="183" t="s">
        <v>2318</v>
      </c>
      <c r="B655" s="183" t="s">
        <v>2319</v>
      </c>
      <c r="C655" s="183" t="s">
        <v>2320</v>
      </c>
    </row>
    <row r="656" ht="15.75" customHeight="1">
      <c r="A656" s="183" t="s">
        <v>2321</v>
      </c>
      <c r="B656" s="183" t="s">
        <v>2322</v>
      </c>
      <c r="C656" s="183" t="s">
        <v>2323</v>
      </c>
    </row>
    <row r="657" ht="15.75" customHeight="1">
      <c r="A657" s="183" t="s">
        <v>2324</v>
      </c>
      <c r="B657" s="183" t="s">
        <v>2325</v>
      </c>
      <c r="C657" s="183" t="s">
        <v>2326</v>
      </c>
    </row>
    <row r="658" ht="15.75" customHeight="1">
      <c r="A658" s="183" t="s">
        <v>2327</v>
      </c>
      <c r="B658" s="183" t="s">
        <v>2328</v>
      </c>
      <c r="C658" s="183" t="s">
        <v>2329</v>
      </c>
    </row>
    <row r="659" ht="15.75" customHeight="1">
      <c r="A659" s="183" t="s">
        <v>2330</v>
      </c>
      <c r="B659" s="183"/>
      <c r="C659" s="183"/>
    </row>
    <row r="660" ht="15.75" customHeight="1">
      <c r="A660" s="183" t="s">
        <v>2331</v>
      </c>
      <c r="B660" s="183" t="s">
        <v>2332</v>
      </c>
      <c r="C660" s="183" t="s">
        <v>2333</v>
      </c>
    </row>
    <row r="661" ht="15.75" customHeight="1">
      <c r="A661" s="183" t="s">
        <v>2334</v>
      </c>
      <c r="B661" s="183" t="s">
        <v>2335</v>
      </c>
      <c r="C661" s="183" t="s">
        <v>2336</v>
      </c>
    </row>
    <row r="662" ht="15.75" customHeight="1">
      <c r="A662" s="183" t="s">
        <v>2337</v>
      </c>
      <c r="B662" s="183" t="s">
        <v>2338</v>
      </c>
      <c r="C662" s="183" t="s">
        <v>2339</v>
      </c>
    </row>
    <row r="663" ht="15.75" customHeight="1">
      <c r="A663" s="183" t="s">
        <v>2340</v>
      </c>
      <c r="B663" s="183" t="s">
        <v>2341</v>
      </c>
      <c r="C663" s="183" t="s">
        <v>2342</v>
      </c>
    </row>
    <row r="664" ht="15.75" customHeight="1">
      <c r="A664" s="183" t="s">
        <v>2343</v>
      </c>
      <c r="B664" s="183" t="s">
        <v>2344</v>
      </c>
      <c r="C664" s="183" t="s">
        <v>2345</v>
      </c>
    </row>
    <row r="665" ht="15.75" customHeight="1">
      <c r="A665" s="183" t="s">
        <v>2346</v>
      </c>
      <c r="B665" s="183" t="s">
        <v>2347</v>
      </c>
      <c r="C665" s="183" t="s">
        <v>2348</v>
      </c>
    </row>
    <row r="666" ht="15.75" customHeight="1">
      <c r="A666" s="183" t="s">
        <v>2349</v>
      </c>
      <c r="B666" s="183" t="s">
        <v>2350</v>
      </c>
      <c r="C666" s="183" t="s">
        <v>2351</v>
      </c>
    </row>
    <row r="667" ht="15.75" customHeight="1">
      <c r="A667" s="183" t="s">
        <v>2352</v>
      </c>
      <c r="B667" s="183" t="s">
        <v>2353</v>
      </c>
      <c r="C667" s="183" t="s">
        <v>2354</v>
      </c>
    </row>
    <row r="668" ht="15.75" customHeight="1">
      <c r="A668" s="183" t="s">
        <v>2355</v>
      </c>
      <c r="B668" s="183" t="s">
        <v>2356</v>
      </c>
      <c r="C668" s="183"/>
    </row>
    <row r="669" ht="15.75" customHeight="1">
      <c r="A669" s="183" t="s">
        <v>2357</v>
      </c>
      <c r="B669" s="183"/>
      <c r="C669" s="183"/>
    </row>
    <row r="670" ht="15.75" customHeight="1">
      <c r="A670" s="183" t="s">
        <v>2358</v>
      </c>
      <c r="B670" s="183" t="s">
        <v>2359</v>
      </c>
      <c r="C670" s="183" t="s">
        <v>2360</v>
      </c>
    </row>
    <row r="671" ht="15.75" customHeight="1">
      <c r="A671" s="183" t="s">
        <v>2361</v>
      </c>
      <c r="B671" s="183" t="s">
        <v>2362</v>
      </c>
      <c r="C671" s="183"/>
    </row>
    <row r="672" ht="15.75" customHeight="1">
      <c r="A672" s="183" t="s">
        <v>2363</v>
      </c>
      <c r="B672" s="183" t="s">
        <v>2364</v>
      </c>
      <c r="C672" s="183" t="s">
        <v>2365</v>
      </c>
    </row>
    <row r="673" ht="15.75" customHeight="1">
      <c r="A673" s="183" t="s">
        <v>2366</v>
      </c>
      <c r="B673" s="183" t="s">
        <v>2367</v>
      </c>
      <c r="C673" s="183" t="s">
        <v>2368</v>
      </c>
    </row>
    <row r="674" ht="15.75" customHeight="1">
      <c r="A674" s="183" t="s">
        <v>2369</v>
      </c>
      <c r="B674" s="183" t="s">
        <v>2370</v>
      </c>
      <c r="C674" s="183" t="s">
        <v>2371</v>
      </c>
    </row>
    <row r="675" ht="15.75" customHeight="1">
      <c r="A675" s="183" t="s">
        <v>2372</v>
      </c>
      <c r="B675" s="183" t="s">
        <v>2373</v>
      </c>
      <c r="C675" s="183" t="s">
        <v>2374</v>
      </c>
    </row>
    <row r="676" ht="15.75" customHeight="1">
      <c r="A676" s="183" t="s">
        <v>2384</v>
      </c>
      <c r="B676" s="183" t="s">
        <v>2386</v>
      </c>
      <c r="C676" s="183"/>
    </row>
    <row r="677" ht="15.75" customHeight="1">
      <c r="A677" s="183" t="s">
        <v>2387</v>
      </c>
      <c r="B677" s="183"/>
      <c r="C677" s="183"/>
    </row>
    <row r="678" ht="15.75" customHeight="1">
      <c r="A678" s="183" t="s">
        <v>2388</v>
      </c>
      <c r="B678" s="183" t="s">
        <v>2389</v>
      </c>
      <c r="C678" s="183" t="s">
        <v>2391</v>
      </c>
    </row>
    <row r="679" ht="15.75" customHeight="1">
      <c r="A679" s="183" t="s">
        <v>2392</v>
      </c>
      <c r="B679" s="183" t="s">
        <v>2393</v>
      </c>
      <c r="C679" s="183" t="s">
        <v>2394</v>
      </c>
    </row>
    <row r="680" ht="15.75" customHeight="1">
      <c r="A680" s="183" t="s">
        <v>2395</v>
      </c>
      <c r="B680" s="183" t="s">
        <v>2396</v>
      </c>
      <c r="C680" s="183" t="s">
        <v>2398</v>
      </c>
    </row>
    <row r="681" ht="15.75" customHeight="1">
      <c r="A681" s="183" t="s">
        <v>2399</v>
      </c>
      <c r="B681" s="183" t="s">
        <v>2403</v>
      </c>
      <c r="C681" s="183" t="s">
        <v>2410</v>
      </c>
    </row>
    <row r="682" ht="15.75" customHeight="1">
      <c r="A682" s="183" t="s">
        <v>2411</v>
      </c>
      <c r="B682" s="183" t="s">
        <v>2412</v>
      </c>
      <c r="C682" s="183" t="s">
        <v>2413</v>
      </c>
    </row>
    <row r="683" ht="15.75" customHeight="1">
      <c r="A683" s="183" t="s">
        <v>2415</v>
      </c>
      <c r="B683" s="183" t="s">
        <v>2417</v>
      </c>
      <c r="C683" s="183" t="s">
        <v>2420</v>
      </c>
    </row>
    <row r="684" ht="15.75" customHeight="1">
      <c r="A684" s="183" t="s">
        <v>2421</v>
      </c>
      <c r="B684" s="183"/>
      <c r="C684" s="183"/>
    </row>
    <row r="685" ht="15.75" customHeight="1">
      <c r="A685" s="183" t="s">
        <v>2422</v>
      </c>
      <c r="B685" s="183"/>
      <c r="C685" s="183" t="s">
        <v>2423</v>
      </c>
    </row>
    <row r="686" ht="15.75" customHeight="1">
      <c r="A686" s="183" t="s">
        <v>2424</v>
      </c>
      <c r="B686" s="183" t="s">
        <v>2425</v>
      </c>
      <c r="C686" s="183" t="s">
        <v>2426</v>
      </c>
    </row>
    <row r="687" ht="15.75" customHeight="1">
      <c r="A687" s="183" t="s">
        <v>2427</v>
      </c>
      <c r="B687" s="183" t="s">
        <v>2428</v>
      </c>
      <c r="C687" s="183" t="s">
        <v>2429</v>
      </c>
    </row>
    <row r="688" ht="15.75" customHeight="1">
      <c r="A688" s="183" t="s">
        <v>2430</v>
      </c>
      <c r="B688" s="183" t="s">
        <v>2431</v>
      </c>
      <c r="C688" s="183" t="s">
        <v>2432</v>
      </c>
    </row>
    <row r="689" ht="15.75" customHeight="1">
      <c r="A689" s="183" t="s">
        <v>2433</v>
      </c>
      <c r="B689" s="183"/>
      <c r="C689" s="183"/>
    </row>
    <row r="690" ht="15.75" customHeight="1">
      <c r="A690" s="183" t="s">
        <v>2434</v>
      </c>
      <c r="B690" s="183" t="s">
        <v>2435</v>
      </c>
      <c r="C690" s="183" t="s">
        <v>2436</v>
      </c>
    </row>
    <row r="691" ht="15.75" customHeight="1">
      <c r="A691" s="183" t="s">
        <v>2437</v>
      </c>
      <c r="B691" s="183" t="s">
        <v>2438</v>
      </c>
      <c r="C691" s="183" t="s">
        <v>2439</v>
      </c>
    </row>
    <row r="692" ht="15.75" customHeight="1">
      <c r="A692" s="183" t="s">
        <v>2440</v>
      </c>
      <c r="B692" s="183" t="s">
        <v>2441</v>
      </c>
      <c r="C692" s="183" t="s">
        <v>2442</v>
      </c>
    </row>
    <row r="693" ht="15.75" customHeight="1">
      <c r="A693" s="183" t="s">
        <v>2443</v>
      </c>
      <c r="B693" s="183" t="s">
        <v>2444</v>
      </c>
      <c r="C693" s="183" t="s">
        <v>2445</v>
      </c>
    </row>
    <row r="694" ht="15.75" customHeight="1">
      <c r="A694" s="183" t="s">
        <v>2446</v>
      </c>
      <c r="B694" s="183" t="s">
        <v>1736</v>
      </c>
      <c r="C694" s="183" t="s">
        <v>2447</v>
      </c>
    </row>
    <row r="695" ht="15.75" customHeight="1">
      <c r="A695" s="183" t="s">
        <v>2448</v>
      </c>
      <c r="B695" s="183" t="s">
        <v>2449</v>
      </c>
      <c r="C695" s="183" t="s">
        <v>2450</v>
      </c>
    </row>
    <row r="696" ht="15.75" customHeight="1">
      <c r="A696" s="183" t="s">
        <v>2451</v>
      </c>
      <c r="B696" s="183" t="s">
        <v>2452</v>
      </c>
      <c r="C696" s="183" t="s">
        <v>2453</v>
      </c>
    </row>
    <row r="697" ht="15.75" customHeight="1">
      <c r="A697" s="183" t="s">
        <v>2454</v>
      </c>
      <c r="B697" s="183" t="s">
        <v>2455</v>
      </c>
      <c r="C697" s="183" t="s">
        <v>2456</v>
      </c>
    </row>
    <row r="698" ht="15.75" customHeight="1">
      <c r="A698" s="183" t="s">
        <v>2457</v>
      </c>
      <c r="B698" s="183" t="s">
        <v>2458</v>
      </c>
      <c r="C698" s="183" t="s">
        <v>2459</v>
      </c>
    </row>
    <row r="699" ht="15.75" customHeight="1">
      <c r="A699" s="183" t="s">
        <v>2460</v>
      </c>
      <c r="B699" s="183" t="s">
        <v>2461</v>
      </c>
      <c r="C699" s="183" t="s">
        <v>2462</v>
      </c>
    </row>
    <row r="700" ht="15.75" customHeight="1">
      <c r="A700" s="183" t="s">
        <v>2463</v>
      </c>
      <c r="B700" s="183" t="s">
        <v>2464</v>
      </c>
      <c r="C700" s="183" t="s">
        <v>2465</v>
      </c>
    </row>
    <row r="701" ht="15.75" customHeight="1">
      <c r="A701" s="183" t="s">
        <v>2466</v>
      </c>
      <c r="B701" s="183" t="s">
        <v>2467</v>
      </c>
      <c r="C701" s="183" t="s">
        <v>2468</v>
      </c>
    </row>
    <row r="702" ht="15.75" customHeight="1">
      <c r="A702" s="183" t="s">
        <v>2469</v>
      </c>
      <c r="B702" s="183" t="s">
        <v>2470</v>
      </c>
      <c r="C702" s="183" t="s">
        <v>2471</v>
      </c>
    </row>
    <row r="703" ht="15.75" customHeight="1">
      <c r="A703" s="183" t="s">
        <v>2472</v>
      </c>
      <c r="B703" s="183" t="s">
        <v>2473</v>
      </c>
      <c r="C703" s="183" t="s">
        <v>2474</v>
      </c>
    </row>
    <row r="704" ht="15.75" customHeight="1">
      <c r="A704" s="183" t="s">
        <v>2475</v>
      </c>
      <c r="B704" s="183" t="s">
        <v>2476</v>
      </c>
      <c r="C704" s="183" t="s">
        <v>2477</v>
      </c>
    </row>
    <row r="705" ht="15.75" customHeight="1">
      <c r="A705" s="183" t="s">
        <v>2478</v>
      </c>
      <c r="B705" s="183" t="s">
        <v>2479</v>
      </c>
      <c r="C705" s="183" t="s">
        <v>2480</v>
      </c>
    </row>
    <row r="706" ht="15.75" customHeight="1">
      <c r="A706" s="183" t="s">
        <v>2481</v>
      </c>
      <c r="B706" s="183" t="s">
        <v>2482</v>
      </c>
      <c r="C706" s="183" t="s">
        <v>2483</v>
      </c>
    </row>
    <row r="707" ht="15.75" customHeight="1">
      <c r="A707" s="183" t="s">
        <v>2484</v>
      </c>
      <c r="B707" s="183" t="s">
        <v>2485</v>
      </c>
      <c r="C707" s="183" t="s">
        <v>2486</v>
      </c>
    </row>
    <row r="708" ht="15.75" customHeight="1">
      <c r="A708" s="183" t="s">
        <v>2487</v>
      </c>
      <c r="B708" s="183" t="s">
        <v>2488</v>
      </c>
      <c r="C708" s="183" t="s">
        <v>2489</v>
      </c>
    </row>
    <row r="709" ht="15.75" customHeight="1">
      <c r="A709" s="183" t="s">
        <v>2490</v>
      </c>
      <c r="B709" s="183" t="s">
        <v>2491</v>
      </c>
      <c r="C709" s="183" t="s">
        <v>2492</v>
      </c>
    </row>
    <row r="710" ht="15.75" customHeight="1">
      <c r="A710" s="183" t="s">
        <v>2493</v>
      </c>
      <c r="B710" s="183" t="s">
        <v>2494</v>
      </c>
      <c r="C710" s="183" t="s">
        <v>2495</v>
      </c>
    </row>
    <row r="711" ht="15.75" customHeight="1">
      <c r="A711" s="183" t="s">
        <v>2496</v>
      </c>
      <c r="B711" s="183" t="s">
        <v>2497</v>
      </c>
      <c r="C711" s="183" t="s">
        <v>2498</v>
      </c>
    </row>
    <row r="712" ht="15.75" customHeight="1">
      <c r="A712" s="183" t="s">
        <v>2499</v>
      </c>
      <c r="B712" s="183" t="s">
        <v>2500</v>
      </c>
      <c r="C712" s="183" t="s">
        <v>2501</v>
      </c>
    </row>
    <row r="713" ht="15.75" customHeight="1">
      <c r="A713" s="183" t="s">
        <v>2502</v>
      </c>
      <c r="B713" s="183" t="s">
        <v>2503</v>
      </c>
      <c r="C713" s="183" t="s">
        <v>2504</v>
      </c>
    </row>
    <row r="714" ht="15.75" customHeight="1">
      <c r="A714" s="183" t="s">
        <v>2505</v>
      </c>
      <c r="B714" s="183" t="s">
        <v>2506</v>
      </c>
      <c r="C714" s="183" t="s">
        <v>2507</v>
      </c>
    </row>
    <row r="715" ht="15.75" customHeight="1">
      <c r="A715" s="183" t="s">
        <v>2508</v>
      </c>
      <c r="B715" s="183" t="s">
        <v>2509</v>
      </c>
      <c r="C715" s="183" t="s">
        <v>2510</v>
      </c>
    </row>
    <row r="716" ht="15.75" customHeight="1">
      <c r="A716" s="183" t="s">
        <v>2511</v>
      </c>
      <c r="B716" s="183" t="s">
        <v>2512</v>
      </c>
      <c r="C716" s="183" t="s">
        <v>2513</v>
      </c>
    </row>
    <row r="717" ht="15.75" customHeight="1">
      <c r="A717" s="183" t="s">
        <v>2514</v>
      </c>
      <c r="B717" s="183" t="s">
        <v>2515</v>
      </c>
      <c r="C717" s="183" t="s">
        <v>2516</v>
      </c>
    </row>
    <row r="718" ht="15.75" customHeight="1">
      <c r="A718" s="183" t="s">
        <v>2517</v>
      </c>
      <c r="B718" s="183" t="s">
        <v>2518</v>
      </c>
      <c r="C718" s="183" t="s">
        <v>2519</v>
      </c>
    </row>
    <row r="719" ht="15.75" customHeight="1">
      <c r="A719" s="183" t="s">
        <v>2520</v>
      </c>
      <c r="B719" s="183" t="s">
        <v>2521</v>
      </c>
      <c r="C719" s="183" t="s">
        <v>2522</v>
      </c>
    </row>
    <row r="720" ht="15.75" customHeight="1">
      <c r="A720" s="183" t="s">
        <v>2523</v>
      </c>
      <c r="B720" s="183" t="s">
        <v>2524</v>
      </c>
      <c r="C720" s="183" t="s">
        <v>2525</v>
      </c>
    </row>
    <row r="721" ht="15.75" customHeight="1">
      <c r="A721" s="183" t="s">
        <v>2526</v>
      </c>
      <c r="B721" s="183" t="s">
        <v>2527</v>
      </c>
      <c r="C721" s="183" t="s">
        <v>2528</v>
      </c>
    </row>
    <row r="722" ht="15.75" customHeight="1">
      <c r="A722" s="183" t="s">
        <v>2529</v>
      </c>
      <c r="B722" s="183" t="s">
        <v>2530</v>
      </c>
      <c r="C722" s="183" t="s">
        <v>2531</v>
      </c>
    </row>
    <row r="723" ht="15.75" customHeight="1">
      <c r="A723" s="183" t="s">
        <v>2532</v>
      </c>
      <c r="B723" s="183" t="s">
        <v>2533</v>
      </c>
      <c r="C723" s="183" t="s">
        <v>2534</v>
      </c>
    </row>
    <row r="724" ht="15.75" customHeight="1">
      <c r="A724" s="183" t="s">
        <v>2535</v>
      </c>
      <c r="B724" s="183" t="s">
        <v>2536</v>
      </c>
      <c r="C724" s="183" t="s">
        <v>2537</v>
      </c>
    </row>
    <row r="725" ht="15.75" customHeight="1">
      <c r="A725" s="183" t="s">
        <v>2538</v>
      </c>
      <c r="B725" s="183" t="s">
        <v>2539</v>
      </c>
      <c r="C725" s="183" t="s">
        <v>2540</v>
      </c>
    </row>
    <row r="726" ht="15.75" customHeight="1">
      <c r="A726" s="183" t="s">
        <v>2541</v>
      </c>
      <c r="B726" s="183" t="s">
        <v>2542</v>
      </c>
      <c r="C726" s="183" t="s">
        <v>2543</v>
      </c>
    </row>
    <row r="727" ht="15.75" customHeight="1">
      <c r="A727" s="183" t="s">
        <v>2544</v>
      </c>
      <c r="B727" s="183" t="s">
        <v>2545</v>
      </c>
      <c r="C727" s="183" t="s">
        <v>2546</v>
      </c>
    </row>
    <row r="728" ht="15.75" customHeight="1">
      <c r="A728" s="183" t="s">
        <v>2547</v>
      </c>
      <c r="B728" s="183" t="s">
        <v>2548</v>
      </c>
      <c r="C728" s="183" t="s">
        <v>2549</v>
      </c>
    </row>
    <row r="729" ht="15.75" customHeight="1">
      <c r="A729" s="183" t="s">
        <v>2550</v>
      </c>
      <c r="B729" s="183" t="s">
        <v>2551</v>
      </c>
      <c r="C729" s="183"/>
    </row>
    <row r="730" ht="15.75" customHeight="1">
      <c r="A730" s="183" t="s">
        <v>2550</v>
      </c>
      <c r="B730" s="183"/>
      <c r="C730" s="183"/>
    </row>
    <row r="731" ht="15.75" customHeight="1">
      <c r="A731" s="183" t="s">
        <v>2552</v>
      </c>
      <c r="B731" s="183" t="s">
        <v>2553</v>
      </c>
      <c r="C731" s="183" t="s">
        <v>2554</v>
      </c>
    </row>
    <row r="732" ht="15.75" customHeight="1">
      <c r="A732" s="183" t="s">
        <v>2555</v>
      </c>
      <c r="B732" s="183"/>
      <c r="C732" s="183"/>
    </row>
    <row r="733" ht="15.75" customHeight="1">
      <c r="A733" s="183" t="s">
        <v>2556</v>
      </c>
      <c r="B733" s="183"/>
      <c r="C733" s="183"/>
    </row>
    <row r="734" ht="15.75" customHeight="1">
      <c r="A734" s="183" t="s">
        <v>2557</v>
      </c>
      <c r="B734" s="183" t="s">
        <v>2558</v>
      </c>
      <c r="C734" s="183" t="s">
        <v>2559</v>
      </c>
    </row>
    <row r="735" ht="15.75" customHeight="1">
      <c r="A735" s="183" t="s">
        <v>2560</v>
      </c>
      <c r="B735" s="183" t="s">
        <v>2553</v>
      </c>
      <c r="C735" s="183" t="s">
        <v>2561</v>
      </c>
    </row>
    <row r="736" ht="15.75" customHeight="1">
      <c r="A736" s="183" t="s">
        <v>2562</v>
      </c>
      <c r="B736" s="183" t="s">
        <v>2553</v>
      </c>
      <c r="C736" s="183" t="s">
        <v>2563</v>
      </c>
    </row>
    <row r="737" ht="15.75" customHeight="1">
      <c r="A737" s="183" t="s">
        <v>2564</v>
      </c>
      <c r="B737" s="183" t="s">
        <v>2553</v>
      </c>
      <c r="C737" s="183" t="s">
        <v>2565</v>
      </c>
    </row>
    <row r="738" ht="15.75" customHeight="1">
      <c r="A738" s="183" t="s">
        <v>2566</v>
      </c>
      <c r="B738" s="183" t="s">
        <v>2567</v>
      </c>
      <c r="C738" s="183" t="s">
        <v>2568</v>
      </c>
    </row>
    <row r="739" ht="15.75" customHeight="1">
      <c r="A739" s="183" t="s">
        <v>2569</v>
      </c>
      <c r="B739" s="183" t="s">
        <v>2570</v>
      </c>
      <c r="C739" s="183" t="s">
        <v>2571</v>
      </c>
    </row>
    <row r="740" ht="15.75" customHeight="1">
      <c r="A740" s="183" t="s">
        <v>2572</v>
      </c>
      <c r="B740" s="183" t="s">
        <v>2573</v>
      </c>
      <c r="C740" s="183" t="s">
        <v>2574</v>
      </c>
    </row>
    <row r="741" ht="15.75" customHeight="1">
      <c r="A741" s="183" t="s">
        <v>2575</v>
      </c>
      <c r="B741" s="183" t="s">
        <v>2576</v>
      </c>
      <c r="C741" s="183" t="s">
        <v>2577</v>
      </c>
    </row>
    <row r="742" ht="15.75" customHeight="1">
      <c r="A742" s="183" t="s">
        <v>2578</v>
      </c>
      <c r="B742" s="183" t="s">
        <v>2579</v>
      </c>
      <c r="C742" s="183" t="s">
        <v>2580</v>
      </c>
    </row>
    <row r="743" ht="15.75" customHeight="1">
      <c r="A743" s="183" t="s">
        <v>2581</v>
      </c>
      <c r="B743" s="183"/>
      <c r="C743" s="183"/>
    </row>
    <row r="744" ht="15.75" customHeight="1">
      <c r="A744" s="183" t="s">
        <v>2582</v>
      </c>
      <c r="B744" s="183"/>
      <c r="C744" s="183"/>
    </row>
    <row r="745" ht="15.75" customHeight="1">
      <c r="A745" s="183" t="s">
        <v>2583</v>
      </c>
      <c r="B745" s="183" t="s">
        <v>2584</v>
      </c>
      <c r="C745" s="183" t="s">
        <v>2585</v>
      </c>
    </row>
    <row r="746" ht="15.75" customHeight="1">
      <c r="A746" s="183" t="s">
        <v>2586</v>
      </c>
      <c r="B746" s="183" t="s">
        <v>2607</v>
      </c>
      <c r="C746" s="183" t="s">
        <v>2608</v>
      </c>
    </row>
    <row r="747" ht="15.75" customHeight="1">
      <c r="A747" s="183" t="s">
        <v>2609</v>
      </c>
      <c r="B747" s="183" t="s">
        <v>2610</v>
      </c>
      <c r="C747" s="183" t="s">
        <v>2611</v>
      </c>
    </row>
    <row r="748" ht="15.75" customHeight="1">
      <c r="A748" s="183" t="s">
        <v>2612</v>
      </c>
      <c r="B748" s="183" t="s">
        <v>2613</v>
      </c>
      <c r="C748" s="183"/>
    </row>
    <row r="749" ht="15.75" customHeight="1">
      <c r="A749" s="183" t="s">
        <v>2614</v>
      </c>
      <c r="B749" s="183" t="s">
        <v>2615</v>
      </c>
      <c r="C749" s="183" t="s">
        <v>2616</v>
      </c>
    </row>
    <row r="750" ht="15.75" customHeight="1">
      <c r="A750" s="183" t="s">
        <v>2618</v>
      </c>
      <c r="B750" s="183" t="s">
        <v>123</v>
      </c>
      <c r="C750" s="183" t="s">
        <v>2620</v>
      </c>
    </row>
    <row r="751" ht="15.75" customHeight="1">
      <c r="A751" s="183" t="s">
        <v>2621</v>
      </c>
      <c r="B751" s="183" t="s">
        <v>2622</v>
      </c>
      <c r="C751" s="183" t="s">
        <v>2623</v>
      </c>
    </row>
    <row r="752" ht="15.75" customHeight="1">
      <c r="A752" s="183" t="s">
        <v>2624</v>
      </c>
      <c r="B752" s="183" t="s">
        <v>2625</v>
      </c>
      <c r="C752" s="183" t="s">
        <v>2626</v>
      </c>
    </row>
    <row r="753" ht="15.75" customHeight="1">
      <c r="A753" s="183" t="s">
        <v>2627</v>
      </c>
      <c r="B753" s="183" t="s">
        <v>2628</v>
      </c>
      <c r="C753" s="183" t="s">
        <v>2629</v>
      </c>
    </row>
    <row r="754" ht="15.75" customHeight="1">
      <c r="A754" s="183" t="s">
        <v>2630</v>
      </c>
      <c r="B754" s="183"/>
      <c r="C754" s="183"/>
    </row>
    <row r="755" ht="15.75" customHeight="1">
      <c r="A755" s="183" t="s">
        <v>2631</v>
      </c>
      <c r="B755" s="183" t="s">
        <v>2632</v>
      </c>
      <c r="C755" s="183"/>
    </row>
    <row r="756" ht="15.75" customHeight="1">
      <c r="A756" s="183" t="s">
        <v>2634</v>
      </c>
      <c r="B756" s="183" t="s">
        <v>2636</v>
      </c>
      <c r="C756" s="183" t="s">
        <v>2637</v>
      </c>
    </row>
    <row r="757" ht="15.75" customHeight="1">
      <c r="A757" s="183" t="s">
        <v>2638</v>
      </c>
      <c r="B757" s="183"/>
      <c r="C757" s="183"/>
    </row>
    <row r="758" ht="15.75" customHeight="1">
      <c r="A758" s="183" t="s">
        <v>2639</v>
      </c>
      <c r="B758" s="183" t="s">
        <v>2640</v>
      </c>
      <c r="C758" s="183" t="s">
        <v>2641</v>
      </c>
    </row>
    <row r="759" ht="15.75" customHeight="1">
      <c r="A759" s="183" t="s">
        <v>2642</v>
      </c>
      <c r="B759" s="183" t="s">
        <v>2644</v>
      </c>
      <c r="C759" s="183"/>
    </row>
    <row r="760" ht="15.75" customHeight="1">
      <c r="A760" s="183" t="s">
        <v>2645</v>
      </c>
      <c r="B760" s="183"/>
      <c r="C760" s="183"/>
    </row>
    <row r="761" ht="15.75" customHeight="1">
      <c r="A761" s="183" t="s">
        <v>2647</v>
      </c>
      <c r="B761" s="183" t="s">
        <v>2648</v>
      </c>
      <c r="C761" s="183" t="s">
        <v>2649</v>
      </c>
    </row>
    <row r="762" ht="15.75" customHeight="1">
      <c r="A762" s="183" t="s">
        <v>2650</v>
      </c>
      <c r="B762" s="183" t="s">
        <v>2651</v>
      </c>
      <c r="C762" s="183" t="s">
        <v>2652</v>
      </c>
    </row>
    <row r="763" ht="15.75" customHeight="1">
      <c r="A763" s="183" t="s">
        <v>2654</v>
      </c>
      <c r="B763" s="183" t="s">
        <v>2656</v>
      </c>
      <c r="C763" s="183" t="s">
        <v>2657</v>
      </c>
    </row>
    <row r="764" ht="15.75" customHeight="1">
      <c r="A764" s="183" t="s">
        <v>2659</v>
      </c>
      <c r="B764" s="183" t="s">
        <v>2660</v>
      </c>
      <c r="C764" s="183" t="s">
        <v>2661</v>
      </c>
    </row>
    <row r="765" ht="15.75" customHeight="1">
      <c r="A765" s="183" t="s">
        <v>2663</v>
      </c>
      <c r="B765" s="183" t="s">
        <v>2664</v>
      </c>
      <c r="C765" s="183" t="s">
        <v>2665</v>
      </c>
    </row>
    <row r="766" ht="15.75" customHeight="1">
      <c r="A766" s="183" t="s">
        <v>2666</v>
      </c>
      <c r="B766" s="183" t="s">
        <v>2668</v>
      </c>
      <c r="C766" s="183" t="s">
        <v>2669</v>
      </c>
    </row>
    <row r="767" ht="15.75" customHeight="1">
      <c r="A767" s="183" t="s">
        <v>2670</v>
      </c>
      <c r="B767" s="183" t="s">
        <v>2671</v>
      </c>
      <c r="C767" s="183" t="s">
        <v>2672</v>
      </c>
    </row>
    <row r="768" ht="15.75" customHeight="1">
      <c r="A768" s="183" t="s">
        <v>2673</v>
      </c>
      <c r="B768" s="183" t="s">
        <v>2674</v>
      </c>
      <c r="C768" s="183" t="s">
        <v>2675</v>
      </c>
    </row>
    <row r="769" ht="15.75" customHeight="1">
      <c r="A769" s="183" t="s">
        <v>2676</v>
      </c>
      <c r="B769" s="183" t="s">
        <v>2677</v>
      </c>
      <c r="C769" s="183" t="s">
        <v>2678</v>
      </c>
    </row>
    <row r="770" ht="15.75" customHeight="1">
      <c r="A770" s="183" t="s">
        <v>2679</v>
      </c>
      <c r="B770" s="183" t="s">
        <v>2680</v>
      </c>
      <c r="C770" s="183" t="s">
        <v>2681</v>
      </c>
    </row>
    <row r="771" ht="15.75" customHeight="1">
      <c r="A771" s="183" t="s">
        <v>2682</v>
      </c>
      <c r="B771" s="183" t="s">
        <v>2683</v>
      </c>
      <c r="C771" s="183" t="s">
        <v>2684</v>
      </c>
    </row>
    <row r="772" ht="15.75" customHeight="1">
      <c r="A772" s="183" t="s">
        <v>2686</v>
      </c>
      <c r="B772" s="183" t="s">
        <v>2687</v>
      </c>
      <c r="C772" s="183" t="s">
        <v>2688</v>
      </c>
    </row>
    <row r="773" ht="15.75" customHeight="1">
      <c r="A773" s="183" t="s">
        <v>2690</v>
      </c>
      <c r="B773" s="183" t="s">
        <v>2691</v>
      </c>
      <c r="C773" s="183" t="s">
        <v>2692</v>
      </c>
    </row>
    <row r="774" ht="15.75" customHeight="1">
      <c r="A774" s="183" t="s">
        <v>2693</v>
      </c>
      <c r="B774" s="183" t="s">
        <v>2695</v>
      </c>
      <c r="C774" s="183" t="s">
        <v>2696</v>
      </c>
    </row>
    <row r="775" ht="15.75" customHeight="1">
      <c r="A775" s="183" t="s">
        <v>2697</v>
      </c>
      <c r="B775" s="183" t="s">
        <v>2698</v>
      </c>
      <c r="C775" s="183" t="s">
        <v>2699</v>
      </c>
    </row>
    <row r="776" ht="15.75" customHeight="1">
      <c r="A776" s="183" t="s">
        <v>1608</v>
      </c>
      <c r="B776" s="183" t="s">
        <v>2701</v>
      </c>
      <c r="C776" s="183" t="s">
        <v>2702</v>
      </c>
    </row>
    <row r="777" ht="15.75" customHeight="1">
      <c r="A777" s="183" t="s">
        <v>2703</v>
      </c>
      <c r="B777" s="183"/>
      <c r="C777" s="183"/>
    </row>
    <row r="778" ht="15.75" customHeight="1">
      <c r="A778" s="183" t="s">
        <v>2704</v>
      </c>
      <c r="B778" s="183" t="s">
        <v>2705</v>
      </c>
      <c r="C778" s="183" t="s">
        <v>2707</v>
      </c>
    </row>
    <row r="779" ht="15.75" customHeight="1">
      <c r="A779" s="183" t="s">
        <v>2708</v>
      </c>
      <c r="B779" s="183" t="s">
        <v>2709</v>
      </c>
      <c r="C779" s="183" t="s">
        <v>2710</v>
      </c>
    </row>
    <row r="780" ht="15.75" customHeight="1">
      <c r="A780" s="183" t="s">
        <v>2711</v>
      </c>
      <c r="B780" s="183" t="s">
        <v>2712</v>
      </c>
      <c r="C780" s="183" t="s">
        <v>2713</v>
      </c>
    </row>
    <row r="781" ht="15.75" customHeight="1">
      <c r="A781" s="183" t="s">
        <v>2714</v>
      </c>
      <c r="B781" s="183" t="s">
        <v>2715</v>
      </c>
      <c r="C781" s="183" t="s">
        <v>2717</v>
      </c>
    </row>
    <row r="782" ht="15.75" customHeight="1">
      <c r="A782" s="183" t="s">
        <v>2718</v>
      </c>
      <c r="B782" s="183" t="s">
        <v>2719</v>
      </c>
      <c r="C782" s="183" t="s">
        <v>2720</v>
      </c>
    </row>
    <row r="783" ht="15.75" customHeight="1">
      <c r="A783" s="183" t="s">
        <v>2721</v>
      </c>
      <c r="B783" s="183" t="s">
        <v>2722</v>
      </c>
      <c r="C783" s="183" t="s">
        <v>2723</v>
      </c>
    </row>
    <row r="784" ht="15.75" customHeight="1">
      <c r="A784" s="183" t="s">
        <v>2724</v>
      </c>
      <c r="B784" s="183" t="s">
        <v>2725</v>
      </c>
      <c r="C784" s="183" t="s">
        <v>2726</v>
      </c>
    </row>
    <row r="785" ht="15.75" customHeight="1">
      <c r="A785" s="183" t="s">
        <v>2727</v>
      </c>
      <c r="B785" s="183" t="s">
        <v>2728</v>
      </c>
      <c r="C785" s="183" t="s">
        <v>2726</v>
      </c>
    </row>
    <row r="786" ht="15.75" customHeight="1">
      <c r="A786" s="183" t="s">
        <v>2729</v>
      </c>
      <c r="B786" s="183" t="s">
        <v>2730</v>
      </c>
      <c r="C786" s="183" t="s">
        <v>2731</v>
      </c>
    </row>
    <row r="787" ht="15.75" customHeight="1">
      <c r="A787" s="183" t="s">
        <v>2732</v>
      </c>
      <c r="B787" s="183" t="s">
        <v>2733</v>
      </c>
      <c r="C787" s="183" t="s">
        <v>2734</v>
      </c>
    </row>
    <row r="788" ht="15.75" customHeight="1">
      <c r="A788" s="183" t="s">
        <v>2735</v>
      </c>
      <c r="B788" s="183" t="s">
        <v>2735</v>
      </c>
      <c r="C788" s="183"/>
    </row>
    <row r="789" ht="15.75" customHeight="1">
      <c r="A789" s="183" t="s">
        <v>2736</v>
      </c>
      <c r="B789" s="183" t="s">
        <v>2738</v>
      </c>
      <c r="C789" s="183" t="s">
        <v>2739</v>
      </c>
    </row>
    <row r="790" ht="15.75" customHeight="1">
      <c r="A790" s="183" t="s">
        <v>2740</v>
      </c>
      <c r="B790" s="183" t="s">
        <v>2741</v>
      </c>
      <c r="C790" s="183" t="s">
        <v>2742</v>
      </c>
    </row>
    <row r="791" ht="15.75" customHeight="1">
      <c r="A791" s="183" t="s">
        <v>2743</v>
      </c>
      <c r="B791" s="183" t="s">
        <v>123</v>
      </c>
      <c r="C791" s="183"/>
    </row>
    <row r="792" ht="15.75" customHeight="1">
      <c r="A792" s="183" t="s">
        <v>2744</v>
      </c>
      <c r="B792" s="183" t="s">
        <v>2746</v>
      </c>
      <c r="C792" s="183" t="s">
        <v>2747</v>
      </c>
    </row>
    <row r="793" ht="15.75" customHeight="1">
      <c r="A793" s="183" t="s">
        <v>2748</v>
      </c>
      <c r="B793" s="183" t="s">
        <v>2749</v>
      </c>
      <c r="C793" s="183" t="s">
        <v>2750</v>
      </c>
    </row>
    <row r="794" ht="15.75" customHeight="1">
      <c r="A794" s="183" t="s">
        <v>2751</v>
      </c>
      <c r="B794" s="183" t="s">
        <v>2752</v>
      </c>
      <c r="C794" s="183" t="s">
        <v>2753</v>
      </c>
    </row>
    <row r="795" ht="15.75" customHeight="1">
      <c r="A795" s="183" t="s">
        <v>2755</v>
      </c>
      <c r="B795" s="183" t="s">
        <v>2756</v>
      </c>
      <c r="C795" s="183" t="s">
        <v>2757</v>
      </c>
    </row>
    <row r="796" ht="15.75" customHeight="1">
      <c r="A796" s="183" t="s">
        <v>2758</v>
      </c>
      <c r="B796" s="183"/>
      <c r="C796" s="183"/>
    </row>
    <row r="797" ht="15.75" customHeight="1">
      <c r="A797" s="183" t="s">
        <v>2759</v>
      </c>
      <c r="B797" s="183" t="s">
        <v>2760</v>
      </c>
      <c r="C797" s="183" t="s">
        <v>2761</v>
      </c>
    </row>
    <row r="798" ht="15.75" customHeight="1">
      <c r="A798" s="183" t="s">
        <v>2763</v>
      </c>
      <c r="B798" s="183" t="s">
        <v>2764</v>
      </c>
      <c r="C798" s="183" t="s">
        <v>2765</v>
      </c>
    </row>
    <row r="799" ht="15.75" customHeight="1">
      <c r="A799" s="183" t="s">
        <v>2766</v>
      </c>
      <c r="B799" s="183" t="s">
        <v>2768</v>
      </c>
      <c r="C799" s="183" t="s">
        <v>2769</v>
      </c>
    </row>
    <row r="800" ht="15.75" customHeight="1">
      <c r="A800" s="183" t="s">
        <v>2770</v>
      </c>
      <c r="B800" s="183" t="s">
        <v>2771</v>
      </c>
      <c r="C800" s="183" t="s">
        <v>2773</v>
      </c>
    </row>
    <row r="801" ht="15.75" customHeight="1">
      <c r="A801" s="183" t="s">
        <v>2774</v>
      </c>
      <c r="B801" s="183" t="s">
        <v>2775</v>
      </c>
      <c r="C801" s="183" t="s">
        <v>2776</v>
      </c>
    </row>
    <row r="802" ht="15.75" customHeight="1">
      <c r="A802" s="183" t="s">
        <v>2777</v>
      </c>
      <c r="B802" s="183" t="s">
        <v>2778</v>
      </c>
      <c r="C802" s="183" t="s">
        <v>2779</v>
      </c>
    </row>
    <row r="803" ht="15.75" customHeight="1">
      <c r="A803" s="183" t="s">
        <v>2780</v>
      </c>
      <c r="B803" s="183" t="s">
        <v>2781</v>
      </c>
      <c r="C803" s="183" t="s">
        <v>2782</v>
      </c>
    </row>
    <row r="804" ht="15.75" customHeight="1">
      <c r="A804" s="183" t="s">
        <v>2783</v>
      </c>
      <c r="B804" s="183" t="s">
        <v>2784</v>
      </c>
      <c r="C804" s="183" t="s">
        <v>2786</v>
      </c>
    </row>
    <row r="805" ht="15.75" customHeight="1">
      <c r="A805" s="183" t="s">
        <v>2787</v>
      </c>
      <c r="B805" s="183" t="s">
        <v>2788</v>
      </c>
      <c r="C805" s="183" t="s">
        <v>2789</v>
      </c>
    </row>
    <row r="806" ht="15.75" customHeight="1">
      <c r="A806" s="183" t="s">
        <v>2790</v>
      </c>
      <c r="B806" s="183" t="s">
        <v>2791</v>
      </c>
      <c r="C806" s="183" t="s">
        <v>2792</v>
      </c>
    </row>
    <row r="807" ht="15.75" customHeight="1">
      <c r="A807" s="183" t="s">
        <v>2793</v>
      </c>
      <c r="B807" s="183" t="s">
        <v>2794</v>
      </c>
      <c r="C807" s="183" t="s">
        <v>2795</v>
      </c>
    </row>
    <row r="808" ht="15.75" customHeight="1">
      <c r="A808" s="183" t="s">
        <v>2797</v>
      </c>
      <c r="B808" s="183" t="s">
        <v>2798</v>
      </c>
      <c r="C808" s="183" t="s">
        <v>2799</v>
      </c>
    </row>
    <row r="809" ht="15.75" customHeight="1">
      <c r="A809" s="183" t="s">
        <v>2801</v>
      </c>
      <c r="B809" s="183" t="s">
        <v>2802</v>
      </c>
      <c r="C809" s="183" t="s">
        <v>2803</v>
      </c>
    </row>
    <row r="810" ht="15.75" customHeight="1">
      <c r="A810" s="183" t="s">
        <v>2804</v>
      </c>
      <c r="B810" s="183" t="s">
        <v>2805</v>
      </c>
      <c r="C810" s="183" t="s">
        <v>2806</v>
      </c>
    </row>
    <row r="811" ht="15.75" customHeight="1">
      <c r="A811" s="183" t="s">
        <v>2807</v>
      </c>
      <c r="B811" s="183" t="s">
        <v>2809</v>
      </c>
      <c r="C811" s="183" t="s">
        <v>2810</v>
      </c>
    </row>
    <row r="812" ht="15.75" customHeight="1">
      <c r="A812" s="183" t="s">
        <v>2811</v>
      </c>
      <c r="B812" s="183" t="s">
        <v>2812</v>
      </c>
      <c r="C812" s="183" t="s">
        <v>2813</v>
      </c>
    </row>
    <row r="813" ht="15.75" customHeight="1">
      <c r="A813" s="183" t="s">
        <v>2814</v>
      </c>
      <c r="B813" s="183" t="s">
        <v>2815</v>
      </c>
      <c r="C813" s="183" t="s">
        <v>2816</v>
      </c>
    </row>
    <row r="814" ht="15.75" customHeight="1">
      <c r="A814" s="183" t="s">
        <v>2817</v>
      </c>
      <c r="B814" s="183" t="s">
        <v>2819</v>
      </c>
      <c r="C814" s="183" t="s">
        <v>2820</v>
      </c>
    </row>
    <row r="815" ht="15.75" customHeight="1">
      <c r="A815" s="183" t="s">
        <v>2821</v>
      </c>
      <c r="B815" s="183" t="s">
        <v>2823</v>
      </c>
      <c r="C815" s="183" t="s">
        <v>2824</v>
      </c>
    </row>
    <row r="816" ht="15.75" customHeight="1">
      <c r="A816" s="183" t="s">
        <v>2825</v>
      </c>
      <c r="B816" s="183" t="s">
        <v>2826</v>
      </c>
      <c r="C816" s="183" t="s">
        <v>2827</v>
      </c>
    </row>
    <row r="817" ht="15.75" customHeight="1">
      <c r="A817" s="183" t="s">
        <v>2828</v>
      </c>
      <c r="B817" s="183" t="s">
        <v>2829</v>
      </c>
      <c r="C817" s="183" t="s">
        <v>2831</v>
      </c>
    </row>
    <row r="818" ht="15.75" customHeight="1">
      <c r="A818" s="183" t="s">
        <v>2834</v>
      </c>
      <c r="B818" s="183" t="s">
        <v>2835</v>
      </c>
      <c r="C818" s="183" t="s">
        <v>2836</v>
      </c>
    </row>
    <row r="819" ht="15.75" customHeight="1">
      <c r="A819" s="183" t="s">
        <v>2837</v>
      </c>
      <c r="B819" s="183" t="s">
        <v>2838</v>
      </c>
      <c r="C819" s="183" t="s">
        <v>2839</v>
      </c>
    </row>
    <row r="820" ht="15.75" customHeight="1">
      <c r="A820" s="183" t="s">
        <v>2840</v>
      </c>
      <c r="B820" s="183" t="s">
        <v>2841</v>
      </c>
      <c r="C820" s="183" t="s">
        <v>2843</v>
      </c>
    </row>
    <row r="821" ht="15.75" customHeight="1">
      <c r="A821" s="183" t="s">
        <v>2844</v>
      </c>
      <c r="B821" s="183" t="s">
        <v>2845</v>
      </c>
      <c r="C821" s="183" t="s">
        <v>2846</v>
      </c>
    </row>
    <row r="822" ht="15.75" customHeight="1">
      <c r="A822" s="183" t="s">
        <v>2847</v>
      </c>
      <c r="B822" s="183" t="s">
        <v>2848</v>
      </c>
      <c r="C822" s="183" t="s">
        <v>2849</v>
      </c>
    </row>
    <row r="823" ht="15.75" customHeight="1">
      <c r="A823" s="183" t="s">
        <v>2850</v>
      </c>
      <c r="B823" s="183" t="s">
        <v>2852</v>
      </c>
      <c r="C823" s="183" t="s">
        <v>2853</v>
      </c>
    </row>
    <row r="824" ht="15.75" customHeight="1">
      <c r="A824" s="183" t="s">
        <v>2854</v>
      </c>
      <c r="B824" s="183" t="s">
        <v>2855</v>
      </c>
      <c r="C824" s="183" t="s">
        <v>2856</v>
      </c>
    </row>
    <row r="825" ht="15.75" customHeight="1">
      <c r="A825" s="183" t="s">
        <v>2857</v>
      </c>
      <c r="B825" s="183"/>
      <c r="C825" s="183"/>
    </row>
    <row r="826" ht="15.75" customHeight="1">
      <c r="A826" s="183" t="s">
        <v>2858</v>
      </c>
      <c r="B826" s="183" t="s">
        <v>2859</v>
      </c>
      <c r="C826" s="183" t="s">
        <v>2860</v>
      </c>
    </row>
    <row r="827" ht="15.75" customHeight="1">
      <c r="A827" s="183" t="s">
        <v>2861</v>
      </c>
      <c r="B827" s="183" t="s">
        <v>2862</v>
      </c>
      <c r="C827" s="183" t="s">
        <v>2863</v>
      </c>
    </row>
    <row r="828" ht="15.75" customHeight="1">
      <c r="A828" s="183" t="s">
        <v>2865</v>
      </c>
      <c r="B828" s="183" t="s">
        <v>2866</v>
      </c>
      <c r="C828" s="183"/>
    </row>
    <row r="829" ht="15.75" customHeight="1">
      <c r="A829" s="183" t="s">
        <v>2868</v>
      </c>
      <c r="B829" s="183" t="s">
        <v>2869</v>
      </c>
      <c r="C829" s="183" t="s">
        <v>2870</v>
      </c>
    </row>
    <row r="830" ht="15.75" customHeight="1">
      <c r="A830" s="183" t="s">
        <v>2872</v>
      </c>
      <c r="B830" s="183" t="s">
        <v>2873</v>
      </c>
      <c r="C830" s="183" t="s">
        <v>2874</v>
      </c>
    </row>
    <row r="831" ht="15.75" customHeight="1">
      <c r="A831" s="183" t="s">
        <v>2875</v>
      </c>
      <c r="B831" s="183" t="s">
        <v>2876</v>
      </c>
      <c r="C831" s="183" t="s">
        <v>2877</v>
      </c>
    </row>
    <row r="832" ht="15.75" customHeight="1">
      <c r="A832" s="183" t="s">
        <v>2878</v>
      </c>
      <c r="B832" s="183" t="s">
        <v>2879</v>
      </c>
      <c r="C832" s="183" t="s">
        <v>2880</v>
      </c>
    </row>
    <row r="833" ht="15.75" customHeight="1">
      <c r="A833" s="183" t="s">
        <v>2881</v>
      </c>
      <c r="B833" s="183" t="s">
        <v>2882</v>
      </c>
      <c r="C833" s="183" t="s">
        <v>2883</v>
      </c>
    </row>
    <row r="834" ht="15.75" customHeight="1">
      <c r="A834" s="183" t="s">
        <v>2885</v>
      </c>
      <c r="B834" s="183" t="s">
        <v>2886</v>
      </c>
      <c r="C834" s="183"/>
    </row>
    <row r="835" ht="15.75" customHeight="1">
      <c r="A835" s="183" t="s">
        <v>2887</v>
      </c>
      <c r="B835" s="183" t="s">
        <v>2888</v>
      </c>
      <c r="C835" s="183" t="s">
        <v>2889</v>
      </c>
    </row>
    <row r="836" ht="15.75" customHeight="1">
      <c r="A836" s="183" t="s">
        <v>2890</v>
      </c>
      <c r="B836" s="183" t="s">
        <v>2891</v>
      </c>
      <c r="C836" s="183" t="s">
        <v>2892</v>
      </c>
    </row>
    <row r="837" ht="15.75" customHeight="1">
      <c r="A837" s="183" t="s">
        <v>2893</v>
      </c>
      <c r="B837" s="183" t="s">
        <v>2895</v>
      </c>
      <c r="C837" s="183" t="s">
        <v>2896</v>
      </c>
    </row>
    <row r="838" ht="15.75" customHeight="1">
      <c r="A838" s="183" t="s">
        <v>2898</v>
      </c>
      <c r="B838" s="183" t="s">
        <v>2901</v>
      </c>
      <c r="C838" s="183" t="s">
        <v>2903</v>
      </c>
    </row>
    <row r="839" ht="15.75" customHeight="1">
      <c r="A839" s="183" t="s">
        <v>2905</v>
      </c>
      <c r="B839" s="183" t="s">
        <v>2906</v>
      </c>
      <c r="C839" s="183" t="s">
        <v>2907</v>
      </c>
    </row>
    <row r="840" ht="15.75" customHeight="1">
      <c r="A840" s="183" t="s">
        <v>2909</v>
      </c>
      <c r="B840" s="183" t="s">
        <v>2910</v>
      </c>
      <c r="C840" s="183" t="s">
        <v>2911</v>
      </c>
    </row>
    <row r="841" ht="15.75" customHeight="1">
      <c r="A841" s="183" t="s">
        <v>2912</v>
      </c>
      <c r="B841" s="183" t="s">
        <v>2913</v>
      </c>
      <c r="C841" s="183" t="s">
        <v>2914</v>
      </c>
    </row>
    <row r="842" ht="15.75" customHeight="1">
      <c r="A842" s="183" t="s">
        <v>2915</v>
      </c>
      <c r="B842" s="183" t="s">
        <v>2916</v>
      </c>
      <c r="C842" s="183" t="s">
        <v>2918</v>
      </c>
    </row>
    <row r="843" ht="15.75" customHeight="1">
      <c r="A843" s="183" t="s">
        <v>2919</v>
      </c>
      <c r="B843" s="183" t="s">
        <v>2920</v>
      </c>
      <c r="C843" s="183" t="s">
        <v>2921</v>
      </c>
    </row>
    <row r="844" ht="15.75" customHeight="1">
      <c r="A844" s="183" t="s">
        <v>2922</v>
      </c>
      <c r="B844" s="183" t="s">
        <v>2923</v>
      </c>
      <c r="C844" s="183" t="s">
        <v>2924</v>
      </c>
    </row>
    <row r="845" ht="15.75" customHeight="1">
      <c r="A845" s="183" t="s">
        <v>2925</v>
      </c>
      <c r="B845" s="183" t="s">
        <v>2927</v>
      </c>
      <c r="C845" s="183" t="s">
        <v>2928</v>
      </c>
    </row>
    <row r="846" ht="15.75" customHeight="1">
      <c r="A846" s="183" t="s">
        <v>2929</v>
      </c>
      <c r="B846" s="183" t="s">
        <v>2931</v>
      </c>
      <c r="C846" s="183"/>
    </row>
    <row r="847" ht="15.75" customHeight="1">
      <c r="A847" s="183" t="s">
        <v>2932</v>
      </c>
      <c r="B847" s="183"/>
      <c r="C847" s="183"/>
    </row>
    <row r="848" ht="15.75" customHeight="1">
      <c r="A848" s="183" t="s">
        <v>2935</v>
      </c>
      <c r="B848" s="183" t="s">
        <v>2936</v>
      </c>
      <c r="C848" s="183" t="s">
        <v>2937</v>
      </c>
    </row>
    <row r="849" ht="15.75" customHeight="1">
      <c r="A849" s="183" t="s">
        <v>2938</v>
      </c>
      <c r="B849" s="183" t="s">
        <v>2940</v>
      </c>
      <c r="C849" s="183" t="s">
        <v>2941</v>
      </c>
    </row>
    <row r="850" ht="15.75" customHeight="1">
      <c r="A850" s="183" t="s">
        <v>2942</v>
      </c>
      <c r="B850" s="183" t="s">
        <v>2943</v>
      </c>
      <c r="C850" s="183" t="s">
        <v>2944</v>
      </c>
    </row>
    <row r="851" ht="15.75" customHeight="1">
      <c r="A851" s="183" t="s">
        <v>2945</v>
      </c>
      <c r="B851" s="183" t="s">
        <v>2946</v>
      </c>
      <c r="C851" s="183" t="s">
        <v>2947</v>
      </c>
    </row>
    <row r="852" ht="15.75" customHeight="1">
      <c r="A852" s="183" t="s">
        <v>2949</v>
      </c>
      <c r="B852" s="183"/>
      <c r="C852" s="183"/>
    </row>
    <row r="853" ht="15.75" customHeight="1">
      <c r="A853" s="183" t="s">
        <v>2950</v>
      </c>
      <c r="B853" s="183"/>
      <c r="C853" s="183"/>
    </row>
    <row r="854" ht="15.75" customHeight="1">
      <c r="A854" s="183" t="s">
        <v>2951</v>
      </c>
      <c r="B854" s="183" t="s">
        <v>2952</v>
      </c>
      <c r="C854" s="183" t="s">
        <v>2953</v>
      </c>
    </row>
    <row r="855" ht="15.75" customHeight="1">
      <c r="A855" s="183" t="s">
        <v>2954</v>
      </c>
      <c r="B855" s="183" t="s">
        <v>2956</v>
      </c>
      <c r="C855" s="183" t="s">
        <v>2957</v>
      </c>
    </row>
    <row r="856" ht="15.75" customHeight="1">
      <c r="A856" s="183" t="s">
        <v>2958</v>
      </c>
      <c r="B856" s="183" t="s">
        <v>2959</v>
      </c>
      <c r="C856" s="183" t="s">
        <v>2960</v>
      </c>
    </row>
    <row r="857" ht="15.75" customHeight="1">
      <c r="A857" s="183" t="s">
        <v>2962</v>
      </c>
      <c r="B857" s="183" t="s">
        <v>2963</v>
      </c>
      <c r="C857" s="183" t="s">
        <v>2964</v>
      </c>
    </row>
    <row r="858" ht="15.75" customHeight="1">
      <c r="A858" s="183" t="s">
        <v>2965</v>
      </c>
      <c r="B858" s="183" t="s">
        <v>2967</v>
      </c>
      <c r="C858" s="183" t="s">
        <v>2968</v>
      </c>
    </row>
    <row r="859" ht="15.75" customHeight="1">
      <c r="A859" s="183" t="s">
        <v>2969</v>
      </c>
      <c r="B859" s="183" t="s">
        <v>2970</v>
      </c>
      <c r="C859" s="183" t="s">
        <v>2972</v>
      </c>
    </row>
    <row r="860" ht="15.75" customHeight="1">
      <c r="A860" s="183" t="s">
        <v>2973</v>
      </c>
      <c r="B860" s="183" t="s">
        <v>2974</v>
      </c>
      <c r="C860" s="183" t="s">
        <v>2975</v>
      </c>
    </row>
    <row r="861" ht="15.75" customHeight="1">
      <c r="A861" s="183" t="s">
        <v>2976</v>
      </c>
      <c r="B861" s="183" t="s">
        <v>123</v>
      </c>
      <c r="C861" s="183"/>
    </row>
    <row r="862" ht="15.75" customHeight="1">
      <c r="A862" s="183" t="s">
        <v>2977</v>
      </c>
      <c r="B862" s="183"/>
      <c r="C862" s="183"/>
    </row>
    <row r="863" ht="15.75" customHeight="1">
      <c r="A863" s="183" t="s">
        <v>2978</v>
      </c>
      <c r="B863" s="183" t="s">
        <v>2979</v>
      </c>
      <c r="C863" s="183" t="s">
        <v>2981</v>
      </c>
    </row>
    <row r="864" ht="15.75" customHeight="1">
      <c r="A864" s="183" t="s">
        <v>2982</v>
      </c>
      <c r="B864" s="183" t="s">
        <v>2983</v>
      </c>
      <c r="C864" s="183" t="s">
        <v>2984</v>
      </c>
    </row>
    <row r="865" ht="15.75" customHeight="1">
      <c r="A865" s="183" t="s">
        <v>2985</v>
      </c>
      <c r="B865" s="183" t="s">
        <v>2986</v>
      </c>
      <c r="C865" s="183"/>
    </row>
    <row r="866" ht="15.75" customHeight="1">
      <c r="A866" s="183" t="s">
        <v>2988</v>
      </c>
      <c r="B866" s="183"/>
      <c r="C866" s="183"/>
    </row>
    <row r="867" ht="15.75" customHeight="1">
      <c r="A867" s="183" t="s">
        <v>2989</v>
      </c>
      <c r="B867" s="183" t="s">
        <v>2990</v>
      </c>
      <c r="C867" s="183"/>
    </row>
    <row r="868" ht="15.75" customHeight="1">
      <c r="A868" s="183" t="s">
        <v>2991</v>
      </c>
      <c r="B868" s="183" t="s">
        <v>123</v>
      </c>
      <c r="C868" s="183"/>
    </row>
    <row r="869" ht="15.75" customHeight="1">
      <c r="A869" s="183" t="s">
        <v>2993</v>
      </c>
      <c r="B869" s="183" t="s">
        <v>2994</v>
      </c>
      <c r="C869" s="183" t="s">
        <v>2995</v>
      </c>
    </row>
    <row r="870" ht="15.75" customHeight="1">
      <c r="A870" s="183" t="s">
        <v>2997</v>
      </c>
      <c r="B870" s="183"/>
      <c r="C870" s="183"/>
    </row>
    <row r="871" ht="15.75" customHeight="1">
      <c r="A871" s="183" t="s">
        <v>2998</v>
      </c>
      <c r="B871" s="183" t="s">
        <v>2999</v>
      </c>
      <c r="C871" s="183"/>
    </row>
    <row r="872" ht="15.75" customHeight="1">
      <c r="A872" s="183" t="s">
        <v>3000</v>
      </c>
      <c r="B872" s="183" t="s">
        <v>123</v>
      </c>
      <c r="C872" s="183"/>
    </row>
    <row r="873" ht="15.75" customHeight="1">
      <c r="A873" s="183" t="s">
        <v>3001</v>
      </c>
      <c r="B873" s="183"/>
      <c r="C873" s="183"/>
    </row>
    <row r="874" ht="15.75" customHeight="1">
      <c r="A874" s="183" t="s">
        <v>3002</v>
      </c>
      <c r="B874" s="183" t="s">
        <v>3004</v>
      </c>
      <c r="C874" s="183"/>
    </row>
    <row r="875" ht="15.75" customHeight="1">
      <c r="A875" s="183" t="s">
        <v>3005</v>
      </c>
      <c r="B875" s="183"/>
      <c r="C875" s="183"/>
    </row>
    <row r="876" ht="15.75" customHeight="1">
      <c r="A876" s="183" t="s">
        <v>3006</v>
      </c>
      <c r="B876" s="183" t="s">
        <v>3007</v>
      </c>
      <c r="C876" s="183" t="s">
        <v>3008</v>
      </c>
    </row>
    <row r="877" ht="15.75" customHeight="1">
      <c r="A877" s="183" t="s">
        <v>3010</v>
      </c>
      <c r="B877" s="183" t="s">
        <v>3011</v>
      </c>
      <c r="C877" s="183"/>
    </row>
    <row r="878" ht="15.75" customHeight="1">
      <c r="A878" s="183" t="s">
        <v>3012</v>
      </c>
      <c r="B878" s="183" t="s">
        <v>3013</v>
      </c>
      <c r="C878" s="183"/>
    </row>
    <row r="879" ht="15.75" customHeight="1">
      <c r="A879" s="183" t="s">
        <v>3014</v>
      </c>
      <c r="B879" s="183" t="s">
        <v>3015</v>
      </c>
      <c r="C879" s="183" t="s">
        <v>3016</v>
      </c>
    </row>
    <row r="880" ht="15.75" customHeight="1">
      <c r="A880" s="183" t="s">
        <v>3017</v>
      </c>
      <c r="B880" s="183" t="s">
        <v>3019</v>
      </c>
      <c r="C880" s="183" t="s">
        <v>3020</v>
      </c>
    </row>
    <row r="881" ht="15.75" customHeight="1">
      <c r="A881" s="183" t="s">
        <v>3021</v>
      </c>
      <c r="B881" s="183" t="s">
        <v>3022</v>
      </c>
      <c r="C881" s="183"/>
    </row>
    <row r="882" ht="15.75" customHeight="1">
      <c r="A882" s="183" t="s">
        <v>3023</v>
      </c>
      <c r="B882" s="183" t="s">
        <v>3024</v>
      </c>
      <c r="C882" s="183" t="s">
        <v>3025</v>
      </c>
    </row>
    <row r="883" ht="15.75" customHeight="1">
      <c r="A883" s="183" t="s">
        <v>3026</v>
      </c>
      <c r="B883" s="183" t="s">
        <v>3028</v>
      </c>
      <c r="C883" s="183"/>
    </row>
    <row r="884" ht="15.75" customHeight="1">
      <c r="A884" s="183" t="s">
        <v>3029</v>
      </c>
      <c r="B884" s="183" t="s">
        <v>3031</v>
      </c>
      <c r="C884" s="183" t="s">
        <v>3032</v>
      </c>
    </row>
    <row r="885" ht="15.75" customHeight="1">
      <c r="A885" s="183" t="s">
        <v>3033</v>
      </c>
      <c r="B885" s="183"/>
      <c r="C885" s="183"/>
    </row>
    <row r="886" ht="15.75" customHeight="1">
      <c r="A886" s="183" t="s">
        <v>3034</v>
      </c>
      <c r="B886" s="183" t="s">
        <v>3035</v>
      </c>
      <c r="C886" s="183" t="s">
        <v>3036</v>
      </c>
    </row>
    <row r="887" ht="15.75" customHeight="1">
      <c r="A887" s="183" t="s">
        <v>3037</v>
      </c>
      <c r="B887" s="183" t="s">
        <v>3038</v>
      </c>
      <c r="C887" s="183" t="s">
        <v>3039</v>
      </c>
    </row>
    <row r="888" ht="15.75" customHeight="1">
      <c r="A888" s="183" t="s">
        <v>3040</v>
      </c>
      <c r="B888" s="183"/>
      <c r="C888" s="183"/>
    </row>
    <row r="889" ht="15.75" customHeight="1">
      <c r="A889" s="183" t="s">
        <v>3041</v>
      </c>
      <c r="B889" s="183" t="s">
        <v>123</v>
      </c>
      <c r="C889" s="183"/>
    </row>
    <row r="890" ht="15.75" customHeight="1">
      <c r="A890" s="183" t="s">
        <v>3042</v>
      </c>
      <c r="B890" s="183" t="s">
        <v>3043</v>
      </c>
      <c r="C890" s="183" t="s">
        <v>3045</v>
      </c>
    </row>
    <row r="891" ht="15.75" customHeight="1">
      <c r="A891" s="183" t="s">
        <v>3046</v>
      </c>
      <c r="B891" s="183"/>
      <c r="C891" s="183"/>
    </row>
    <row r="892" ht="15.75" customHeight="1">
      <c r="A892" s="183" t="s">
        <v>3047</v>
      </c>
      <c r="B892" s="183" t="s">
        <v>3048</v>
      </c>
      <c r="C892" s="183" t="s">
        <v>3049</v>
      </c>
    </row>
    <row r="893" ht="15.75" customHeight="1">
      <c r="A893" s="183" t="s">
        <v>3050</v>
      </c>
      <c r="B893" s="183" t="s">
        <v>3051</v>
      </c>
      <c r="C893" s="183" t="s">
        <v>3052</v>
      </c>
    </row>
    <row r="894" ht="15.75" customHeight="1">
      <c r="A894" s="183" t="s">
        <v>3053</v>
      </c>
      <c r="B894" s="183" t="s">
        <v>3054</v>
      </c>
      <c r="C894" s="183" t="s">
        <v>3055</v>
      </c>
    </row>
    <row r="895" ht="15.75" customHeight="1">
      <c r="A895" s="183" t="s">
        <v>3056</v>
      </c>
      <c r="B895" s="183" t="s">
        <v>3058</v>
      </c>
      <c r="C895" s="183" t="s">
        <v>3059</v>
      </c>
    </row>
    <row r="896" ht="15.75" customHeight="1">
      <c r="A896" s="183" t="s">
        <v>3060</v>
      </c>
      <c r="B896" s="183" t="s">
        <v>3061</v>
      </c>
      <c r="C896" s="183" t="s">
        <v>3062</v>
      </c>
    </row>
    <row r="897" ht="15.75" customHeight="1">
      <c r="A897" s="183" t="s">
        <v>3063</v>
      </c>
      <c r="B897" s="183" t="s">
        <v>3065</v>
      </c>
      <c r="C897" s="183" t="s">
        <v>3066</v>
      </c>
    </row>
    <row r="898" ht="15.75" customHeight="1">
      <c r="A898" s="183" t="s">
        <v>3067</v>
      </c>
      <c r="B898" s="183" t="s">
        <v>3068</v>
      </c>
      <c r="C898" s="183"/>
    </row>
    <row r="899" ht="15.75" customHeight="1">
      <c r="A899" s="183" t="s">
        <v>3069</v>
      </c>
      <c r="B899" s="183" t="s">
        <v>3070</v>
      </c>
      <c r="C899" s="183"/>
    </row>
    <row r="900" ht="15.75" customHeight="1">
      <c r="A900" s="183" t="s">
        <v>3072</v>
      </c>
      <c r="B900" s="183" t="s">
        <v>3073</v>
      </c>
      <c r="C900" s="183"/>
    </row>
    <row r="901" ht="15.75" customHeight="1">
      <c r="A901" s="183" t="s">
        <v>3074</v>
      </c>
      <c r="B901" s="183" t="s">
        <v>3075</v>
      </c>
      <c r="C901" s="183" t="s">
        <v>3076</v>
      </c>
    </row>
    <row r="902" ht="15.75" customHeight="1">
      <c r="A902" s="183" t="s">
        <v>3077</v>
      </c>
      <c r="B902" s="183" t="s">
        <v>3078</v>
      </c>
      <c r="C902" s="183"/>
    </row>
    <row r="903" ht="15.75" customHeight="1">
      <c r="A903" s="183" t="s">
        <v>3079</v>
      </c>
      <c r="B903" s="183" t="s">
        <v>3080</v>
      </c>
      <c r="C903" s="183" t="s">
        <v>3081</v>
      </c>
    </row>
    <row r="904" ht="15.75" customHeight="1">
      <c r="A904" s="183" t="s">
        <v>3082</v>
      </c>
      <c r="B904" s="183" t="s">
        <v>3083</v>
      </c>
      <c r="C904" s="183" t="s">
        <v>3084</v>
      </c>
    </row>
    <row r="905" ht="15.75" customHeight="1">
      <c r="A905" s="183" t="s">
        <v>3085</v>
      </c>
      <c r="B905" s="183" t="s">
        <v>3086</v>
      </c>
      <c r="C905" s="183" t="s">
        <v>3087</v>
      </c>
    </row>
    <row r="906" ht="15.75" customHeight="1">
      <c r="A906" s="183" t="s">
        <v>3088</v>
      </c>
      <c r="B906" s="183" t="s">
        <v>3089</v>
      </c>
      <c r="C906" s="183"/>
    </row>
    <row r="907" ht="15.75" customHeight="1">
      <c r="A907" s="183" t="s">
        <v>3090</v>
      </c>
      <c r="B907" s="183" t="s">
        <v>3091</v>
      </c>
      <c r="C907" s="183" t="s">
        <v>3092</v>
      </c>
    </row>
    <row r="908" ht="15.75" customHeight="1">
      <c r="A908" s="183" t="s">
        <v>3093</v>
      </c>
      <c r="B908" s="183" t="s">
        <v>3094</v>
      </c>
      <c r="C908" s="183" t="s">
        <v>3095</v>
      </c>
    </row>
    <row r="909" ht="15.75" customHeight="1">
      <c r="A909" s="183" t="s">
        <v>3096</v>
      </c>
      <c r="B909" s="183" t="s">
        <v>3097</v>
      </c>
      <c r="C909" s="183" t="s">
        <v>3098</v>
      </c>
    </row>
    <row r="910" ht="15.75" customHeight="1">
      <c r="A910" s="183" t="s">
        <v>3099</v>
      </c>
      <c r="B910" s="183" t="s">
        <v>3100</v>
      </c>
      <c r="C910" s="183"/>
    </row>
    <row r="911" ht="15.75" customHeight="1">
      <c r="A911" s="183" t="s">
        <v>3101</v>
      </c>
      <c r="B911" s="183" t="s">
        <v>3102</v>
      </c>
      <c r="C911" s="183"/>
    </row>
    <row r="912" ht="15.75" customHeight="1">
      <c r="A912" s="183" t="s">
        <v>3103</v>
      </c>
      <c r="B912" s="183" t="s">
        <v>3107</v>
      </c>
      <c r="C912" s="183" t="s">
        <v>3108</v>
      </c>
    </row>
    <row r="913" ht="15.75" customHeight="1">
      <c r="A913" s="183" t="s">
        <v>3109</v>
      </c>
      <c r="B913" s="183" t="s">
        <v>3110</v>
      </c>
      <c r="C913" s="183" t="s">
        <v>3111</v>
      </c>
    </row>
    <row r="914" ht="15.75" customHeight="1">
      <c r="A914" s="183" t="s">
        <v>3112</v>
      </c>
      <c r="B914" s="183"/>
      <c r="C914" s="183"/>
    </row>
    <row r="915" ht="15.75" customHeight="1">
      <c r="A915" s="183" t="s">
        <v>3113</v>
      </c>
      <c r="B915" s="183"/>
      <c r="C915" s="183"/>
    </row>
    <row r="916" ht="15.75" customHeight="1">
      <c r="A916" s="183" t="s">
        <v>3115</v>
      </c>
      <c r="B916" s="183"/>
      <c r="C916" s="183"/>
    </row>
    <row r="917" ht="15.75" customHeight="1">
      <c r="A917" s="183" t="s">
        <v>3116</v>
      </c>
      <c r="B917" s="183" t="s">
        <v>3117</v>
      </c>
      <c r="C917" s="183" t="s">
        <v>3118</v>
      </c>
    </row>
    <row r="918" ht="15.75" customHeight="1">
      <c r="A918" s="183" t="s">
        <v>3119</v>
      </c>
      <c r="B918" s="183"/>
      <c r="C918" s="183"/>
    </row>
    <row r="919" ht="15.75" customHeight="1">
      <c r="A919" s="183" t="s">
        <v>3120</v>
      </c>
      <c r="B919" s="183" t="s">
        <v>3121</v>
      </c>
      <c r="C919" s="183" t="s">
        <v>3123</v>
      </c>
    </row>
    <row r="920" ht="15.75" customHeight="1">
      <c r="A920" s="183" t="s">
        <v>3124</v>
      </c>
      <c r="B920" s="183" t="s">
        <v>3125</v>
      </c>
      <c r="C920" s="183"/>
    </row>
    <row r="921" ht="15.75" customHeight="1">
      <c r="A921" s="183" t="s">
        <v>3126</v>
      </c>
      <c r="B921" s="183" t="s">
        <v>3127</v>
      </c>
      <c r="C921" s="183" t="s">
        <v>3128</v>
      </c>
    </row>
    <row r="922" ht="15.75" customHeight="1">
      <c r="A922" s="183" t="s">
        <v>3129</v>
      </c>
      <c r="B922" s="183" t="s">
        <v>3130</v>
      </c>
      <c r="C922" s="183"/>
    </row>
    <row r="923" ht="15.75" customHeight="1">
      <c r="A923" s="183" t="s">
        <v>3131</v>
      </c>
      <c r="B923" s="183" t="s">
        <v>3132</v>
      </c>
      <c r="C923" s="183" t="s">
        <v>3133</v>
      </c>
    </row>
    <row r="924" ht="15.75" customHeight="1">
      <c r="A924" s="183" t="s">
        <v>3134</v>
      </c>
      <c r="B924" s="183" t="s">
        <v>3135</v>
      </c>
      <c r="C924" s="183"/>
    </row>
    <row r="925" ht="15.75" customHeight="1">
      <c r="A925" s="183" t="s">
        <v>3136</v>
      </c>
      <c r="B925" s="183" t="s">
        <v>3137</v>
      </c>
      <c r="C925" s="183" t="s">
        <v>3138</v>
      </c>
    </row>
    <row r="926" ht="15.75" customHeight="1">
      <c r="A926" s="183" t="s">
        <v>3139</v>
      </c>
      <c r="B926" s="183" t="s">
        <v>3140</v>
      </c>
      <c r="C926" s="183" t="s">
        <v>3141</v>
      </c>
    </row>
    <row r="927" ht="15.75" customHeight="1">
      <c r="A927" s="183" t="s">
        <v>3143</v>
      </c>
      <c r="B927" s="183" t="s">
        <v>3145</v>
      </c>
      <c r="C927" s="183" t="s">
        <v>3146</v>
      </c>
    </row>
    <row r="928" ht="15.75" customHeight="1">
      <c r="A928" s="183" t="s">
        <v>3147</v>
      </c>
      <c r="B928" s="183"/>
      <c r="C928" s="183"/>
    </row>
    <row r="929" ht="15.75" customHeight="1">
      <c r="A929" s="183" t="s">
        <v>3148</v>
      </c>
      <c r="B929" s="183"/>
      <c r="C929" s="183"/>
    </row>
    <row r="930" ht="15.75" customHeight="1">
      <c r="A930" s="183" t="s">
        <v>3149</v>
      </c>
      <c r="B930" s="183" t="s">
        <v>3150</v>
      </c>
      <c r="C930" s="183"/>
    </row>
    <row r="931" ht="15.75" customHeight="1">
      <c r="A931" s="183" t="s">
        <v>3151</v>
      </c>
      <c r="B931" s="183"/>
      <c r="C931" s="183"/>
    </row>
    <row r="932" ht="15.75" customHeight="1">
      <c r="A932" s="183" t="s">
        <v>3152</v>
      </c>
      <c r="B932" s="183" t="s">
        <v>3153</v>
      </c>
      <c r="C932" s="183" t="s">
        <v>3154</v>
      </c>
    </row>
    <row r="933" ht="15.75" customHeight="1">
      <c r="A933" s="183" t="s">
        <v>3155</v>
      </c>
      <c r="B933" s="183"/>
      <c r="C933" s="183"/>
    </row>
    <row r="934" ht="15.75" customHeight="1">
      <c r="A934" s="183" t="s">
        <v>3156</v>
      </c>
      <c r="B934" s="183"/>
      <c r="C934" s="183"/>
    </row>
    <row r="935" ht="15.75" customHeight="1">
      <c r="A935" s="183" t="s">
        <v>3157</v>
      </c>
      <c r="B935" s="183" t="s">
        <v>3158</v>
      </c>
      <c r="C935" s="183" t="s">
        <v>3159</v>
      </c>
    </row>
    <row r="936" ht="15.75" customHeight="1">
      <c r="A936" s="183" t="s">
        <v>3160</v>
      </c>
      <c r="B936" s="183" t="s">
        <v>3161</v>
      </c>
      <c r="C936" s="183" t="s">
        <v>3162</v>
      </c>
    </row>
    <row r="937" ht="15.75" customHeight="1">
      <c r="A937" s="183" t="s">
        <v>3163</v>
      </c>
      <c r="B937" s="183" t="s">
        <v>3164</v>
      </c>
      <c r="C937" s="183"/>
    </row>
    <row r="938" ht="15.75" customHeight="1">
      <c r="A938" s="183" t="s">
        <v>3165</v>
      </c>
      <c r="B938" s="183" t="s">
        <v>3166</v>
      </c>
      <c r="C938" s="183" t="s">
        <v>3167</v>
      </c>
    </row>
    <row r="939" ht="15.75" customHeight="1">
      <c r="A939" s="183" t="s">
        <v>3168</v>
      </c>
      <c r="B939" s="183" t="s">
        <v>3169</v>
      </c>
      <c r="C939" s="183" t="s">
        <v>3170</v>
      </c>
    </row>
    <row r="940" ht="15.75" customHeight="1">
      <c r="A940" s="183" t="s">
        <v>3171</v>
      </c>
      <c r="B940" s="183" t="s">
        <v>3172</v>
      </c>
      <c r="C940" s="183" t="s">
        <v>3173</v>
      </c>
    </row>
    <row r="941" ht="15.75" customHeight="1">
      <c r="A941" s="183" t="s">
        <v>3174</v>
      </c>
      <c r="B941" s="183" t="s">
        <v>3175</v>
      </c>
      <c r="C941" s="183"/>
    </row>
    <row r="942" ht="15.75" customHeight="1">
      <c r="A942" s="183" t="s">
        <v>3176</v>
      </c>
      <c r="B942" s="183"/>
      <c r="C942" s="183"/>
    </row>
    <row r="943" ht="15.75" customHeight="1">
      <c r="A943" s="183" t="s">
        <v>3177</v>
      </c>
      <c r="B943" s="183" t="s">
        <v>3178</v>
      </c>
      <c r="C943" s="183" t="s">
        <v>3179</v>
      </c>
    </row>
    <row r="944" ht="15.75" customHeight="1">
      <c r="A944" s="183" t="s">
        <v>3180</v>
      </c>
      <c r="B944" s="183" t="s">
        <v>3182</v>
      </c>
      <c r="C944" s="183" t="s">
        <v>3183</v>
      </c>
    </row>
    <row r="945" ht="15.75" customHeight="1">
      <c r="A945" s="183" t="s">
        <v>3184</v>
      </c>
      <c r="B945" s="183"/>
      <c r="C945" s="183" t="s">
        <v>3185</v>
      </c>
    </row>
    <row r="946" ht="15.75" customHeight="1">
      <c r="A946" s="183" t="s">
        <v>3187</v>
      </c>
      <c r="B946" s="183" t="s">
        <v>3188</v>
      </c>
      <c r="C946" s="183" t="s">
        <v>3189</v>
      </c>
    </row>
    <row r="947" ht="15.75" customHeight="1">
      <c r="A947" s="183" t="s">
        <v>3190</v>
      </c>
      <c r="B947" s="183" t="s">
        <v>3191</v>
      </c>
      <c r="C947" s="183" t="s">
        <v>3192</v>
      </c>
    </row>
    <row r="948" ht="15.75" customHeight="1">
      <c r="A948" s="183" t="s">
        <v>3193</v>
      </c>
      <c r="B948" s="183"/>
      <c r="C948" s="183"/>
    </row>
    <row r="949" ht="15.75" customHeight="1">
      <c r="A949" s="183" t="s">
        <v>3194</v>
      </c>
      <c r="B949" s="183"/>
      <c r="C949" s="183"/>
    </row>
    <row r="950" ht="15.75" customHeight="1">
      <c r="A950" s="183" t="s">
        <v>3195</v>
      </c>
      <c r="B950" s="183" t="s">
        <v>3196</v>
      </c>
      <c r="C950" s="183"/>
    </row>
    <row r="951" ht="15.75" customHeight="1">
      <c r="A951" s="183" t="s">
        <v>3197</v>
      </c>
      <c r="B951" s="183" t="s">
        <v>3198</v>
      </c>
      <c r="C951" s="183" t="s">
        <v>3199</v>
      </c>
    </row>
    <row r="952" ht="15.75" customHeight="1">
      <c r="A952" s="183" t="s">
        <v>3200</v>
      </c>
      <c r="B952" s="183"/>
      <c r="C952" s="183"/>
    </row>
    <row r="953" ht="15.75" customHeight="1">
      <c r="A953" s="183" t="s">
        <v>3201</v>
      </c>
      <c r="B953" s="183" t="s">
        <v>3202</v>
      </c>
      <c r="C953" s="183"/>
    </row>
    <row r="954" ht="15.75" customHeight="1">
      <c r="A954" s="183" t="s">
        <v>3203</v>
      </c>
      <c r="B954" s="183" t="s">
        <v>3204</v>
      </c>
      <c r="C954" s="183" t="s">
        <v>3205</v>
      </c>
    </row>
    <row r="955" ht="15.75" customHeight="1">
      <c r="A955" s="183" t="s">
        <v>3206</v>
      </c>
      <c r="B955" s="183" t="s">
        <v>123</v>
      </c>
      <c r="C955" s="183"/>
    </row>
    <row r="956" ht="15.75" customHeight="1">
      <c r="A956" s="183" t="s">
        <v>3208</v>
      </c>
      <c r="B956" s="183"/>
      <c r="C956" s="183"/>
    </row>
    <row r="957" ht="15.75" customHeight="1">
      <c r="A957" s="183" t="s">
        <v>3209</v>
      </c>
      <c r="B957" s="183" t="s">
        <v>3211</v>
      </c>
      <c r="C957" s="183" t="s">
        <v>3212</v>
      </c>
    </row>
    <row r="958" ht="15.75" customHeight="1">
      <c r="A958" s="183" t="s">
        <v>3214</v>
      </c>
      <c r="B958" s="183" t="s">
        <v>3216</v>
      </c>
      <c r="C958" s="183"/>
    </row>
    <row r="959" ht="15.75" customHeight="1">
      <c r="A959" s="183" t="s">
        <v>3218</v>
      </c>
      <c r="B959" s="183" t="s">
        <v>3219</v>
      </c>
      <c r="C959" s="183"/>
    </row>
    <row r="960" ht="15.75" customHeight="1">
      <c r="A960" s="183" t="s">
        <v>3220</v>
      </c>
      <c r="B960" s="183" t="s">
        <v>3221</v>
      </c>
      <c r="C960" s="183" t="s">
        <v>3222</v>
      </c>
    </row>
    <row r="961" ht="15.75" customHeight="1">
      <c r="A961" s="183" t="s">
        <v>3224</v>
      </c>
      <c r="B961" s="183" t="s">
        <v>3225</v>
      </c>
      <c r="C961" s="183" t="s">
        <v>3226</v>
      </c>
    </row>
    <row r="962" ht="15.75" customHeight="1">
      <c r="A962" s="183" t="s">
        <v>3227</v>
      </c>
      <c r="B962" s="183" t="s">
        <v>3228</v>
      </c>
      <c r="C962" s="183" t="s">
        <v>3229</v>
      </c>
    </row>
    <row r="963" ht="15.75" customHeight="1">
      <c r="A963" s="183" t="s">
        <v>3230</v>
      </c>
      <c r="B963" s="183" t="s">
        <v>3231</v>
      </c>
      <c r="C963" s="183" t="s">
        <v>3233</v>
      </c>
    </row>
    <row r="964" ht="15.75" customHeight="1">
      <c r="A964" s="183" t="s">
        <v>3234</v>
      </c>
      <c r="B964" s="183"/>
      <c r="C964" s="183"/>
    </row>
    <row r="965" ht="15.75" customHeight="1">
      <c r="A965" s="183" t="s">
        <v>3235</v>
      </c>
      <c r="B965" s="183" t="s">
        <v>3236</v>
      </c>
      <c r="C965" s="183" t="s">
        <v>3237</v>
      </c>
    </row>
    <row r="966" ht="15.75" customHeight="1">
      <c r="A966" s="183" t="s">
        <v>3238</v>
      </c>
      <c r="B966" s="183" t="s">
        <v>3239</v>
      </c>
      <c r="C966" s="183" t="s">
        <v>3240</v>
      </c>
    </row>
    <row r="967" ht="15.75" customHeight="1">
      <c r="A967" s="183" t="s">
        <v>3242</v>
      </c>
      <c r="B967" s="183" t="s">
        <v>3243</v>
      </c>
      <c r="C967" s="183" t="s">
        <v>3245</v>
      </c>
    </row>
    <row r="968" ht="15.75" customHeight="1">
      <c r="A968" s="183" t="s">
        <v>3246</v>
      </c>
      <c r="B968" s="183" t="s">
        <v>743</v>
      </c>
      <c r="C968" s="183" t="s">
        <v>3247</v>
      </c>
    </row>
    <row r="969" ht="15.75" customHeight="1">
      <c r="A969" s="183" t="s">
        <v>3248</v>
      </c>
      <c r="B969" s="183" t="s">
        <v>3249</v>
      </c>
      <c r="C969" s="183" t="s">
        <v>3250</v>
      </c>
    </row>
    <row r="970" ht="15.75" customHeight="1">
      <c r="A970" s="183" t="s">
        <v>3251</v>
      </c>
      <c r="B970" s="183" t="s">
        <v>3252</v>
      </c>
      <c r="C970" s="183" t="s">
        <v>3254</v>
      </c>
    </row>
    <row r="971" ht="15.75" customHeight="1">
      <c r="A971" s="183" t="s">
        <v>3255</v>
      </c>
      <c r="B971" s="183" t="s">
        <v>3256</v>
      </c>
      <c r="C971" s="183" t="s">
        <v>3257</v>
      </c>
    </row>
    <row r="972" ht="15.75" customHeight="1">
      <c r="A972" s="183" t="s">
        <v>3258</v>
      </c>
      <c r="B972" s="183" t="s">
        <v>3259</v>
      </c>
      <c r="C972" s="183" t="s">
        <v>3260</v>
      </c>
    </row>
    <row r="973" ht="15.75" customHeight="1">
      <c r="A973" s="183" t="s">
        <v>3261</v>
      </c>
      <c r="B973" s="183" t="s">
        <v>3262</v>
      </c>
      <c r="C973" s="183" t="s">
        <v>3263</v>
      </c>
    </row>
    <row r="974" ht="15.75" customHeight="1">
      <c r="A974" s="183" t="s">
        <v>3265</v>
      </c>
      <c r="B974" s="183" t="s">
        <v>3266</v>
      </c>
      <c r="C974" s="183" t="s">
        <v>3267</v>
      </c>
    </row>
    <row r="975" ht="15.75" customHeight="1">
      <c r="A975" s="183" t="s">
        <v>3268</v>
      </c>
      <c r="B975" s="183" t="s">
        <v>3269</v>
      </c>
      <c r="C975" s="183" t="s">
        <v>3270</v>
      </c>
    </row>
    <row r="976" ht="15.75" customHeight="1">
      <c r="A976" s="183" t="s">
        <v>3271</v>
      </c>
      <c r="B976" s="183" t="s">
        <v>123</v>
      </c>
      <c r="C976" s="183"/>
    </row>
    <row r="977" ht="15.75" customHeight="1">
      <c r="A977" s="183" t="s">
        <v>3272</v>
      </c>
      <c r="B977" s="183" t="s">
        <v>3273</v>
      </c>
      <c r="C977" s="183"/>
    </row>
    <row r="978" ht="15.75" customHeight="1">
      <c r="A978" s="183" t="s">
        <v>3275</v>
      </c>
      <c r="B978" s="183" t="s">
        <v>123</v>
      </c>
      <c r="C978" s="183"/>
    </row>
    <row r="979" ht="15.75" customHeight="1">
      <c r="A979" s="183" t="s">
        <v>3277</v>
      </c>
      <c r="B979" s="183" t="s">
        <v>3278</v>
      </c>
      <c r="C979" s="183" t="s">
        <v>3279</v>
      </c>
    </row>
    <row r="980" ht="15.75" customHeight="1">
      <c r="A980" s="183" t="s">
        <v>3280</v>
      </c>
      <c r="B980" s="183" t="s">
        <v>3281</v>
      </c>
      <c r="C980" s="183" t="s">
        <v>3282</v>
      </c>
    </row>
    <row r="981" ht="15.75" customHeight="1">
      <c r="A981" s="183" t="s">
        <v>3284</v>
      </c>
      <c r="B981" s="183" t="s">
        <v>3285</v>
      </c>
      <c r="C981" s="183" t="s">
        <v>3286</v>
      </c>
    </row>
    <row r="982" ht="15.75" customHeight="1">
      <c r="A982" s="183" t="s">
        <v>3287</v>
      </c>
      <c r="B982" s="183" t="s">
        <v>3288</v>
      </c>
      <c r="C982" s="183" t="s">
        <v>3289</v>
      </c>
    </row>
    <row r="983" ht="15.75" customHeight="1">
      <c r="A983" s="183" t="s">
        <v>3290</v>
      </c>
      <c r="B983" s="183"/>
      <c r="C983" s="183"/>
    </row>
    <row r="984" ht="15.75" customHeight="1">
      <c r="A984" s="183" t="s">
        <v>3291</v>
      </c>
      <c r="B984" s="183"/>
      <c r="C984" s="183"/>
    </row>
    <row r="985" ht="15.75" customHeight="1">
      <c r="A985" s="183" t="s">
        <v>3293</v>
      </c>
      <c r="B985" s="183" t="s">
        <v>3294</v>
      </c>
      <c r="C985" s="183"/>
    </row>
    <row r="986" ht="15.75" customHeight="1">
      <c r="A986" s="183" t="s">
        <v>3295</v>
      </c>
      <c r="B986" s="183" t="s">
        <v>3296</v>
      </c>
      <c r="C986" s="183" t="s">
        <v>3297</v>
      </c>
    </row>
    <row r="987" ht="15.75" customHeight="1">
      <c r="A987" s="183" t="s">
        <v>3299</v>
      </c>
      <c r="B987" s="183" t="s">
        <v>3300</v>
      </c>
      <c r="C987" s="183" t="s">
        <v>3301</v>
      </c>
    </row>
    <row r="988" ht="15.75" customHeight="1">
      <c r="A988" s="183" t="s">
        <v>3302</v>
      </c>
      <c r="B988" s="183" t="s">
        <v>3303</v>
      </c>
      <c r="C988" s="183" t="s">
        <v>3304</v>
      </c>
    </row>
    <row r="989" ht="15.75" customHeight="1">
      <c r="A989" s="183" t="s">
        <v>3305</v>
      </c>
      <c r="B989" s="183"/>
      <c r="C989" s="183"/>
    </row>
    <row r="990" ht="15.75" customHeight="1">
      <c r="A990" s="183" t="s">
        <v>3306</v>
      </c>
      <c r="B990" s="183" t="s">
        <v>3307</v>
      </c>
      <c r="C990" s="183"/>
    </row>
    <row r="991" ht="15.75" customHeight="1">
      <c r="A991" s="183" t="s">
        <v>3308</v>
      </c>
      <c r="B991" s="183" t="s">
        <v>3310</v>
      </c>
      <c r="C991" s="183" t="s">
        <v>3311</v>
      </c>
    </row>
    <row r="992" ht="15.75" customHeight="1">
      <c r="A992" s="183" t="s">
        <v>3312</v>
      </c>
      <c r="B992" s="183" t="s">
        <v>3313</v>
      </c>
      <c r="C992" s="183" t="s">
        <v>3314</v>
      </c>
    </row>
    <row r="993" ht="15.75" customHeight="1">
      <c r="A993" s="183" t="s">
        <v>3315</v>
      </c>
      <c r="B993" s="183" t="s">
        <v>3316</v>
      </c>
      <c r="C993" s="183" t="s">
        <v>3317</v>
      </c>
    </row>
    <row r="994" ht="15.75" customHeight="1">
      <c r="A994" s="183" t="s">
        <v>3318</v>
      </c>
      <c r="B994" s="183" t="s">
        <v>3319</v>
      </c>
      <c r="C994" s="183"/>
    </row>
    <row r="995" ht="15.75" customHeight="1">
      <c r="A995" s="183" t="s">
        <v>3320</v>
      </c>
      <c r="B995" s="183" t="s">
        <v>3321</v>
      </c>
      <c r="C995" s="183" t="s">
        <v>3322</v>
      </c>
    </row>
    <row r="996" ht="15.75" customHeight="1">
      <c r="A996" s="183" t="s">
        <v>3323</v>
      </c>
      <c r="B996" s="183" t="s">
        <v>3324</v>
      </c>
      <c r="C996" s="183" t="s">
        <v>3325</v>
      </c>
    </row>
    <row r="997" ht="15.75" customHeight="1">
      <c r="A997" s="183" t="s">
        <v>3326</v>
      </c>
      <c r="B997" s="183" t="s">
        <v>3327</v>
      </c>
      <c r="C997" s="183" t="s">
        <v>3328</v>
      </c>
    </row>
    <row r="998" ht="15.75" customHeight="1">
      <c r="A998" s="183" t="s">
        <v>3329</v>
      </c>
      <c r="B998" s="183" t="s">
        <v>3330</v>
      </c>
      <c r="C998" s="183" t="s">
        <v>3331</v>
      </c>
    </row>
    <row r="999" ht="15.75" customHeight="1">
      <c r="A999" s="183" t="s">
        <v>3332</v>
      </c>
      <c r="B999" s="183" t="s">
        <v>3333</v>
      </c>
      <c r="C999" s="183" t="s">
        <v>3334</v>
      </c>
    </row>
    <row r="1000" ht="15.75" customHeight="1">
      <c r="A1000" s="183" t="s">
        <v>3335</v>
      </c>
      <c r="B1000" s="183" t="s">
        <v>3336</v>
      </c>
      <c r="C1000" s="183" t="s">
        <v>3337</v>
      </c>
    </row>
    <row r="1001" ht="15.75" customHeight="1">
      <c r="A1001" s="183" t="s">
        <v>3338</v>
      </c>
      <c r="B1001" s="183" t="s">
        <v>3339</v>
      </c>
      <c r="C1001" s="183" t="s">
        <v>3340</v>
      </c>
    </row>
    <row r="1002" ht="15.75" customHeight="1">
      <c r="A1002" s="183" t="s">
        <v>3341</v>
      </c>
      <c r="B1002" s="183" t="s">
        <v>640</v>
      </c>
      <c r="C1002" s="183" t="s">
        <v>3342</v>
      </c>
    </row>
    <row r="1003" ht="15.75" customHeight="1">
      <c r="A1003" s="183" t="s">
        <v>3343</v>
      </c>
      <c r="B1003" s="183" t="s">
        <v>3344</v>
      </c>
      <c r="C1003" s="183"/>
    </row>
    <row r="1004" ht="15.75" customHeight="1">
      <c r="A1004" s="183" t="s">
        <v>3345</v>
      </c>
      <c r="B1004" s="183" t="s">
        <v>3346</v>
      </c>
      <c r="C1004" s="183" t="s">
        <v>3347</v>
      </c>
    </row>
    <row r="1005" ht="15.75" customHeight="1">
      <c r="A1005" s="183" t="s">
        <v>3348</v>
      </c>
      <c r="B1005" s="183" t="s">
        <v>3349</v>
      </c>
      <c r="C1005" s="183" t="s">
        <v>3350</v>
      </c>
    </row>
    <row r="1006" ht="15.75" customHeight="1">
      <c r="A1006" s="183" t="s">
        <v>3351</v>
      </c>
      <c r="B1006" s="183" t="s">
        <v>3352</v>
      </c>
      <c r="C1006" s="183" t="s">
        <v>3353</v>
      </c>
    </row>
    <row r="1007" ht="15.75" customHeight="1">
      <c r="A1007" s="183" t="s">
        <v>3354</v>
      </c>
      <c r="B1007" s="183" t="s">
        <v>3355</v>
      </c>
      <c r="C1007" s="183" t="s">
        <v>3356</v>
      </c>
    </row>
    <row r="1008" ht="15.75" customHeight="1">
      <c r="A1008" s="183" t="s">
        <v>3357</v>
      </c>
      <c r="B1008" s="183" t="s">
        <v>3358</v>
      </c>
      <c r="C1008" s="183" t="s">
        <v>3359</v>
      </c>
    </row>
    <row r="1009" ht="15.75" customHeight="1">
      <c r="A1009" s="183" t="s">
        <v>3360</v>
      </c>
      <c r="B1009" s="183" t="s">
        <v>3361</v>
      </c>
      <c r="C1009" s="183" t="s">
        <v>3362</v>
      </c>
    </row>
    <row r="1010" ht="15.75" customHeight="1">
      <c r="A1010" s="183" t="s">
        <v>3363</v>
      </c>
      <c r="B1010" s="183" t="s">
        <v>3364</v>
      </c>
      <c r="C1010" s="183"/>
    </row>
    <row r="1011" ht="15.75" customHeight="1">
      <c r="A1011" s="183" t="s">
        <v>3365</v>
      </c>
      <c r="B1011" s="183" t="s">
        <v>3366</v>
      </c>
      <c r="C1011" s="183"/>
    </row>
    <row r="1012" ht="15.75" customHeight="1">
      <c r="A1012" s="183" t="s">
        <v>3367</v>
      </c>
      <c r="B1012" s="183" t="s">
        <v>3368</v>
      </c>
      <c r="C1012" s="183" t="s">
        <v>3369</v>
      </c>
    </row>
    <row r="1013" ht="15.75" customHeight="1">
      <c r="A1013" s="183" t="s">
        <v>3370</v>
      </c>
      <c r="B1013" s="183" t="s">
        <v>3371</v>
      </c>
      <c r="C1013" s="183"/>
    </row>
    <row r="1014" ht="15.75" customHeight="1">
      <c r="A1014" s="183" t="s">
        <v>3372</v>
      </c>
      <c r="B1014" s="183" t="s">
        <v>123</v>
      </c>
      <c r="C1014" s="183"/>
    </row>
    <row r="1015" ht="15.75" customHeight="1">
      <c r="A1015" s="183" t="s">
        <v>3373</v>
      </c>
      <c r="B1015" s="183" t="s">
        <v>123</v>
      </c>
      <c r="C1015" s="183" t="s">
        <v>3374</v>
      </c>
    </row>
    <row r="1016" ht="15.75" customHeight="1">
      <c r="A1016" s="183" t="s">
        <v>3375</v>
      </c>
      <c r="B1016" s="183" t="s">
        <v>3376</v>
      </c>
      <c r="C1016" s="183" t="s">
        <v>3377</v>
      </c>
    </row>
    <row r="1017" ht="15.75" customHeight="1">
      <c r="A1017" s="183" t="s">
        <v>3378</v>
      </c>
      <c r="B1017" s="183" t="s">
        <v>3379</v>
      </c>
      <c r="C1017" s="183" t="s">
        <v>3380</v>
      </c>
    </row>
    <row r="1018" ht="15.75" customHeight="1">
      <c r="A1018" s="183" t="s">
        <v>3381</v>
      </c>
      <c r="B1018" s="183" t="s">
        <v>123</v>
      </c>
      <c r="C1018" s="183"/>
    </row>
    <row r="1019" ht="15.75" customHeight="1">
      <c r="A1019" s="183" t="s">
        <v>3382</v>
      </c>
      <c r="B1019" s="183" t="s">
        <v>3383</v>
      </c>
      <c r="C1019" s="183" t="s">
        <v>3384</v>
      </c>
    </row>
    <row r="1020" ht="15.75" customHeight="1">
      <c r="A1020" s="183" t="s">
        <v>3385</v>
      </c>
      <c r="B1020" s="183" t="s">
        <v>2024</v>
      </c>
      <c r="C1020" s="183"/>
    </row>
    <row r="1021" ht="15.75" customHeight="1">
      <c r="A1021" s="183" t="s">
        <v>3386</v>
      </c>
      <c r="B1021" s="183" t="s">
        <v>123</v>
      </c>
      <c r="C1021" s="183"/>
    </row>
    <row r="1022" ht="15.75" customHeight="1">
      <c r="A1022" s="183" t="s">
        <v>3387</v>
      </c>
      <c r="B1022" s="183" t="s">
        <v>3388</v>
      </c>
      <c r="C1022" s="183" t="s">
        <v>3389</v>
      </c>
    </row>
    <row r="1023" ht="15.75" customHeight="1">
      <c r="A1023" s="183" t="s">
        <v>3390</v>
      </c>
      <c r="B1023" s="183" t="s">
        <v>3391</v>
      </c>
      <c r="C1023" s="183" t="s">
        <v>3392</v>
      </c>
    </row>
    <row r="1024" ht="15.75" customHeight="1">
      <c r="A1024" s="183" t="s">
        <v>3393</v>
      </c>
      <c r="B1024" s="183" t="s">
        <v>3394</v>
      </c>
      <c r="C1024" s="183" t="s">
        <v>3395</v>
      </c>
    </row>
    <row r="1025" ht="15.75" customHeight="1">
      <c r="A1025" s="183" t="s">
        <v>3396</v>
      </c>
      <c r="B1025" s="183"/>
      <c r="C1025" s="183"/>
    </row>
    <row r="1026" ht="15.75" customHeight="1">
      <c r="A1026" s="183" t="s">
        <v>3397</v>
      </c>
      <c r="B1026" s="183"/>
      <c r="C1026" s="183"/>
    </row>
    <row r="1027" ht="15.75" customHeight="1">
      <c r="A1027" s="183" t="s">
        <v>3398</v>
      </c>
      <c r="B1027" s="183" t="s">
        <v>123</v>
      </c>
      <c r="C1027" s="183"/>
    </row>
    <row r="1028" ht="15.75" customHeight="1">
      <c r="A1028" s="183" t="s">
        <v>3399</v>
      </c>
      <c r="B1028" s="183" t="s">
        <v>3400</v>
      </c>
      <c r="C1028" s="183" t="s">
        <v>3401</v>
      </c>
    </row>
    <row r="1029" ht="15.75" customHeight="1">
      <c r="A1029" s="183" t="s">
        <v>3402</v>
      </c>
      <c r="B1029" s="183" t="s">
        <v>3403</v>
      </c>
      <c r="C1029" s="183" t="s">
        <v>3404</v>
      </c>
    </row>
    <row r="1030" ht="15.75" customHeight="1">
      <c r="A1030" s="183" t="s">
        <v>3405</v>
      </c>
      <c r="B1030" s="183"/>
      <c r="C1030" s="183"/>
    </row>
    <row r="1031" ht="15.75" customHeight="1">
      <c r="A1031" s="183" t="s">
        <v>3406</v>
      </c>
      <c r="B1031" s="183" t="s">
        <v>3407</v>
      </c>
      <c r="C1031" s="183" t="s">
        <v>3408</v>
      </c>
    </row>
    <row r="1032" ht="15.75" customHeight="1">
      <c r="A1032" s="183" t="s">
        <v>3409</v>
      </c>
      <c r="B1032" s="183" t="s">
        <v>3410</v>
      </c>
      <c r="C1032" s="183" t="s">
        <v>3411</v>
      </c>
    </row>
    <row r="1033" ht="15.75" customHeight="1">
      <c r="A1033" s="183" t="s">
        <v>3412</v>
      </c>
      <c r="B1033" s="183" t="s">
        <v>3413</v>
      </c>
      <c r="C1033" s="183" t="s">
        <v>3414</v>
      </c>
    </row>
    <row r="1034" ht="15.75" customHeight="1">
      <c r="A1034" s="183" t="s">
        <v>3415</v>
      </c>
      <c r="B1034" s="183" t="s">
        <v>3416</v>
      </c>
      <c r="C1034" s="183" t="s">
        <v>3417</v>
      </c>
    </row>
    <row r="1035" ht="15.75" customHeight="1">
      <c r="A1035" s="183" t="s">
        <v>3418</v>
      </c>
      <c r="B1035" s="183" t="s">
        <v>3418</v>
      </c>
      <c r="C1035" s="183"/>
    </row>
    <row r="1036" ht="15.75" customHeight="1">
      <c r="A1036" s="183" t="s">
        <v>3419</v>
      </c>
      <c r="B1036" s="183" t="s">
        <v>3420</v>
      </c>
      <c r="C1036" s="183"/>
    </row>
    <row r="1037" ht="15.75" customHeight="1">
      <c r="A1037" s="183" t="s">
        <v>3421</v>
      </c>
      <c r="B1037" s="183" t="s">
        <v>3422</v>
      </c>
      <c r="C1037" s="183" t="s">
        <v>3423</v>
      </c>
    </row>
    <row r="1038" ht="15.75" customHeight="1">
      <c r="A1038" s="183" t="s">
        <v>3424</v>
      </c>
      <c r="B1038" s="183" t="s">
        <v>3425</v>
      </c>
      <c r="C1038" s="183"/>
    </row>
    <row r="1039" ht="15.75" customHeight="1">
      <c r="A1039" s="183" t="s">
        <v>3426</v>
      </c>
      <c r="B1039" s="183" t="s">
        <v>3427</v>
      </c>
      <c r="C1039" s="183" t="s">
        <v>3428</v>
      </c>
    </row>
    <row r="1040" ht="15.75" customHeight="1">
      <c r="A1040" s="183" t="s">
        <v>3429</v>
      </c>
      <c r="B1040" s="183" t="s">
        <v>3430</v>
      </c>
      <c r="C1040" s="183"/>
    </row>
    <row r="1041" ht="15.75" customHeight="1">
      <c r="A1041" s="183" t="s">
        <v>3431</v>
      </c>
      <c r="B1041" s="183" t="s">
        <v>3432</v>
      </c>
      <c r="C1041" s="183" t="s">
        <v>3433</v>
      </c>
    </row>
    <row r="1042" ht="15.75" customHeight="1">
      <c r="A1042" s="183" t="s">
        <v>3434</v>
      </c>
      <c r="B1042" s="183" t="s">
        <v>3435</v>
      </c>
      <c r="C1042" s="183"/>
    </row>
    <row r="1043" ht="15.75" customHeight="1">
      <c r="A1043" s="183" t="s">
        <v>3436</v>
      </c>
      <c r="B1043" s="183" t="s">
        <v>3437</v>
      </c>
      <c r="C1043" s="183" t="s">
        <v>3438</v>
      </c>
    </row>
    <row r="1044" ht="15.75" customHeight="1">
      <c r="A1044" s="183" t="s">
        <v>3439</v>
      </c>
      <c r="B1044" s="183" t="s">
        <v>3440</v>
      </c>
      <c r="C1044" s="183" t="s">
        <v>3441</v>
      </c>
    </row>
    <row r="1045" ht="15.75" customHeight="1">
      <c r="A1045" s="183" t="s">
        <v>3442</v>
      </c>
      <c r="B1045" s="183"/>
      <c r="C1045" s="183"/>
    </row>
    <row r="1046" ht="15.75" customHeight="1">
      <c r="A1046" s="183" t="s">
        <v>3443</v>
      </c>
      <c r="B1046" s="183"/>
      <c r="C1046" s="183"/>
    </row>
    <row r="1047" ht="15.75" customHeight="1">
      <c r="A1047" s="183" t="s">
        <v>3444</v>
      </c>
      <c r="B1047" s="183" t="s">
        <v>3445</v>
      </c>
      <c r="C1047" s="183" t="s">
        <v>3446</v>
      </c>
    </row>
    <row r="1048" ht="15.75" customHeight="1">
      <c r="A1048" s="183" t="s">
        <v>3447</v>
      </c>
      <c r="B1048" s="183"/>
      <c r="C1048" s="183"/>
    </row>
    <row r="1049" ht="15.75" customHeight="1">
      <c r="A1049" s="183" t="s">
        <v>3448</v>
      </c>
      <c r="B1049" s="183"/>
      <c r="C1049" s="183"/>
    </row>
    <row r="1050" ht="15.75" customHeight="1">
      <c r="A1050" s="183" t="s">
        <v>3449</v>
      </c>
      <c r="B1050" s="183" t="s">
        <v>3450</v>
      </c>
      <c r="C1050" s="183"/>
    </row>
    <row r="1051" ht="15.75" customHeight="1">
      <c r="A1051" s="183" t="s">
        <v>3451</v>
      </c>
      <c r="B1051" s="183" t="s">
        <v>3452</v>
      </c>
      <c r="C1051" s="183" t="s">
        <v>3453</v>
      </c>
    </row>
    <row r="1052" ht="15.75" customHeight="1">
      <c r="A1052" s="183" t="s">
        <v>3442</v>
      </c>
      <c r="B1052" s="183" t="s">
        <v>3454</v>
      </c>
      <c r="C1052" s="183" t="s">
        <v>3455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0"/>
    <col customWidth="1" min="2" max="2" width="20.86"/>
    <col customWidth="1" min="3" max="3" width="33.29"/>
    <col customWidth="1" min="4" max="4" width="17.0"/>
    <col customWidth="1" min="5" max="5" width="26.43"/>
    <col customWidth="1" min="6" max="6" width="10.29"/>
    <col customWidth="1" min="7" max="8" width="10.71"/>
    <col customWidth="1" min="9" max="9" width="27.71"/>
    <col customWidth="1" min="10" max="10" width="52.14"/>
    <col customWidth="1" min="11" max="11" width="18.71"/>
    <col customWidth="1" hidden="1" min="12" max="12" width="99.43"/>
    <col customWidth="1" min="13" max="13" width="24.57"/>
    <col customWidth="1" min="14" max="14" width="18.71"/>
    <col customWidth="1" min="15" max="15" width="12.29"/>
    <col customWidth="1" min="16" max="16" width="12.0"/>
    <col customWidth="1" min="17" max="26" width="9.14"/>
  </cols>
  <sheetData>
    <row r="1" ht="39.75" customHeight="1">
      <c r="A1" s="210" t="s">
        <v>3456</v>
      </c>
      <c r="B1" s="210" t="s">
        <v>111</v>
      </c>
      <c r="C1" s="210"/>
      <c r="D1" s="211" t="s">
        <v>39</v>
      </c>
      <c r="E1" s="211"/>
      <c r="F1" s="211" t="s">
        <v>43</v>
      </c>
      <c r="G1" s="211" t="s">
        <v>44</v>
      </c>
      <c r="H1" s="211" t="s">
        <v>41</v>
      </c>
      <c r="I1" s="211"/>
      <c r="J1" s="212" t="s">
        <v>42</v>
      </c>
      <c r="K1" s="212" t="s">
        <v>3457</v>
      </c>
      <c r="L1" s="210" t="s">
        <v>118</v>
      </c>
      <c r="M1" s="212" t="s">
        <v>114</v>
      </c>
      <c r="N1" s="212" t="s">
        <v>3458</v>
      </c>
      <c r="O1" s="212" t="s">
        <v>115</v>
      </c>
      <c r="P1" s="212" t="s">
        <v>116</v>
      </c>
      <c r="Q1" s="213"/>
      <c r="R1" s="213"/>
      <c r="S1" s="213"/>
      <c r="T1" s="213"/>
      <c r="U1" s="213"/>
      <c r="V1" s="213"/>
      <c r="W1" s="213"/>
      <c r="X1" s="213"/>
      <c r="Y1" s="213"/>
      <c r="Z1" s="213"/>
    </row>
    <row r="2" ht="24.75" customHeight="1">
      <c r="A2" s="201" t="s">
        <v>191</v>
      </c>
      <c r="B2" s="201" t="s">
        <v>3459</v>
      </c>
      <c r="C2" s="201" t="s">
        <v>191</v>
      </c>
      <c r="D2" s="201" t="s">
        <v>122</v>
      </c>
      <c r="E2" s="201" t="s">
        <v>191</v>
      </c>
      <c r="F2" s="201" t="s">
        <v>123</v>
      </c>
      <c r="G2" s="201">
        <v>22.0</v>
      </c>
      <c r="H2" s="201">
        <v>78.0</v>
      </c>
      <c r="I2" s="201" t="s">
        <v>191</v>
      </c>
      <c r="J2" s="215" t="s">
        <v>3460</v>
      </c>
      <c r="K2" s="215" t="s">
        <v>3462</v>
      </c>
      <c r="L2" s="216"/>
      <c r="M2" s="213" t="s">
        <v>3463</v>
      </c>
      <c r="N2" s="215" t="s">
        <v>126</v>
      </c>
      <c r="O2" s="215" t="s">
        <v>2933</v>
      </c>
      <c r="P2" s="215" t="s">
        <v>3464</v>
      </c>
      <c r="Q2" s="213"/>
      <c r="R2" s="213"/>
      <c r="S2" s="213"/>
      <c r="T2" s="213"/>
      <c r="U2" s="213"/>
      <c r="V2" s="213"/>
      <c r="W2" s="213"/>
      <c r="X2" s="213"/>
      <c r="Y2" s="213"/>
      <c r="Z2" s="213"/>
    </row>
    <row r="3" ht="24.75" customHeight="1">
      <c r="A3" s="201" t="s">
        <v>3465</v>
      </c>
      <c r="B3" s="201" t="s">
        <v>3459</v>
      </c>
      <c r="C3" s="201" t="s">
        <v>3465</v>
      </c>
      <c r="D3" s="201" t="s">
        <v>122</v>
      </c>
      <c r="E3" s="201" t="s">
        <v>3465</v>
      </c>
      <c r="F3" s="201">
        <v>0.88</v>
      </c>
      <c r="G3" s="201" t="s">
        <v>123</v>
      </c>
      <c r="H3" s="201" t="s">
        <v>123</v>
      </c>
      <c r="I3" s="201" t="s">
        <v>3465</v>
      </c>
      <c r="J3" s="215" t="s">
        <v>3460</v>
      </c>
      <c r="K3" s="215" t="s">
        <v>123</v>
      </c>
      <c r="L3" s="215"/>
      <c r="M3" s="215"/>
      <c r="N3" s="201"/>
      <c r="O3" s="201"/>
      <c r="P3" s="220"/>
      <c r="Q3" s="213"/>
      <c r="R3" s="213"/>
      <c r="S3" s="213"/>
      <c r="T3" s="213"/>
      <c r="U3" s="213"/>
      <c r="V3" s="213"/>
      <c r="W3" s="213"/>
      <c r="X3" s="213"/>
      <c r="Y3" s="213"/>
      <c r="Z3" s="213"/>
    </row>
    <row r="4" ht="24.75" customHeight="1">
      <c r="A4" s="201" t="s">
        <v>3470</v>
      </c>
      <c r="B4" s="201" t="s">
        <v>3459</v>
      </c>
      <c r="C4" s="201" t="s">
        <v>3470</v>
      </c>
      <c r="D4" s="201" t="s">
        <v>122</v>
      </c>
      <c r="E4" s="201" t="s">
        <v>3470</v>
      </c>
      <c r="F4" s="201" t="s">
        <v>3472</v>
      </c>
      <c r="G4" s="201" t="s">
        <v>123</v>
      </c>
      <c r="H4" s="201" t="s">
        <v>123</v>
      </c>
      <c r="I4" s="201" t="s">
        <v>3470</v>
      </c>
      <c r="J4" s="215" t="s">
        <v>573</v>
      </c>
      <c r="K4" s="215" t="s">
        <v>123</v>
      </c>
      <c r="L4" s="215"/>
      <c r="M4" s="215"/>
      <c r="N4" s="201"/>
      <c r="O4" s="201"/>
      <c r="P4" s="201"/>
      <c r="Q4" s="213"/>
      <c r="R4" s="213"/>
      <c r="S4" s="213"/>
      <c r="T4" s="213"/>
      <c r="U4" s="213"/>
      <c r="V4" s="213"/>
      <c r="W4" s="213"/>
      <c r="X4" s="213"/>
      <c r="Y4" s="213"/>
      <c r="Z4" s="213"/>
    </row>
    <row r="5" ht="39.75" customHeight="1">
      <c r="A5" s="215" t="s">
        <v>320</v>
      </c>
      <c r="B5" s="201" t="s">
        <v>3459</v>
      </c>
      <c r="C5" s="215" t="s">
        <v>320</v>
      </c>
      <c r="D5" s="201" t="s">
        <v>122</v>
      </c>
      <c r="E5" s="215" t="s">
        <v>320</v>
      </c>
      <c r="F5" s="201">
        <v>44.0</v>
      </c>
      <c r="G5" s="201">
        <v>132.0</v>
      </c>
      <c r="H5" s="201" t="s">
        <v>123</v>
      </c>
      <c r="I5" s="215" t="s">
        <v>320</v>
      </c>
      <c r="J5" s="215" t="s">
        <v>264</v>
      </c>
      <c r="K5" s="215" t="s">
        <v>3483</v>
      </c>
      <c r="L5" s="215"/>
      <c r="M5" s="215" t="s">
        <v>3484</v>
      </c>
      <c r="N5" s="215" t="s">
        <v>126</v>
      </c>
      <c r="O5" s="201" t="s">
        <v>271</v>
      </c>
      <c r="P5" s="201" t="s">
        <v>3485</v>
      </c>
      <c r="Q5" s="213"/>
      <c r="R5" s="213"/>
      <c r="S5" s="213"/>
      <c r="T5" s="213"/>
      <c r="U5" s="213"/>
      <c r="V5" s="213"/>
      <c r="W5" s="213"/>
      <c r="X5" s="213"/>
      <c r="Y5" s="213"/>
      <c r="Z5" s="213"/>
    </row>
    <row r="6" ht="24.75" customHeight="1">
      <c r="A6" s="201" t="s">
        <v>3486</v>
      </c>
      <c r="B6" s="201" t="s">
        <v>3459</v>
      </c>
      <c r="C6" s="201" t="s">
        <v>3486</v>
      </c>
      <c r="D6" s="201" t="s">
        <v>122</v>
      </c>
      <c r="E6" s="201" t="s">
        <v>3486</v>
      </c>
      <c r="F6" s="201">
        <v>176.0</v>
      </c>
      <c r="G6" s="201" t="s">
        <v>123</v>
      </c>
      <c r="H6" s="201" t="s">
        <v>123</v>
      </c>
      <c r="I6" s="201" t="s">
        <v>3486</v>
      </c>
      <c r="J6" s="215" t="s">
        <v>264</v>
      </c>
      <c r="K6" s="215" t="s">
        <v>3483</v>
      </c>
      <c r="L6" s="215"/>
      <c r="M6" s="215" t="s">
        <v>3484</v>
      </c>
      <c r="N6" s="201" t="s">
        <v>126</v>
      </c>
      <c r="O6" s="201" t="s">
        <v>271</v>
      </c>
      <c r="P6" s="201" t="s">
        <v>3485</v>
      </c>
      <c r="Q6" s="213"/>
      <c r="R6" s="213"/>
      <c r="S6" s="213"/>
      <c r="T6" s="213"/>
      <c r="U6" s="213"/>
      <c r="V6" s="213"/>
      <c r="W6" s="213"/>
      <c r="X6" s="213"/>
      <c r="Y6" s="213"/>
      <c r="Z6" s="213"/>
    </row>
    <row r="7" ht="24.75" customHeight="1">
      <c r="A7" s="201" t="s">
        <v>3492</v>
      </c>
      <c r="B7" s="201" t="s">
        <v>3459</v>
      </c>
      <c r="C7" s="201" t="s">
        <v>3492</v>
      </c>
      <c r="D7" s="201" t="s">
        <v>122</v>
      </c>
      <c r="E7" s="201" t="s">
        <v>3492</v>
      </c>
      <c r="F7" s="201">
        <v>176.0</v>
      </c>
      <c r="G7" s="201" t="s">
        <v>123</v>
      </c>
      <c r="H7" s="201" t="s">
        <v>123</v>
      </c>
      <c r="I7" s="201" t="s">
        <v>3492</v>
      </c>
      <c r="J7" s="215" t="s">
        <v>264</v>
      </c>
      <c r="K7" s="215" t="s">
        <v>3483</v>
      </c>
      <c r="L7" s="215"/>
      <c r="M7" s="215" t="s">
        <v>3484</v>
      </c>
      <c r="N7" s="201" t="s">
        <v>126</v>
      </c>
      <c r="O7" s="201" t="s">
        <v>271</v>
      </c>
      <c r="P7" s="201" t="s">
        <v>3485</v>
      </c>
      <c r="Q7" s="213"/>
      <c r="R7" s="213"/>
      <c r="S7" s="213"/>
      <c r="T7" s="213"/>
      <c r="U7" s="213"/>
      <c r="V7" s="213"/>
      <c r="W7" s="213"/>
      <c r="X7" s="213"/>
      <c r="Y7" s="213"/>
      <c r="Z7" s="213"/>
    </row>
    <row r="8" ht="24.75" customHeight="1">
      <c r="A8" s="201" t="s">
        <v>3498</v>
      </c>
      <c r="B8" s="201" t="s">
        <v>3459</v>
      </c>
      <c r="C8" s="201" t="s">
        <v>3498</v>
      </c>
      <c r="D8" s="201" t="s">
        <v>122</v>
      </c>
      <c r="E8" s="201" t="s">
        <v>3498</v>
      </c>
      <c r="F8" s="201" t="s">
        <v>3501</v>
      </c>
      <c r="G8" s="201" t="s">
        <v>123</v>
      </c>
      <c r="H8" s="201" t="s">
        <v>123</v>
      </c>
      <c r="I8" s="201" t="s">
        <v>3498</v>
      </c>
      <c r="J8" s="215" t="s">
        <v>237</v>
      </c>
      <c r="K8" s="215" t="s">
        <v>123</v>
      </c>
      <c r="L8" s="224"/>
      <c r="M8" s="224"/>
      <c r="N8" s="201"/>
      <c r="O8" s="201"/>
      <c r="P8" s="201"/>
      <c r="Q8" s="213"/>
      <c r="R8" s="213"/>
      <c r="S8" s="213"/>
      <c r="T8" s="213"/>
      <c r="U8" s="213"/>
      <c r="V8" s="213"/>
      <c r="W8" s="213"/>
      <c r="X8" s="213"/>
      <c r="Y8" s="213"/>
      <c r="Z8" s="213"/>
    </row>
    <row r="9" ht="39.75" customHeight="1">
      <c r="A9" s="215" t="s">
        <v>267</v>
      </c>
      <c r="B9" s="201" t="s">
        <v>3459</v>
      </c>
      <c r="C9" s="215" t="s">
        <v>267</v>
      </c>
      <c r="D9" s="201" t="s">
        <v>122</v>
      </c>
      <c r="E9" s="215" t="s">
        <v>267</v>
      </c>
      <c r="F9" s="201">
        <v>352.0</v>
      </c>
      <c r="G9" s="201" t="s">
        <v>123</v>
      </c>
      <c r="H9" s="201">
        <v>310.0</v>
      </c>
      <c r="I9" s="215" t="s">
        <v>267</v>
      </c>
      <c r="J9" s="215" t="s">
        <v>264</v>
      </c>
      <c r="K9" s="226" t="s">
        <v>3483</v>
      </c>
      <c r="L9" s="226"/>
      <c r="M9" s="215" t="s">
        <v>3510</v>
      </c>
      <c r="N9" s="215" t="s">
        <v>126</v>
      </c>
      <c r="O9" s="215" t="s">
        <v>271</v>
      </c>
      <c r="P9" s="215" t="s">
        <v>3512</v>
      </c>
      <c r="Q9" s="213"/>
      <c r="R9" s="213"/>
      <c r="S9" s="213"/>
      <c r="T9" s="213"/>
      <c r="U9" s="213"/>
      <c r="V9" s="213"/>
      <c r="W9" s="213"/>
      <c r="X9" s="213"/>
      <c r="Y9" s="213"/>
      <c r="Z9" s="213"/>
    </row>
    <row r="10" ht="39.75" customHeight="1">
      <c r="A10" s="215" t="s">
        <v>253</v>
      </c>
      <c r="B10" s="201" t="s">
        <v>3459</v>
      </c>
      <c r="C10" s="215" t="s">
        <v>253</v>
      </c>
      <c r="D10" s="201" t="s">
        <v>122</v>
      </c>
      <c r="E10" s="215" t="s">
        <v>253</v>
      </c>
      <c r="F10" s="201">
        <v>4.4</v>
      </c>
      <c r="G10" s="201" t="s">
        <v>123</v>
      </c>
      <c r="H10" s="201"/>
      <c r="I10" s="215" t="s">
        <v>253</v>
      </c>
      <c r="J10" s="215" t="s">
        <v>254</v>
      </c>
      <c r="K10" s="215" t="s">
        <v>3483</v>
      </c>
      <c r="L10" s="227"/>
      <c r="M10" s="227" t="s">
        <v>3484</v>
      </c>
      <c r="N10" s="215" t="s">
        <v>126</v>
      </c>
      <c r="O10" s="201" t="s">
        <v>271</v>
      </c>
      <c r="P10" s="201" t="s">
        <v>3485</v>
      </c>
      <c r="Q10" s="213"/>
      <c r="R10" s="213"/>
      <c r="S10" s="213"/>
      <c r="T10" s="213"/>
      <c r="U10" s="213"/>
      <c r="V10" s="213"/>
      <c r="W10" s="213"/>
      <c r="X10" s="213"/>
      <c r="Y10" s="213"/>
      <c r="Z10" s="213"/>
    </row>
    <row r="11" ht="24.75" customHeight="1">
      <c r="A11" s="201" t="s">
        <v>3519</v>
      </c>
      <c r="B11" s="201" t="s">
        <v>3459</v>
      </c>
      <c r="C11" s="201" t="s">
        <v>3519</v>
      </c>
      <c r="D11" s="201" t="s">
        <v>122</v>
      </c>
      <c r="E11" s="201" t="s">
        <v>3519</v>
      </c>
      <c r="F11" s="201">
        <v>17.6</v>
      </c>
      <c r="G11" s="201" t="s">
        <v>123</v>
      </c>
      <c r="H11" s="201" t="s">
        <v>123</v>
      </c>
      <c r="I11" s="201" t="s">
        <v>3519</v>
      </c>
      <c r="J11" s="215" t="s">
        <v>264</v>
      </c>
      <c r="K11" s="215" t="s">
        <v>123</v>
      </c>
      <c r="L11" s="215"/>
      <c r="M11" s="215"/>
      <c r="N11" s="201"/>
      <c r="O11" s="201"/>
      <c r="P11" s="201"/>
      <c r="Q11" s="213"/>
      <c r="R11" s="213"/>
      <c r="S11" s="213"/>
      <c r="T11" s="213"/>
      <c r="U11" s="213"/>
      <c r="V11" s="213"/>
      <c r="W11" s="213"/>
      <c r="X11" s="213"/>
      <c r="Y11" s="213"/>
      <c r="Z11" s="213"/>
    </row>
    <row r="12" ht="24.75" customHeight="1">
      <c r="A12" s="201" t="s">
        <v>270</v>
      </c>
      <c r="B12" s="201" t="s">
        <v>3459</v>
      </c>
      <c r="C12" s="201" t="s">
        <v>270</v>
      </c>
      <c r="D12" s="201" t="s">
        <v>122</v>
      </c>
      <c r="E12" s="201" t="s">
        <v>270</v>
      </c>
      <c r="F12" s="201">
        <v>132.0</v>
      </c>
      <c r="G12" s="201" t="s">
        <v>123</v>
      </c>
      <c r="H12" s="201" t="s">
        <v>123</v>
      </c>
      <c r="I12" s="201" t="s">
        <v>270</v>
      </c>
      <c r="J12" s="215" t="s">
        <v>264</v>
      </c>
      <c r="K12" s="215" t="s">
        <v>3483</v>
      </c>
      <c r="L12" s="215"/>
      <c r="M12" s="215" t="s">
        <v>3484</v>
      </c>
      <c r="N12" s="201" t="s">
        <v>126</v>
      </c>
      <c r="O12" s="201" t="s">
        <v>271</v>
      </c>
      <c r="P12" s="201" t="s">
        <v>3485</v>
      </c>
      <c r="Q12" s="213"/>
      <c r="R12" s="213"/>
      <c r="S12" s="213"/>
      <c r="T12" s="213"/>
      <c r="U12" s="213"/>
      <c r="V12" s="213"/>
      <c r="W12" s="213"/>
      <c r="X12" s="213"/>
      <c r="Y12" s="213"/>
      <c r="Z12" s="213"/>
    </row>
    <row r="13" ht="36.75" customHeight="1">
      <c r="A13" s="201" t="s">
        <v>274</v>
      </c>
      <c r="B13" s="201" t="s">
        <v>3459</v>
      </c>
      <c r="C13" s="201" t="s">
        <v>274</v>
      </c>
      <c r="D13" s="201" t="s">
        <v>122</v>
      </c>
      <c r="E13" s="201" t="s">
        <v>274</v>
      </c>
      <c r="F13" s="201">
        <v>88.0</v>
      </c>
      <c r="G13" s="201">
        <v>132.0</v>
      </c>
      <c r="H13" s="201" t="s">
        <v>123</v>
      </c>
      <c r="I13" s="201" t="s">
        <v>274</v>
      </c>
      <c r="J13" s="215" t="s">
        <v>3531</v>
      </c>
      <c r="K13" s="215" t="s">
        <v>3483</v>
      </c>
      <c r="L13" s="215"/>
      <c r="M13" s="215" t="s">
        <v>3532</v>
      </c>
      <c r="N13" s="201" t="s">
        <v>126</v>
      </c>
      <c r="O13" s="201" t="s">
        <v>271</v>
      </c>
      <c r="P13" s="201" t="s">
        <v>3534</v>
      </c>
      <c r="Q13" s="213"/>
      <c r="R13" s="213"/>
      <c r="S13" s="213"/>
      <c r="T13" s="213"/>
      <c r="U13" s="213"/>
      <c r="V13" s="213"/>
      <c r="W13" s="213"/>
      <c r="X13" s="213"/>
      <c r="Y13" s="213"/>
      <c r="Z13" s="213"/>
    </row>
    <row r="14" ht="50.25" customHeight="1">
      <c r="A14" s="201" t="s">
        <v>285</v>
      </c>
      <c r="B14" s="201" t="s">
        <v>3459</v>
      </c>
      <c r="C14" s="201" t="s">
        <v>285</v>
      </c>
      <c r="D14" s="201" t="s">
        <v>122</v>
      </c>
      <c r="E14" s="201" t="s">
        <v>285</v>
      </c>
      <c r="F14" s="201">
        <v>176.0</v>
      </c>
      <c r="G14" s="201">
        <v>220.0</v>
      </c>
      <c r="H14" s="201" t="s">
        <v>123</v>
      </c>
      <c r="I14" s="201" t="s">
        <v>285</v>
      </c>
      <c r="J14" s="215" t="s">
        <v>3538</v>
      </c>
      <c r="K14" s="215" t="s">
        <v>3483</v>
      </c>
      <c r="L14" s="215"/>
      <c r="M14" s="215" t="s">
        <v>3539</v>
      </c>
      <c r="N14" s="215" t="s">
        <v>126</v>
      </c>
      <c r="O14" s="215" t="s">
        <v>145</v>
      </c>
      <c r="P14" s="215" t="s">
        <v>3540</v>
      </c>
      <c r="Q14" s="213"/>
      <c r="R14" s="213"/>
      <c r="S14" s="213"/>
      <c r="T14" s="213"/>
      <c r="U14" s="213"/>
      <c r="V14" s="213"/>
      <c r="W14" s="213"/>
      <c r="X14" s="213"/>
      <c r="Y14" s="213"/>
      <c r="Z14" s="213"/>
    </row>
    <row r="15" ht="24.75" customHeight="1">
      <c r="A15" s="201" t="s">
        <v>3541</v>
      </c>
      <c r="B15" s="201" t="s">
        <v>3459</v>
      </c>
      <c r="C15" s="201" t="s">
        <v>3541</v>
      </c>
      <c r="D15" s="201" t="s">
        <v>122</v>
      </c>
      <c r="E15" s="201" t="s">
        <v>3541</v>
      </c>
      <c r="F15" s="201">
        <v>0.088</v>
      </c>
      <c r="G15" s="201" t="s">
        <v>123</v>
      </c>
      <c r="H15" s="201" t="s">
        <v>123</v>
      </c>
      <c r="I15" s="201" t="s">
        <v>3541</v>
      </c>
      <c r="J15" s="215" t="s">
        <v>3545</v>
      </c>
      <c r="K15" s="215" t="s">
        <v>123</v>
      </c>
      <c r="L15" s="215"/>
      <c r="M15" s="215" t="s">
        <v>123</v>
      </c>
      <c r="N15" s="215" t="s">
        <v>123</v>
      </c>
      <c r="O15" s="215" t="s">
        <v>123</v>
      </c>
      <c r="P15" s="215" t="s">
        <v>123</v>
      </c>
      <c r="Q15" s="213"/>
      <c r="R15" s="213"/>
      <c r="S15" s="213"/>
      <c r="T15" s="213"/>
      <c r="U15" s="213"/>
      <c r="V15" s="213"/>
      <c r="W15" s="213"/>
      <c r="X15" s="213"/>
      <c r="Y15" s="213"/>
      <c r="Z15" s="213"/>
    </row>
    <row r="16" ht="24.75" customHeight="1">
      <c r="A16" s="201" t="s">
        <v>3549</v>
      </c>
      <c r="B16" s="201" t="s">
        <v>3459</v>
      </c>
      <c r="C16" s="201" t="s">
        <v>3549</v>
      </c>
      <c r="D16" s="201" t="s">
        <v>122</v>
      </c>
      <c r="E16" s="201" t="s">
        <v>3549</v>
      </c>
      <c r="F16" s="201">
        <v>176.0</v>
      </c>
      <c r="G16" s="201">
        <v>220.0</v>
      </c>
      <c r="H16" s="201" t="s">
        <v>123</v>
      </c>
      <c r="I16" s="201" t="s">
        <v>3549</v>
      </c>
      <c r="J16" s="215" t="s">
        <v>264</v>
      </c>
      <c r="K16" s="215" t="s">
        <v>3483</v>
      </c>
      <c r="L16" s="215"/>
      <c r="M16" s="215" t="s">
        <v>3484</v>
      </c>
      <c r="N16" s="201" t="s">
        <v>126</v>
      </c>
      <c r="O16" s="201" t="s">
        <v>271</v>
      </c>
      <c r="P16" s="201" t="s">
        <v>3485</v>
      </c>
      <c r="Q16" s="213"/>
      <c r="R16" s="213"/>
      <c r="S16" s="213"/>
      <c r="T16" s="213"/>
      <c r="U16" s="213"/>
      <c r="V16" s="213"/>
      <c r="W16" s="213"/>
      <c r="X16" s="213"/>
      <c r="Y16" s="213"/>
      <c r="Z16" s="213"/>
    </row>
    <row r="17" ht="24.75" customHeight="1">
      <c r="A17" s="201" t="s">
        <v>3555</v>
      </c>
      <c r="B17" s="201" t="s">
        <v>3459</v>
      </c>
      <c r="C17" s="201" t="s">
        <v>3555</v>
      </c>
      <c r="D17" s="201" t="s">
        <v>122</v>
      </c>
      <c r="E17" s="201" t="s">
        <v>3555</v>
      </c>
      <c r="F17" s="201">
        <v>44.0</v>
      </c>
      <c r="G17" s="201">
        <v>88.0</v>
      </c>
      <c r="H17" s="201" t="s">
        <v>123</v>
      </c>
      <c r="I17" s="201" t="s">
        <v>3555</v>
      </c>
      <c r="J17" s="215" t="s">
        <v>573</v>
      </c>
      <c r="K17" s="215" t="s">
        <v>123</v>
      </c>
      <c r="L17" s="215"/>
      <c r="M17" s="215" t="s">
        <v>123</v>
      </c>
      <c r="N17" s="215" t="s">
        <v>123</v>
      </c>
      <c r="O17" s="215" t="s">
        <v>123</v>
      </c>
      <c r="P17" s="215" t="s">
        <v>123</v>
      </c>
      <c r="Q17" s="213"/>
      <c r="R17" s="213"/>
      <c r="S17" s="213"/>
      <c r="T17" s="213"/>
      <c r="U17" s="213"/>
      <c r="V17" s="213"/>
      <c r="W17" s="213"/>
      <c r="X17" s="213"/>
      <c r="Y17" s="213"/>
      <c r="Z17" s="213"/>
    </row>
    <row r="18" ht="36.0" customHeight="1">
      <c r="A18" s="201" t="s">
        <v>3557</v>
      </c>
      <c r="B18" s="201" t="s">
        <v>3459</v>
      </c>
      <c r="C18" s="201" t="s">
        <v>3557</v>
      </c>
      <c r="D18" s="201" t="s">
        <v>122</v>
      </c>
      <c r="E18" s="201" t="s">
        <v>3557</v>
      </c>
      <c r="F18" s="201" t="s">
        <v>3472</v>
      </c>
      <c r="G18" s="201" t="s">
        <v>3560</v>
      </c>
      <c r="H18" s="201" t="s">
        <v>123</v>
      </c>
      <c r="I18" s="201" t="s">
        <v>3557</v>
      </c>
      <c r="J18" s="215" t="s">
        <v>3561</v>
      </c>
      <c r="K18" s="215" t="s">
        <v>3483</v>
      </c>
      <c r="L18" s="215"/>
      <c r="M18" s="215" t="s">
        <v>3562</v>
      </c>
      <c r="N18" s="201" t="s">
        <v>126</v>
      </c>
      <c r="O18" s="201" t="s">
        <v>271</v>
      </c>
      <c r="P18" s="229" t="s">
        <v>1013</v>
      </c>
      <c r="Q18" s="213"/>
      <c r="R18" s="213"/>
      <c r="S18" s="213"/>
      <c r="T18" s="213"/>
      <c r="U18" s="213"/>
      <c r="V18" s="213"/>
      <c r="W18" s="213"/>
      <c r="X18" s="213"/>
      <c r="Y18" s="213"/>
      <c r="Z18" s="213"/>
    </row>
    <row r="19" ht="24.75" customHeight="1">
      <c r="A19" s="201" t="s">
        <v>3563</v>
      </c>
      <c r="B19" s="201" t="s">
        <v>3459</v>
      </c>
      <c r="C19" s="201" t="s">
        <v>3563</v>
      </c>
      <c r="D19" s="201" t="s">
        <v>123</v>
      </c>
      <c r="E19" s="201" t="s">
        <v>3563</v>
      </c>
      <c r="F19" s="201" t="s">
        <v>123</v>
      </c>
      <c r="G19" s="201" t="s">
        <v>123</v>
      </c>
      <c r="H19" s="201" t="s">
        <v>123</v>
      </c>
      <c r="I19" s="201" t="s">
        <v>3563</v>
      </c>
      <c r="J19" s="215" t="s">
        <v>2894</v>
      </c>
      <c r="K19" s="215" t="s">
        <v>123</v>
      </c>
      <c r="L19" s="215"/>
      <c r="M19" s="215" t="s">
        <v>123</v>
      </c>
      <c r="N19" s="215" t="s">
        <v>123</v>
      </c>
      <c r="O19" s="215" t="s">
        <v>123</v>
      </c>
      <c r="P19" s="215" t="s">
        <v>123</v>
      </c>
      <c r="Q19" s="213"/>
      <c r="R19" s="213"/>
      <c r="S19" s="213"/>
      <c r="T19" s="213"/>
      <c r="U19" s="213"/>
      <c r="V19" s="213"/>
      <c r="W19" s="213"/>
      <c r="X19" s="213"/>
      <c r="Y19" s="213"/>
      <c r="Z19" s="213"/>
    </row>
    <row r="20" ht="39.0" customHeight="1">
      <c r="A20" s="201" t="s">
        <v>3564</v>
      </c>
      <c r="B20" s="201" t="s">
        <v>3459</v>
      </c>
      <c r="C20" s="201" t="s">
        <v>3564</v>
      </c>
      <c r="D20" s="201" t="s">
        <v>122</v>
      </c>
      <c r="E20" s="201" t="s">
        <v>3564</v>
      </c>
      <c r="F20" s="201" t="s">
        <v>3472</v>
      </c>
      <c r="G20" s="201" t="s">
        <v>123</v>
      </c>
      <c r="H20" s="201" t="s">
        <v>123</v>
      </c>
      <c r="I20" s="201" t="s">
        <v>3564</v>
      </c>
      <c r="J20" s="215" t="s">
        <v>3565</v>
      </c>
      <c r="K20" s="215" t="s">
        <v>3566</v>
      </c>
      <c r="L20" s="215"/>
      <c r="M20" s="215" t="s">
        <v>3567</v>
      </c>
      <c r="N20" s="201" t="s">
        <v>126</v>
      </c>
      <c r="O20" s="201" t="s">
        <v>271</v>
      </c>
      <c r="P20" s="229" t="s">
        <v>1013</v>
      </c>
      <c r="Q20" s="213"/>
      <c r="R20" s="213"/>
      <c r="S20" s="213"/>
      <c r="T20" s="213"/>
      <c r="U20" s="213"/>
      <c r="V20" s="213"/>
      <c r="W20" s="213"/>
      <c r="X20" s="213"/>
      <c r="Y20" s="213"/>
      <c r="Z20" s="213"/>
    </row>
    <row r="21" ht="39.75" customHeight="1">
      <c r="A21" s="215" t="s">
        <v>760</v>
      </c>
      <c r="B21" s="201" t="s">
        <v>3459</v>
      </c>
      <c r="C21" s="215" t="s">
        <v>760</v>
      </c>
      <c r="D21" s="201" t="s">
        <v>122</v>
      </c>
      <c r="E21" s="215" t="s">
        <v>760</v>
      </c>
      <c r="F21" s="201">
        <v>220.0</v>
      </c>
      <c r="G21" s="201">
        <v>440.0</v>
      </c>
      <c r="H21" s="201">
        <v>780.0</v>
      </c>
      <c r="I21" s="215" t="s">
        <v>760</v>
      </c>
      <c r="J21" s="215" t="s">
        <v>3570</v>
      </c>
      <c r="K21" s="215" t="s">
        <v>3483</v>
      </c>
      <c r="L21" s="215"/>
      <c r="M21" s="215" t="s">
        <v>3572</v>
      </c>
      <c r="N21" s="215" t="s">
        <v>126</v>
      </c>
      <c r="O21" s="215" t="s">
        <v>271</v>
      </c>
      <c r="P21" s="230" t="s">
        <v>763</v>
      </c>
      <c r="Q21" s="213"/>
      <c r="R21" s="213"/>
      <c r="S21" s="213"/>
      <c r="T21" s="213"/>
      <c r="U21" s="213"/>
      <c r="V21" s="213"/>
      <c r="W21" s="213"/>
      <c r="X21" s="213"/>
      <c r="Y21" s="213"/>
      <c r="Z21" s="213"/>
    </row>
    <row r="22" ht="24.75" customHeight="1">
      <c r="A22" s="201" t="s">
        <v>3576</v>
      </c>
      <c r="B22" s="201" t="s">
        <v>3459</v>
      </c>
      <c r="C22" s="201" t="s">
        <v>3576</v>
      </c>
      <c r="D22" s="201" t="s">
        <v>3578</v>
      </c>
      <c r="E22" s="201" t="s">
        <v>3576</v>
      </c>
      <c r="F22" s="201" t="s">
        <v>123</v>
      </c>
      <c r="G22" s="201" t="s">
        <v>3579</v>
      </c>
      <c r="H22" s="201" t="s">
        <v>123</v>
      </c>
      <c r="I22" s="201" t="s">
        <v>3576</v>
      </c>
      <c r="J22" s="215" t="s">
        <v>3582</v>
      </c>
      <c r="K22" s="215" t="s">
        <v>123</v>
      </c>
      <c r="L22" s="215"/>
      <c r="M22" s="215"/>
      <c r="N22" s="201"/>
      <c r="O22" s="201"/>
      <c r="P22" s="229"/>
      <c r="Q22" s="213"/>
      <c r="R22" s="213"/>
      <c r="S22" s="213"/>
      <c r="T22" s="213"/>
      <c r="U22" s="213"/>
      <c r="V22" s="213"/>
      <c r="W22" s="213"/>
      <c r="X22" s="213"/>
      <c r="Y22" s="213"/>
      <c r="Z22" s="213"/>
    </row>
    <row r="23" ht="24.75" customHeight="1">
      <c r="A23" s="201" t="s">
        <v>766</v>
      </c>
      <c r="B23" s="201" t="s">
        <v>3459</v>
      </c>
      <c r="C23" s="201" t="s">
        <v>766</v>
      </c>
      <c r="D23" s="201" t="s">
        <v>122</v>
      </c>
      <c r="E23" s="201" t="s">
        <v>766</v>
      </c>
      <c r="F23" s="201" t="s">
        <v>3501</v>
      </c>
      <c r="G23" s="201" t="s">
        <v>123</v>
      </c>
      <c r="H23" s="201">
        <v>30.0</v>
      </c>
      <c r="I23" s="201" t="s">
        <v>766</v>
      </c>
      <c r="J23" s="215" t="s">
        <v>3589</v>
      </c>
      <c r="K23" s="215" t="s">
        <v>3483</v>
      </c>
      <c r="L23" s="215"/>
      <c r="M23" s="215" t="s">
        <v>3591</v>
      </c>
      <c r="N23" s="201" t="s">
        <v>126</v>
      </c>
      <c r="O23" s="201" t="s">
        <v>271</v>
      </c>
      <c r="P23" s="229" t="s">
        <v>3592</v>
      </c>
      <c r="Q23" s="213"/>
      <c r="R23" s="213"/>
      <c r="S23" s="213"/>
      <c r="T23" s="213"/>
      <c r="U23" s="213"/>
      <c r="V23" s="213"/>
      <c r="W23" s="213"/>
      <c r="X23" s="213"/>
      <c r="Y23" s="213"/>
      <c r="Z23" s="213"/>
    </row>
    <row r="24" ht="39.75" customHeight="1">
      <c r="A24" s="201" t="s">
        <v>771</v>
      </c>
      <c r="B24" s="201" t="s">
        <v>3459</v>
      </c>
      <c r="C24" s="201" t="s">
        <v>771</v>
      </c>
      <c r="D24" s="201" t="s">
        <v>122</v>
      </c>
      <c r="E24" s="201" t="s">
        <v>771</v>
      </c>
      <c r="F24" s="201" t="s">
        <v>3472</v>
      </c>
      <c r="G24" s="201" t="s">
        <v>3560</v>
      </c>
      <c r="H24" s="201">
        <v>8.0</v>
      </c>
      <c r="I24" s="201" t="s">
        <v>771</v>
      </c>
      <c r="J24" s="215" t="s">
        <v>3595</v>
      </c>
      <c r="K24" s="215" t="s">
        <v>3483</v>
      </c>
      <c r="L24" s="215"/>
      <c r="M24" s="215" t="s">
        <v>3597</v>
      </c>
      <c r="N24" s="231" t="s">
        <v>126</v>
      </c>
      <c r="O24" s="201" t="s">
        <v>3600</v>
      </c>
      <c r="P24" s="229" t="s">
        <v>3602</v>
      </c>
      <c r="Q24" s="213"/>
      <c r="R24" s="213"/>
      <c r="S24" s="213"/>
      <c r="T24" s="213"/>
      <c r="U24" s="213"/>
      <c r="V24" s="213"/>
      <c r="W24" s="213"/>
      <c r="X24" s="213"/>
      <c r="Y24" s="213"/>
      <c r="Z24" s="213"/>
    </row>
    <row r="25" ht="24.75" customHeight="1">
      <c r="A25" s="201" t="s">
        <v>3605</v>
      </c>
      <c r="B25" s="201" t="s">
        <v>3459</v>
      </c>
      <c r="C25" s="201" t="s">
        <v>3605</v>
      </c>
      <c r="D25" s="201" t="s">
        <v>3607</v>
      </c>
      <c r="E25" s="201" t="s">
        <v>3605</v>
      </c>
      <c r="F25" s="201" t="s">
        <v>3579</v>
      </c>
      <c r="G25" s="201" t="s">
        <v>123</v>
      </c>
      <c r="H25" s="201" t="s">
        <v>123</v>
      </c>
      <c r="I25" s="201" t="s">
        <v>3605</v>
      </c>
      <c r="J25" s="215" t="s">
        <v>3608</v>
      </c>
      <c r="K25" s="215" t="s">
        <v>3609</v>
      </c>
      <c r="L25" s="215"/>
      <c r="M25" s="215" t="s">
        <v>3610</v>
      </c>
      <c r="N25" s="201" t="s">
        <v>3611</v>
      </c>
      <c r="O25" s="229" t="s">
        <v>1077</v>
      </c>
      <c r="P25" s="229" t="s">
        <v>3612</v>
      </c>
      <c r="Q25" s="213"/>
      <c r="R25" s="213"/>
      <c r="S25" s="213"/>
      <c r="T25" s="213"/>
      <c r="U25" s="213"/>
      <c r="V25" s="213"/>
      <c r="W25" s="213"/>
      <c r="X25" s="213"/>
      <c r="Y25" s="213"/>
      <c r="Z25" s="213"/>
    </row>
    <row r="26" ht="24.75" customHeight="1">
      <c r="A26" s="201" t="s">
        <v>3614</v>
      </c>
      <c r="B26" s="201" t="s">
        <v>3459</v>
      </c>
      <c r="C26" s="201" t="s">
        <v>3614</v>
      </c>
      <c r="D26" s="201" t="s">
        <v>122</v>
      </c>
      <c r="E26" s="201" t="s">
        <v>3614</v>
      </c>
      <c r="F26" s="201" t="s">
        <v>3616</v>
      </c>
      <c r="G26" s="201" t="s">
        <v>123</v>
      </c>
      <c r="H26" s="201" t="s">
        <v>123</v>
      </c>
      <c r="I26" s="201" t="s">
        <v>3614</v>
      </c>
      <c r="J26" s="215" t="s">
        <v>573</v>
      </c>
      <c r="K26" s="215" t="s">
        <v>3618</v>
      </c>
      <c r="L26" s="215"/>
      <c r="M26" s="215" t="s">
        <v>3620</v>
      </c>
      <c r="N26" s="201" t="s">
        <v>126</v>
      </c>
      <c r="O26" s="201" t="s">
        <v>3621</v>
      </c>
      <c r="P26" s="229" t="s">
        <v>3622</v>
      </c>
      <c r="Q26" s="213"/>
      <c r="R26" s="213"/>
      <c r="S26" s="213"/>
      <c r="T26" s="213"/>
      <c r="U26" s="213"/>
      <c r="V26" s="213"/>
      <c r="W26" s="213"/>
      <c r="X26" s="213"/>
      <c r="Y26" s="213"/>
      <c r="Z26" s="213"/>
    </row>
    <row r="27" ht="24.75" customHeight="1">
      <c r="A27" s="201" t="s">
        <v>3623</v>
      </c>
      <c r="B27" s="201" t="s">
        <v>3459</v>
      </c>
      <c r="C27" s="201" t="s">
        <v>3623</v>
      </c>
      <c r="D27" s="201" t="s">
        <v>3625</v>
      </c>
      <c r="E27" s="201" t="s">
        <v>3623</v>
      </c>
      <c r="F27" s="201" t="s">
        <v>3579</v>
      </c>
      <c r="G27" s="201" t="s">
        <v>123</v>
      </c>
      <c r="H27" s="201" t="s">
        <v>123</v>
      </c>
      <c r="I27" s="201" t="s">
        <v>3623</v>
      </c>
      <c r="J27" s="215" t="s">
        <v>3626</v>
      </c>
      <c r="K27" s="215" t="s">
        <v>3627</v>
      </c>
      <c r="L27" s="215"/>
      <c r="M27" s="215" t="s">
        <v>3630</v>
      </c>
      <c r="N27" s="201" t="s">
        <v>126</v>
      </c>
      <c r="O27" s="201">
        <v>0.2</v>
      </c>
      <c r="P27" s="229" t="s">
        <v>3631</v>
      </c>
      <c r="Q27" s="213"/>
      <c r="R27" s="213"/>
      <c r="S27" s="213"/>
      <c r="T27" s="213"/>
      <c r="U27" s="213"/>
      <c r="V27" s="213"/>
      <c r="W27" s="213"/>
      <c r="X27" s="213"/>
      <c r="Y27" s="213"/>
      <c r="Z27" s="213"/>
    </row>
    <row r="28" ht="24.75" customHeight="1">
      <c r="A28" s="201" t="s">
        <v>3633</v>
      </c>
      <c r="B28" s="201" t="s">
        <v>3459</v>
      </c>
      <c r="C28" s="201" t="s">
        <v>3633</v>
      </c>
      <c r="D28" s="201" t="s">
        <v>122</v>
      </c>
      <c r="E28" s="201" t="s">
        <v>3633</v>
      </c>
      <c r="F28" s="201" t="s">
        <v>123</v>
      </c>
      <c r="G28" s="201" t="s">
        <v>3616</v>
      </c>
      <c r="H28" s="201" t="s">
        <v>123</v>
      </c>
      <c r="I28" s="201" t="s">
        <v>3633</v>
      </c>
      <c r="J28" s="215" t="s">
        <v>573</v>
      </c>
      <c r="K28" s="215" t="s">
        <v>3635</v>
      </c>
      <c r="L28" s="215"/>
      <c r="M28" s="215" t="s">
        <v>3636</v>
      </c>
      <c r="N28" s="201" t="s">
        <v>126</v>
      </c>
      <c r="O28" s="201">
        <v>2.0</v>
      </c>
      <c r="P28" s="229" t="s">
        <v>3639</v>
      </c>
      <c r="Q28" s="213"/>
      <c r="R28" s="213"/>
      <c r="S28" s="213"/>
      <c r="T28" s="213"/>
      <c r="U28" s="213"/>
      <c r="V28" s="213"/>
      <c r="W28" s="213"/>
      <c r="X28" s="213"/>
      <c r="Y28" s="213"/>
      <c r="Z28" s="213"/>
    </row>
    <row r="29" ht="24.75" customHeight="1">
      <c r="A29" s="201" t="s">
        <v>3641</v>
      </c>
      <c r="B29" s="201" t="s">
        <v>3459</v>
      </c>
      <c r="C29" s="201" t="s">
        <v>3641</v>
      </c>
      <c r="D29" s="201" t="s">
        <v>122</v>
      </c>
      <c r="E29" s="201" t="s">
        <v>3641</v>
      </c>
      <c r="F29" s="234" t="s">
        <v>123</v>
      </c>
      <c r="G29" s="235">
        <v>4.15</v>
      </c>
      <c r="H29" s="201">
        <v>8.0</v>
      </c>
      <c r="I29" s="201" t="s">
        <v>3641</v>
      </c>
      <c r="J29" s="215" t="s">
        <v>3648</v>
      </c>
      <c r="K29" s="215" t="s">
        <v>123</v>
      </c>
      <c r="L29" s="215"/>
      <c r="M29" s="215"/>
      <c r="N29" s="201"/>
      <c r="O29" s="201"/>
      <c r="P29" s="229"/>
      <c r="Q29" s="213"/>
      <c r="R29" s="213"/>
      <c r="S29" s="213"/>
      <c r="T29" s="213"/>
      <c r="U29" s="213"/>
      <c r="V29" s="213"/>
      <c r="W29" s="213"/>
      <c r="X29" s="213"/>
      <c r="Y29" s="213"/>
      <c r="Z29" s="213"/>
    </row>
    <row r="30" ht="39.75" customHeight="1">
      <c r="A30" s="215" t="s">
        <v>1028</v>
      </c>
      <c r="B30" s="215" t="s">
        <v>3652</v>
      </c>
      <c r="C30" s="215" t="s">
        <v>1028</v>
      </c>
      <c r="D30" s="201" t="s">
        <v>122</v>
      </c>
      <c r="E30" s="215" t="s">
        <v>1028</v>
      </c>
      <c r="F30" s="201" t="s">
        <v>123</v>
      </c>
      <c r="G30" s="201">
        <v>1.76</v>
      </c>
      <c r="H30" s="201">
        <v>4.0</v>
      </c>
      <c r="I30" s="215" t="s">
        <v>1028</v>
      </c>
      <c r="J30" s="215" t="s">
        <v>967</v>
      </c>
      <c r="K30" s="215" t="s">
        <v>3462</v>
      </c>
      <c r="L30" s="215"/>
      <c r="M30" s="236" t="s">
        <v>3657</v>
      </c>
      <c r="N30" s="215" t="s">
        <v>3658</v>
      </c>
      <c r="O30" s="215">
        <v>0.5</v>
      </c>
      <c r="P30" s="230" t="s">
        <v>3659</v>
      </c>
      <c r="Q30" s="213"/>
      <c r="R30" s="213"/>
      <c r="S30" s="213"/>
      <c r="T30" s="213"/>
      <c r="U30" s="213"/>
      <c r="V30" s="213"/>
      <c r="W30" s="213"/>
      <c r="X30" s="213"/>
      <c r="Y30" s="213"/>
      <c r="Z30" s="213"/>
    </row>
    <row r="31" ht="24.75" customHeight="1">
      <c r="A31" s="201" t="s">
        <v>3660</v>
      </c>
      <c r="B31" s="201" t="s">
        <v>3459</v>
      </c>
      <c r="C31" s="201" t="s">
        <v>3660</v>
      </c>
      <c r="D31" s="201" t="s">
        <v>122</v>
      </c>
      <c r="E31" s="201" t="s">
        <v>3660</v>
      </c>
      <c r="F31" s="201" t="s">
        <v>3662</v>
      </c>
      <c r="G31" s="201" t="s">
        <v>123</v>
      </c>
      <c r="H31" s="201" t="s">
        <v>123</v>
      </c>
      <c r="I31" s="201" t="s">
        <v>3660</v>
      </c>
      <c r="J31" s="215" t="s">
        <v>246</v>
      </c>
      <c r="K31" s="215" t="s">
        <v>123</v>
      </c>
      <c r="L31" s="215"/>
      <c r="M31" s="215"/>
      <c r="N31" s="201"/>
      <c r="O31" s="201"/>
      <c r="P31" s="229"/>
      <c r="Q31" s="213"/>
      <c r="R31" s="213"/>
      <c r="S31" s="213"/>
      <c r="T31" s="213"/>
      <c r="U31" s="213"/>
      <c r="V31" s="213"/>
      <c r="W31" s="213"/>
      <c r="X31" s="213"/>
      <c r="Y31" s="213"/>
      <c r="Z31" s="213"/>
    </row>
    <row r="32" ht="24.75" customHeight="1">
      <c r="A32" s="201" t="s">
        <v>3666</v>
      </c>
      <c r="B32" s="201" t="s">
        <v>3459</v>
      </c>
      <c r="C32" s="201" t="s">
        <v>3666</v>
      </c>
      <c r="D32" s="201" t="s">
        <v>122</v>
      </c>
      <c r="E32" s="201" t="s">
        <v>3666</v>
      </c>
      <c r="F32" s="201" t="s">
        <v>3668</v>
      </c>
      <c r="G32" s="201" t="s">
        <v>123</v>
      </c>
      <c r="H32" s="201" t="s">
        <v>123</v>
      </c>
      <c r="I32" s="201" t="s">
        <v>3666</v>
      </c>
      <c r="J32" s="215" t="s">
        <v>3670</v>
      </c>
      <c r="K32" s="215" t="s">
        <v>123</v>
      </c>
      <c r="L32" s="215"/>
      <c r="M32" s="215"/>
      <c r="N32" s="201"/>
      <c r="O32" s="201"/>
      <c r="P32" s="229"/>
      <c r="Q32" s="213"/>
      <c r="R32" s="213"/>
      <c r="S32" s="213"/>
      <c r="T32" s="213"/>
      <c r="U32" s="213"/>
      <c r="V32" s="213"/>
      <c r="W32" s="213"/>
      <c r="X32" s="213"/>
      <c r="Y32" s="213"/>
      <c r="Z32" s="213"/>
    </row>
    <row r="33" ht="24.75" customHeight="1">
      <c r="A33" s="201" t="s">
        <v>3673</v>
      </c>
      <c r="B33" s="201" t="s">
        <v>3459</v>
      </c>
      <c r="C33" s="201" t="s">
        <v>3673</v>
      </c>
      <c r="D33" s="201" t="s">
        <v>3676</v>
      </c>
      <c r="E33" s="201" t="s">
        <v>3673</v>
      </c>
      <c r="F33" s="201" t="s">
        <v>3579</v>
      </c>
      <c r="G33" s="201" t="s">
        <v>123</v>
      </c>
      <c r="H33" s="201" t="s">
        <v>123</v>
      </c>
      <c r="I33" s="201" t="s">
        <v>3673</v>
      </c>
      <c r="J33" s="215" t="s">
        <v>149</v>
      </c>
      <c r="K33" s="215" t="s">
        <v>123</v>
      </c>
      <c r="L33" s="215"/>
      <c r="M33" s="215"/>
      <c r="N33" s="201"/>
      <c r="O33" s="201"/>
      <c r="P33" s="229"/>
      <c r="Q33" s="213"/>
      <c r="R33" s="213"/>
      <c r="S33" s="213"/>
      <c r="T33" s="213"/>
      <c r="U33" s="213"/>
      <c r="V33" s="213"/>
      <c r="W33" s="213"/>
      <c r="X33" s="213"/>
      <c r="Y33" s="213"/>
      <c r="Z33" s="213"/>
    </row>
    <row r="34" ht="24.75" customHeight="1">
      <c r="A34" s="201" t="s">
        <v>3679</v>
      </c>
      <c r="B34" s="201" t="s">
        <v>3459</v>
      </c>
      <c r="C34" s="201" t="s">
        <v>3679</v>
      </c>
      <c r="D34" s="201" t="s">
        <v>3680</v>
      </c>
      <c r="E34" s="201" t="s">
        <v>3679</v>
      </c>
      <c r="F34" s="201" t="s">
        <v>3579</v>
      </c>
      <c r="G34" s="201" t="s">
        <v>123</v>
      </c>
      <c r="H34" s="201" t="s">
        <v>123</v>
      </c>
      <c r="I34" s="201" t="s">
        <v>3679</v>
      </c>
      <c r="J34" s="215" t="s">
        <v>3683</v>
      </c>
      <c r="K34" s="215" t="s">
        <v>123</v>
      </c>
      <c r="L34" s="215"/>
      <c r="M34" s="215"/>
      <c r="N34" s="201"/>
      <c r="O34" s="201"/>
      <c r="P34" s="229"/>
      <c r="Q34" s="213"/>
      <c r="R34" s="213"/>
      <c r="S34" s="213"/>
      <c r="T34" s="213"/>
      <c r="U34" s="213"/>
      <c r="V34" s="213"/>
      <c r="W34" s="213"/>
      <c r="X34" s="213"/>
      <c r="Y34" s="213"/>
      <c r="Z34" s="213"/>
    </row>
    <row r="35" ht="24.75" customHeight="1">
      <c r="A35" s="201" t="s">
        <v>1059</v>
      </c>
      <c r="B35" s="201" t="s">
        <v>3459</v>
      </c>
      <c r="C35" s="201" t="s">
        <v>1059</v>
      </c>
      <c r="D35" s="201" t="s">
        <v>122</v>
      </c>
      <c r="E35" s="201" t="s">
        <v>1059</v>
      </c>
      <c r="F35" s="201" t="s">
        <v>3668</v>
      </c>
      <c r="G35" s="201" t="s">
        <v>3616</v>
      </c>
      <c r="H35" s="201" t="s">
        <v>1067</v>
      </c>
      <c r="I35" s="201" t="s">
        <v>1059</v>
      </c>
      <c r="J35" s="215" t="s">
        <v>3686</v>
      </c>
      <c r="K35" s="215" t="s">
        <v>3635</v>
      </c>
      <c r="L35" s="215"/>
      <c r="M35" s="215" t="s">
        <v>3687</v>
      </c>
      <c r="N35" s="215" t="s">
        <v>3689</v>
      </c>
      <c r="O35" s="230" t="s">
        <v>1077</v>
      </c>
      <c r="P35" s="230" t="s">
        <v>3690</v>
      </c>
      <c r="Q35" s="213"/>
      <c r="R35" s="213"/>
      <c r="S35" s="213"/>
      <c r="T35" s="213"/>
      <c r="U35" s="213"/>
      <c r="V35" s="213"/>
      <c r="W35" s="213"/>
      <c r="X35" s="213"/>
      <c r="Y35" s="213"/>
      <c r="Z35" s="213"/>
    </row>
    <row r="36" ht="24.75" customHeight="1">
      <c r="A36" s="201" t="s">
        <v>1101</v>
      </c>
      <c r="B36" s="201" t="s">
        <v>3459</v>
      </c>
      <c r="C36" s="201" t="s">
        <v>1101</v>
      </c>
      <c r="D36" s="201" t="s">
        <v>122</v>
      </c>
      <c r="E36" s="201" t="s">
        <v>1101</v>
      </c>
      <c r="F36" s="201" t="s">
        <v>3579</v>
      </c>
      <c r="G36" s="201" t="s">
        <v>3472</v>
      </c>
      <c r="H36" s="201">
        <v>4.0</v>
      </c>
      <c r="I36" s="201" t="s">
        <v>1101</v>
      </c>
      <c r="J36" s="215" t="s">
        <v>1199</v>
      </c>
      <c r="K36" s="215" t="s">
        <v>3462</v>
      </c>
      <c r="L36" s="215"/>
      <c r="M36" s="215" t="s">
        <v>3696</v>
      </c>
      <c r="N36" s="201" t="s">
        <v>126</v>
      </c>
      <c r="O36" s="201" t="s">
        <v>575</v>
      </c>
      <c r="P36" s="229" t="s">
        <v>1013</v>
      </c>
      <c r="Q36" s="213"/>
      <c r="R36" s="213"/>
      <c r="S36" s="213"/>
      <c r="T36" s="213"/>
      <c r="U36" s="213"/>
      <c r="V36" s="213"/>
      <c r="W36" s="213"/>
      <c r="X36" s="213"/>
      <c r="Y36" s="213"/>
      <c r="Z36" s="213"/>
    </row>
    <row r="37" ht="39.75" customHeight="1">
      <c r="A37" s="215" t="s">
        <v>1129</v>
      </c>
      <c r="B37" s="215" t="s">
        <v>3698</v>
      </c>
      <c r="C37" s="215" t="s">
        <v>1129</v>
      </c>
      <c r="D37" s="201" t="s">
        <v>3699</v>
      </c>
      <c r="E37" s="215" t="s">
        <v>1129</v>
      </c>
      <c r="F37" s="201">
        <v>0.88</v>
      </c>
      <c r="G37" s="201">
        <v>2.64</v>
      </c>
      <c r="H37" s="201" t="s">
        <v>123</v>
      </c>
      <c r="I37" s="215" t="s">
        <v>1129</v>
      </c>
      <c r="J37" s="215" t="s">
        <v>1199</v>
      </c>
      <c r="K37" s="215" t="s">
        <v>3462</v>
      </c>
      <c r="L37" s="215"/>
      <c r="M37" s="215" t="s">
        <v>3657</v>
      </c>
      <c r="N37" s="215" t="s">
        <v>3658</v>
      </c>
      <c r="O37" s="215" t="s">
        <v>3704</v>
      </c>
      <c r="P37" s="230" t="s">
        <v>3705</v>
      </c>
      <c r="Q37" s="213"/>
      <c r="R37" s="213"/>
      <c r="S37" s="213"/>
      <c r="T37" s="213"/>
      <c r="U37" s="213"/>
      <c r="V37" s="213"/>
      <c r="W37" s="213"/>
      <c r="X37" s="213"/>
      <c r="Y37" s="213"/>
      <c r="Z37" s="213"/>
    </row>
    <row r="38" ht="24.75" customHeight="1">
      <c r="A38" s="201" t="s">
        <v>3706</v>
      </c>
      <c r="B38" s="201" t="s">
        <v>3459</v>
      </c>
      <c r="C38" s="201" t="s">
        <v>3706</v>
      </c>
      <c r="D38" s="201" t="s">
        <v>122</v>
      </c>
      <c r="E38" s="201" t="s">
        <v>3706</v>
      </c>
      <c r="F38" s="201" t="s">
        <v>3501</v>
      </c>
      <c r="G38" s="201" t="s">
        <v>123</v>
      </c>
      <c r="H38" s="201" t="s">
        <v>123</v>
      </c>
      <c r="I38" s="201" t="s">
        <v>3706</v>
      </c>
      <c r="J38" s="215" t="s">
        <v>3708</v>
      </c>
      <c r="K38" s="215"/>
      <c r="L38" s="215"/>
      <c r="M38" s="215"/>
      <c r="N38" s="201"/>
      <c r="O38" s="201"/>
      <c r="P38" s="229"/>
      <c r="Q38" s="213"/>
      <c r="R38" s="213"/>
      <c r="S38" s="213"/>
      <c r="T38" s="213"/>
      <c r="U38" s="213"/>
      <c r="V38" s="213"/>
      <c r="W38" s="213"/>
      <c r="X38" s="213"/>
      <c r="Y38" s="213"/>
      <c r="Z38" s="213"/>
    </row>
    <row r="39" ht="24.75" customHeight="1">
      <c r="A39" s="201" t="s">
        <v>3712</v>
      </c>
      <c r="B39" s="201" t="s">
        <v>3459</v>
      </c>
      <c r="C39" s="201" t="s">
        <v>3712</v>
      </c>
      <c r="D39" s="201" t="s">
        <v>122</v>
      </c>
      <c r="E39" s="201" t="s">
        <v>3712</v>
      </c>
      <c r="F39" s="201" t="s">
        <v>3668</v>
      </c>
      <c r="G39" s="201" t="s">
        <v>123</v>
      </c>
      <c r="H39" s="201" t="s">
        <v>123</v>
      </c>
      <c r="I39" s="201" t="s">
        <v>3712</v>
      </c>
      <c r="J39" s="215" t="s">
        <v>967</v>
      </c>
      <c r="K39" s="215"/>
      <c r="L39" s="215"/>
      <c r="M39" s="215"/>
      <c r="N39" s="201"/>
      <c r="O39" s="201"/>
      <c r="P39" s="229"/>
      <c r="Q39" s="213"/>
      <c r="R39" s="213"/>
      <c r="S39" s="213"/>
      <c r="T39" s="213"/>
      <c r="U39" s="213"/>
      <c r="V39" s="213"/>
      <c r="W39" s="213"/>
      <c r="X39" s="213"/>
      <c r="Y39" s="213"/>
      <c r="Z39" s="213"/>
    </row>
    <row r="40" ht="39.75" customHeight="1">
      <c r="A40" s="215" t="s">
        <v>1166</v>
      </c>
      <c r="B40" s="201" t="s">
        <v>3459</v>
      </c>
      <c r="C40" s="215" t="s">
        <v>1166</v>
      </c>
      <c r="D40" s="201" t="s">
        <v>122</v>
      </c>
      <c r="E40" s="215" t="s">
        <v>1166</v>
      </c>
      <c r="F40" s="201">
        <v>1.76</v>
      </c>
      <c r="G40" s="201">
        <v>3.52</v>
      </c>
      <c r="H40" s="201" t="s">
        <v>123</v>
      </c>
      <c r="I40" s="215" t="s">
        <v>1166</v>
      </c>
      <c r="J40" s="215" t="s">
        <v>1170</v>
      </c>
      <c r="K40" s="215" t="s">
        <v>3462</v>
      </c>
      <c r="L40" s="215"/>
      <c r="M40" s="215" t="s">
        <v>3721</v>
      </c>
      <c r="N40" s="215" t="s">
        <v>3658</v>
      </c>
      <c r="O40" s="215" t="s">
        <v>3704</v>
      </c>
      <c r="P40" s="230" t="s">
        <v>3705</v>
      </c>
      <c r="Q40" s="213"/>
      <c r="R40" s="213"/>
      <c r="S40" s="213"/>
      <c r="T40" s="213"/>
      <c r="U40" s="213"/>
      <c r="V40" s="213"/>
      <c r="W40" s="213"/>
      <c r="X40" s="213"/>
      <c r="Y40" s="213"/>
      <c r="Z40" s="213"/>
    </row>
    <row r="41" ht="24.75" customHeight="1">
      <c r="A41" s="201" t="s">
        <v>3725</v>
      </c>
      <c r="B41" s="201" t="s">
        <v>3459</v>
      </c>
      <c r="C41" s="201" t="s">
        <v>3725</v>
      </c>
      <c r="D41" s="201" t="s">
        <v>3727</v>
      </c>
      <c r="E41" s="201" t="s">
        <v>3725</v>
      </c>
      <c r="F41" s="201" t="s">
        <v>3729</v>
      </c>
      <c r="G41" s="201" t="s">
        <v>3616</v>
      </c>
      <c r="H41" s="201" t="s">
        <v>123</v>
      </c>
      <c r="I41" s="201" t="s">
        <v>3725</v>
      </c>
      <c r="J41" s="215" t="s">
        <v>1199</v>
      </c>
      <c r="K41" s="215" t="s">
        <v>3635</v>
      </c>
      <c r="L41" s="215"/>
      <c r="M41" s="215" t="s">
        <v>3733</v>
      </c>
      <c r="N41" s="215" t="s">
        <v>3734</v>
      </c>
      <c r="O41" s="215" t="s">
        <v>3735</v>
      </c>
      <c r="P41" s="230" t="s">
        <v>3736</v>
      </c>
      <c r="Q41" s="213"/>
      <c r="R41" s="213"/>
      <c r="S41" s="213"/>
      <c r="T41" s="213"/>
      <c r="U41" s="213"/>
      <c r="V41" s="213"/>
      <c r="W41" s="213"/>
      <c r="X41" s="213"/>
      <c r="Y41" s="213"/>
      <c r="Z41" s="213"/>
    </row>
    <row r="42" ht="24.75" customHeight="1">
      <c r="A42" s="201" t="s">
        <v>1188</v>
      </c>
      <c r="B42" s="201" t="s">
        <v>3459</v>
      </c>
      <c r="C42" s="201" t="s">
        <v>1188</v>
      </c>
      <c r="D42" s="201" t="s">
        <v>122</v>
      </c>
      <c r="E42" s="201" t="s">
        <v>1188</v>
      </c>
      <c r="F42" s="201" t="s">
        <v>123</v>
      </c>
      <c r="G42" s="201">
        <v>0.35</v>
      </c>
      <c r="H42" s="201" t="s">
        <v>123</v>
      </c>
      <c r="I42" s="201" t="s">
        <v>1188</v>
      </c>
      <c r="J42" s="215" t="s">
        <v>1199</v>
      </c>
      <c r="K42" s="215" t="s">
        <v>3462</v>
      </c>
      <c r="L42" s="215"/>
      <c r="M42" s="215" t="s">
        <v>3739</v>
      </c>
      <c r="N42" s="215" t="s">
        <v>3740</v>
      </c>
      <c r="O42" s="215" t="s">
        <v>3741</v>
      </c>
      <c r="P42" s="230" t="s">
        <v>3742</v>
      </c>
      <c r="Q42" s="213"/>
      <c r="R42" s="213"/>
      <c r="S42" s="213"/>
      <c r="T42" s="213"/>
      <c r="U42" s="213"/>
      <c r="V42" s="213"/>
      <c r="W42" s="213"/>
      <c r="X42" s="213"/>
      <c r="Y42" s="213"/>
      <c r="Z42" s="213"/>
    </row>
    <row r="43" ht="24.75" customHeight="1">
      <c r="A43" s="201" t="s">
        <v>3743</v>
      </c>
      <c r="B43" s="201" t="s">
        <v>3459</v>
      </c>
      <c r="C43" s="201" t="s">
        <v>3743</v>
      </c>
      <c r="D43" s="201" t="s">
        <v>3744</v>
      </c>
      <c r="E43" s="201" t="s">
        <v>3743</v>
      </c>
      <c r="F43" s="201">
        <v>0.08</v>
      </c>
      <c r="G43" s="201" t="s">
        <v>123</v>
      </c>
      <c r="H43" s="201" t="s">
        <v>123</v>
      </c>
      <c r="I43" s="201" t="s">
        <v>3743</v>
      </c>
      <c r="J43" s="215" t="s">
        <v>3745</v>
      </c>
      <c r="K43" s="215"/>
      <c r="L43" s="215"/>
      <c r="M43" s="215"/>
      <c r="N43" s="201"/>
      <c r="O43" s="201"/>
      <c r="P43" s="229"/>
      <c r="Q43" s="213"/>
      <c r="R43" s="213"/>
      <c r="S43" s="213"/>
      <c r="T43" s="213"/>
      <c r="U43" s="213"/>
      <c r="V43" s="213"/>
      <c r="W43" s="213"/>
      <c r="X43" s="213"/>
      <c r="Y43" s="213"/>
      <c r="Z43" s="213"/>
    </row>
    <row r="44" ht="24.75" customHeight="1">
      <c r="A44" s="201" t="s">
        <v>3749</v>
      </c>
      <c r="B44" s="201" t="s">
        <v>3459</v>
      </c>
      <c r="C44" s="201" t="s">
        <v>3749</v>
      </c>
      <c r="D44" s="201" t="s">
        <v>122</v>
      </c>
      <c r="E44" s="201" t="s">
        <v>3749</v>
      </c>
      <c r="F44" s="201" t="s">
        <v>3472</v>
      </c>
      <c r="G44" s="201" t="s">
        <v>123</v>
      </c>
      <c r="H44" s="201" t="s">
        <v>123</v>
      </c>
      <c r="I44" s="201" t="s">
        <v>3749</v>
      </c>
      <c r="J44" s="215" t="s">
        <v>1199</v>
      </c>
      <c r="K44" s="215"/>
      <c r="L44" s="215"/>
      <c r="M44" s="215"/>
      <c r="N44" s="201"/>
      <c r="O44" s="201"/>
      <c r="P44" s="229"/>
      <c r="Q44" s="213"/>
      <c r="R44" s="213"/>
      <c r="S44" s="213"/>
      <c r="T44" s="213"/>
      <c r="U44" s="213"/>
      <c r="V44" s="213"/>
      <c r="W44" s="213"/>
      <c r="X44" s="213"/>
      <c r="Y44" s="213"/>
      <c r="Z44" s="213"/>
    </row>
    <row r="45" ht="39.0" customHeight="1">
      <c r="A45" s="215" t="s">
        <v>1229</v>
      </c>
      <c r="B45" s="201" t="s">
        <v>3459</v>
      </c>
      <c r="C45" s="215" t="s">
        <v>1229</v>
      </c>
      <c r="D45" s="201" t="s">
        <v>3754</v>
      </c>
      <c r="E45" s="215" t="s">
        <v>1229</v>
      </c>
      <c r="F45" s="201">
        <v>0.18</v>
      </c>
      <c r="G45" s="201" t="s">
        <v>123</v>
      </c>
      <c r="H45" s="201" t="s">
        <v>123</v>
      </c>
      <c r="I45" s="215" t="s">
        <v>1229</v>
      </c>
      <c r="J45" s="215" t="s">
        <v>1241</v>
      </c>
      <c r="K45" s="215" t="s">
        <v>3755</v>
      </c>
      <c r="L45" s="215"/>
      <c r="M45" s="215" t="s">
        <v>3756</v>
      </c>
      <c r="N45" s="215" t="s">
        <v>3658</v>
      </c>
      <c r="O45" s="215" t="s">
        <v>3757</v>
      </c>
      <c r="P45" s="230" t="s">
        <v>3758</v>
      </c>
      <c r="Q45" s="213"/>
      <c r="R45" s="213"/>
      <c r="S45" s="213"/>
      <c r="T45" s="213"/>
      <c r="U45" s="213"/>
      <c r="V45" s="213"/>
      <c r="W45" s="213"/>
      <c r="X45" s="213"/>
      <c r="Y45" s="213"/>
      <c r="Z45" s="213"/>
    </row>
    <row r="46" ht="24.75" customHeight="1">
      <c r="A46" s="201" t="s">
        <v>3760</v>
      </c>
      <c r="B46" s="201" t="s">
        <v>3459</v>
      </c>
      <c r="C46" s="201" t="s">
        <v>3760</v>
      </c>
      <c r="D46" s="201" t="s">
        <v>3762</v>
      </c>
      <c r="E46" s="201" t="s">
        <v>3760</v>
      </c>
      <c r="F46" s="201" t="s">
        <v>3472</v>
      </c>
      <c r="G46" s="201" t="s">
        <v>123</v>
      </c>
      <c r="H46" s="201" t="s">
        <v>123</v>
      </c>
      <c r="I46" s="201" t="s">
        <v>3760</v>
      </c>
      <c r="J46" s="215" t="s">
        <v>123</v>
      </c>
      <c r="K46" s="215"/>
      <c r="L46" s="215"/>
      <c r="M46" s="215"/>
      <c r="N46" s="201"/>
      <c r="O46" s="201"/>
      <c r="P46" s="229"/>
      <c r="Q46" s="213"/>
      <c r="R46" s="213"/>
      <c r="S46" s="213"/>
      <c r="T46" s="213"/>
      <c r="U46" s="213"/>
      <c r="V46" s="213"/>
      <c r="W46" s="213"/>
      <c r="X46" s="213"/>
      <c r="Y46" s="213"/>
      <c r="Z46" s="213"/>
    </row>
    <row r="47" ht="24.75" customHeight="1">
      <c r="A47" s="201" t="s">
        <v>3765</v>
      </c>
      <c r="B47" s="201" t="s">
        <v>3459</v>
      </c>
      <c r="C47" s="201" t="s">
        <v>3765</v>
      </c>
      <c r="D47" s="201" t="s">
        <v>122</v>
      </c>
      <c r="E47" s="201" t="s">
        <v>3765</v>
      </c>
      <c r="F47" s="201" t="s">
        <v>3729</v>
      </c>
      <c r="G47" s="201" t="s">
        <v>123</v>
      </c>
      <c r="H47" s="201" t="s">
        <v>123</v>
      </c>
      <c r="I47" s="201" t="s">
        <v>3765</v>
      </c>
      <c r="J47" s="215" t="s">
        <v>3708</v>
      </c>
      <c r="K47" s="215"/>
      <c r="L47" s="215"/>
      <c r="M47" s="215"/>
      <c r="N47" s="201"/>
      <c r="O47" s="201"/>
      <c r="P47" s="229"/>
      <c r="Q47" s="213"/>
      <c r="R47" s="213"/>
      <c r="S47" s="213"/>
      <c r="T47" s="213"/>
      <c r="U47" s="213"/>
      <c r="V47" s="213"/>
      <c r="W47" s="213"/>
      <c r="X47" s="213"/>
      <c r="Y47" s="213"/>
      <c r="Z47" s="213"/>
    </row>
    <row r="48" ht="24.75" customHeight="1">
      <c r="A48" s="201" t="s">
        <v>3769</v>
      </c>
      <c r="B48" s="201" t="s">
        <v>3459</v>
      </c>
      <c r="C48" s="201" t="s">
        <v>3769</v>
      </c>
      <c r="D48" s="201" t="s">
        <v>122</v>
      </c>
      <c r="E48" s="201" t="s">
        <v>3769</v>
      </c>
      <c r="F48" s="201" t="s">
        <v>3668</v>
      </c>
      <c r="G48" s="201" t="s">
        <v>123</v>
      </c>
      <c r="H48" s="201" t="s">
        <v>123</v>
      </c>
      <c r="I48" s="201" t="s">
        <v>3769</v>
      </c>
      <c r="J48" s="215" t="s">
        <v>149</v>
      </c>
      <c r="K48" s="215"/>
      <c r="L48" s="215"/>
      <c r="M48" s="215"/>
      <c r="N48" s="201"/>
      <c r="O48" s="201"/>
      <c r="P48" s="229"/>
      <c r="Q48" s="213"/>
      <c r="R48" s="213"/>
      <c r="S48" s="213"/>
      <c r="T48" s="213"/>
      <c r="U48" s="213"/>
      <c r="V48" s="213"/>
      <c r="W48" s="213"/>
      <c r="X48" s="213"/>
      <c r="Y48" s="213"/>
      <c r="Z48" s="213"/>
    </row>
    <row r="49" ht="24.75" customHeight="1">
      <c r="A49" s="201" t="s">
        <v>3773</v>
      </c>
      <c r="B49" s="201" t="s">
        <v>3459</v>
      </c>
      <c r="C49" s="201" t="s">
        <v>3773</v>
      </c>
      <c r="D49" s="201" t="s">
        <v>3774</v>
      </c>
      <c r="E49" s="201" t="s">
        <v>3773</v>
      </c>
      <c r="F49" s="201">
        <v>0.03</v>
      </c>
      <c r="G49" s="201" t="s">
        <v>123</v>
      </c>
      <c r="H49" s="201" t="s">
        <v>123</v>
      </c>
      <c r="I49" s="201" t="s">
        <v>3773</v>
      </c>
      <c r="J49" s="215" t="s">
        <v>3776</v>
      </c>
      <c r="K49" s="215"/>
      <c r="L49" s="215"/>
      <c r="M49" s="215"/>
      <c r="N49" s="201"/>
      <c r="O49" s="201"/>
      <c r="P49" s="229"/>
      <c r="Q49" s="213"/>
      <c r="R49" s="213"/>
      <c r="S49" s="213"/>
      <c r="T49" s="213"/>
      <c r="U49" s="213"/>
      <c r="V49" s="213"/>
      <c r="W49" s="213"/>
      <c r="X49" s="213"/>
      <c r="Y49" s="213"/>
      <c r="Z49" s="213"/>
    </row>
    <row r="50" ht="24.75" customHeight="1">
      <c r="A50" s="201" t="s">
        <v>3779</v>
      </c>
      <c r="B50" s="201" t="s">
        <v>3459</v>
      </c>
      <c r="C50" s="201" t="s">
        <v>3779</v>
      </c>
      <c r="D50" s="201" t="s">
        <v>122</v>
      </c>
      <c r="E50" s="201" t="s">
        <v>3779</v>
      </c>
      <c r="F50" s="201" t="s">
        <v>3616</v>
      </c>
      <c r="G50" s="201" t="s">
        <v>123</v>
      </c>
      <c r="H50" s="201" t="s">
        <v>123</v>
      </c>
      <c r="I50" s="201" t="s">
        <v>3779</v>
      </c>
      <c r="J50" s="215" t="s">
        <v>3781</v>
      </c>
      <c r="K50" s="215"/>
      <c r="L50" s="215"/>
      <c r="M50" s="215"/>
      <c r="N50" s="201"/>
      <c r="O50" s="201"/>
      <c r="P50" s="229"/>
      <c r="Q50" s="213"/>
      <c r="R50" s="213"/>
      <c r="S50" s="213"/>
      <c r="T50" s="213"/>
      <c r="U50" s="213"/>
      <c r="V50" s="213"/>
      <c r="W50" s="213"/>
      <c r="X50" s="213"/>
      <c r="Y50" s="213"/>
      <c r="Z50" s="213"/>
    </row>
    <row r="51" ht="24.75" customHeight="1">
      <c r="A51" s="201" t="s">
        <v>3783</v>
      </c>
      <c r="B51" s="201" t="s">
        <v>3459</v>
      </c>
      <c r="C51" s="201" t="s">
        <v>3783</v>
      </c>
      <c r="D51" s="201" t="s">
        <v>122</v>
      </c>
      <c r="E51" s="201" t="s">
        <v>3783</v>
      </c>
      <c r="F51" s="201" t="s">
        <v>3579</v>
      </c>
      <c r="G51" s="201" t="s">
        <v>3560</v>
      </c>
      <c r="H51" s="201" t="s">
        <v>123</v>
      </c>
      <c r="I51" s="201" t="s">
        <v>3783</v>
      </c>
      <c r="J51" s="215" t="s">
        <v>3784</v>
      </c>
      <c r="K51" s="215"/>
      <c r="L51" s="215"/>
      <c r="M51" s="215"/>
      <c r="N51" s="201"/>
      <c r="O51" s="201"/>
      <c r="P51" s="229"/>
      <c r="Q51" s="213"/>
      <c r="R51" s="213"/>
      <c r="S51" s="213"/>
      <c r="T51" s="213"/>
      <c r="U51" s="213"/>
      <c r="V51" s="213"/>
      <c r="W51" s="213"/>
      <c r="X51" s="213"/>
      <c r="Y51" s="213"/>
      <c r="Z51" s="213"/>
    </row>
    <row r="52" ht="24.75" customHeight="1">
      <c r="A52" s="201" t="s">
        <v>3786</v>
      </c>
      <c r="B52" s="201" t="s">
        <v>3459</v>
      </c>
      <c r="C52" s="201" t="s">
        <v>3786</v>
      </c>
      <c r="D52" s="201" t="s">
        <v>122</v>
      </c>
      <c r="E52" s="201" t="s">
        <v>3786</v>
      </c>
      <c r="F52" s="201" t="s">
        <v>3668</v>
      </c>
      <c r="G52" s="201" t="s">
        <v>123</v>
      </c>
      <c r="H52" s="201" t="s">
        <v>123</v>
      </c>
      <c r="I52" s="201" t="s">
        <v>3786</v>
      </c>
      <c r="J52" s="215" t="s">
        <v>149</v>
      </c>
      <c r="K52" s="215"/>
      <c r="L52" s="215"/>
      <c r="M52" s="215"/>
      <c r="N52" s="201"/>
      <c r="O52" s="201"/>
      <c r="P52" s="229"/>
      <c r="Q52" s="213"/>
      <c r="R52" s="213"/>
      <c r="S52" s="213"/>
      <c r="T52" s="213"/>
      <c r="U52" s="213"/>
      <c r="V52" s="213"/>
      <c r="W52" s="213"/>
      <c r="X52" s="213"/>
      <c r="Y52" s="213"/>
      <c r="Z52" s="213"/>
    </row>
    <row r="53" ht="24.75" customHeight="1">
      <c r="A53" s="201" t="s">
        <v>3790</v>
      </c>
      <c r="B53" s="201" t="s">
        <v>3459</v>
      </c>
      <c r="C53" s="201" t="s">
        <v>3790</v>
      </c>
      <c r="D53" s="201" t="s">
        <v>122</v>
      </c>
      <c r="E53" s="201" t="s">
        <v>3790</v>
      </c>
      <c r="F53" s="201" t="s">
        <v>3616</v>
      </c>
      <c r="G53" s="201" t="s">
        <v>123</v>
      </c>
      <c r="H53" s="201">
        <v>8.0</v>
      </c>
      <c r="I53" s="201" t="s">
        <v>3790</v>
      </c>
      <c r="J53" s="215" t="s">
        <v>3791</v>
      </c>
      <c r="K53" s="215"/>
      <c r="L53" s="215"/>
      <c r="M53" s="215"/>
      <c r="N53" s="201"/>
      <c r="O53" s="201"/>
      <c r="P53" s="229"/>
      <c r="Q53" s="213"/>
      <c r="R53" s="213"/>
      <c r="S53" s="213"/>
      <c r="T53" s="213"/>
      <c r="U53" s="213"/>
      <c r="V53" s="213"/>
      <c r="W53" s="213"/>
      <c r="X53" s="213"/>
      <c r="Y53" s="213"/>
      <c r="Z53" s="213"/>
    </row>
    <row r="54" ht="24.75" customHeight="1">
      <c r="A54" s="201" t="s">
        <v>1334</v>
      </c>
      <c r="B54" s="201" t="s">
        <v>3459</v>
      </c>
      <c r="C54" s="201" t="s">
        <v>1334</v>
      </c>
      <c r="D54" s="201" t="s">
        <v>122</v>
      </c>
      <c r="E54" s="201" t="s">
        <v>1334</v>
      </c>
      <c r="F54" s="201" t="s">
        <v>3616</v>
      </c>
      <c r="G54" s="201" t="s">
        <v>123</v>
      </c>
      <c r="H54" s="201">
        <v>16.0</v>
      </c>
      <c r="I54" s="201" t="s">
        <v>1334</v>
      </c>
      <c r="J54" s="215" t="s">
        <v>3793</v>
      </c>
      <c r="K54" s="215"/>
      <c r="L54" s="215"/>
      <c r="M54" s="215"/>
      <c r="N54" s="201"/>
      <c r="O54" s="201"/>
      <c r="P54" s="229"/>
      <c r="Q54" s="213"/>
      <c r="R54" s="213"/>
      <c r="S54" s="213"/>
      <c r="T54" s="213"/>
      <c r="U54" s="213"/>
      <c r="V54" s="213"/>
      <c r="W54" s="213"/>
      <c r="X54" s="213"/>
      <c r="Y54" s="213"/>
      <c r="Z54" s="213"/>
    </row>
    <row r="55" ht="24.75" customHeight="1">
      <c r="A55" s="201" t="s">
        <v>3796</v>
      </c>
      <c r="B55" s="201" t="s">
        <v>3459</v>
      </c>
      <c r="C55" s="201" t="s">
        <v>3796</v>
      </c>
      <c r="D55" s="201" t="s">
        <v>122</v>
      </c>
      <c r="E55" s="201" t="s">
        <v>3796</v>
      </c>
      <c r="F55" s="201" t="s">
        <v>123</v>
      </c>
      <c r="G55" s="201">
        <v>0.08</v>
      </c>
      <c r="H55" s="201" t="s">
        <v>123</v>
      </c>
      <c r="I55" s="201" t="s">
        <v>3796</v>
      </c>
      <c r="J55" s="215" t="s">
        <v>3799</v>
      </c>
      <c r="K55" s="215"/>
      <c r="L55" s="215"/>
      <c r="M55" s="215"/>
      <c r="N55" s="201"/>
      <c r="O55" s="201"/>
      <c r="P55" s="229"/>
      <c r="Q55" s="213"/>
      <c r="R55" s="213"/>
      <c r="S55" s="213"/>
      <c r="T55" s="213"/>
      <c r="U55" s="213"/>
      <c r="V55" s="213"/>
      <c r="W55" s="213"/>
      <c r="X55" s="213"/>
      <c r="Y55" s="213"/>
      <c r="Z55" s="213"/>
    </row>
    <row r="56" ht="24.75" customHeight="1">
      <c r="A56" s="201" t="s">
        <v>3801</v>
      </c>
      <c r="B56" s="201" t="s">
        <v>3459</v>
      </c>
      <c r="C56" s="201" t="s">
        <v>3801</v>
      </c>
      <c r="D56" s="201" t="s">
        <v>122</v>
      </c>
      <c r="E56" s="201" t="s">
        <v>3801</v>
      </c>
      <c r="F56" s="201" t="s">
        <v>3616</v>
      </c>
      <c r="G56" s="201" t="s">
        <v>123</v>
      </c>
      <c r="H56" s="201" t="s">
        <v>123</v>
      </c>
      <c r="I56" s="201" t="s">
        <v>3801</v>
      </c>
      <c r="J56" s="215" t="s">
        <v>3803</v>
      </c>
      <c r="K56" s="215"/>
      <c r="L56" s="215"/>
      <c r="M56" s="215"/>
      <c r="N56" s="201"/>
      <c r="O56" s="201"/>
      <c r="P56" s="229"/>
      <c r="Q56" s="213"/>
      <c r="R56" s="213"/>
      <c r="S56" s="213"/>
      <c r="T56" s="213"/>
      <c r="U56" s="213"/>
      <c r="V56" s="213"/>
      <c r="W56" s="213"/>
      <c r="X56" s="213"/>
      <c r="Y56" s="213"/>
      <c r="Z56" s="213"/>
    </row>
    <row r="57" ht="24.75" customHeight="1">
      <c r="A57" s="201" t="s">
        <v>3807</v>
      </c>
      <c r="B57" s="201" t="s">
        <v>3459</v>
      </c>
      <c r="C57" s="201" t="s">
        <v>3807</v>
      </c>
      <c r="D57" s="201" t="s">
        <v>122</v>
      </c>
      <c r="E57" s="201" t="s">
        <v>3807</v>
      </c>
      <c r="F57" s="201">
        <v>88.0</v>
      </c>
      <c r="G57" s="201" t="s">
        <v>123</v>
      </c>
      <c r="H57" s="201" t="s">
        <v>123</v>
      </c>
      <c r="I57" s="201" t="s">
        <v>3807</v>
      </c>
      <c r="J57" s="215" t="s">
        <v>3809</v>
      </c>
      <c r="K57" s="215"/>
      <c r="L57" s="215"/>
      <c r="M57" s="215"/>
      <c r="N57" s="201"/>
      <c r="O57" s="201"/>
      <c r="P57" s="229"/>
      <c r="Q57" s="213"/>
      <c r="R57" s="213"/>
      <c r="S57" s="213"/>
      <c r="T57" s="213"/>
      <c r="U57" s="213"/>
      <c r="V57" s="213"/>
      <c r="W57" s="213"/>
      <c r="X57" s="213"/>
      <c r="Y57" s="213"/>
      <c r="Z57" s="213"/>
    </row>
    <row r="58" ht="24.75" customHeight="1">
      <c r="A58" s="201" t="s">
        <v>3811</v>
      </c>
      <c r="B58" s="201" t="s">
        <v>3459</v>
      </c>
      <c r="C58" s="201" t="s">
        <v>3811</v>
      </c>
      <c r="D58" s="201" t="s">
        <v>3813</v>
      </c>
      <c r="E58" s="201" t="s">
        <v>3811</v>
      </c>
      <c r="F58" s="201" t="s">
        <v>3729</v>
      </c>
      <c r="G58" s="201" t="s">
        <v>123</v>
      </c>
      <c r="H58" s="201" t="s">
        <v>123</v>
      </c>
      <c r="I58" s="201" t="s">
        <v>3811</v>
      </c>
      <c r="J58" s="215" t="s">
        <v>3814</v>
      </c>
      <c r="K58" s="215"/>
      <c r="L58" s="215"/>
      <c r="M58" s="215"/>
      <c r="N58" s="201"/>
      <c r="O58" s="201"/>
      <c r="P58" s="229"/>
      <c r="Q58" s="213"/>
      <c r="R58" s="213"/>
      <c r="S58" s="213"/>
      <c r="T58" s="213"/>
      <c r="U58" s="213"/>
      <c r="V58" s="213"/>
      <c r="W58" s="213"/>
      <c r="X58" s="213"/>
      <c r="Y58" s="213"/>
      <c r="Z58" s="213"/>
    </row>
    <row r="59" ht="24.75" customHeight="1">
      <c r="A59" s="201" t="s">
        <v>3816</v>
      </c>
      <c r="B59" s="201" t="s">
        <v>3459</v>
      </c>
      <c r="C59" s="201" t="s">
        <v>3816</v>
      </c>
      <c r="D59" s="201" t="s">
        <v>3818</v>
      </c>
      <c r="E59" s="201" t="s">
        <v>3816</v>
      </c>
      <c r="F59" s="201" t="s">
        <v>3819</v>
      </c>
      <c r="G59" s="201" t="s">
        <v>123</v>
      </c>
      <c r="H59" s="201" t="s">
        <v>123</v>
      </c>
      <c r="I59" s="201" t="s">
        <v>3816</v>
      </c>
      <c r="J59" s="215" t="s">
        <v>133</v>
      </c>
      <c r="K59" s="215"/>
      <c r="L59" s="215"/>
      <c r="M59" s="215"/>
      <c r="N59" s="201"/>
      <c r="O59" s="201"/>
      <c r="P59" s="229"/>
      <c r="Q59" s="213"/>
      <c r="R59" s="213"/>
      <c r="S59" s="213"/>
      <c r="T59" s="213"/>
      <c r="U59" s="213"/>
      <c r="V59" s="213"/>
      <c r="W59" s="213"/>
      <c r="X59" s="213"/>
      <c r="Y59" s="213"/>
      <c r="Z59" s="213"/>
    </row>
    <row r="60" ht="24.75" customHeight="1">
      <c r="A60" s="201" t="s">
        <v>3825</v>
      </c>
      <c r="B60" s="201" t="s">
        <v>3459</v>
      </c>
      <c r="C60" s="201" t="s">
        <v>3825</v>
      </c>
      <c r="D60" s="201" t="s">
        <v>122</v>
      </c>
      <c r="E60" s="201" t="s">
        <v>3825</v>
      </c>
      <c r="F60" s="201" t="s">
        <v>3668</v>
      </c>
      <c r="G60" s="201" t="s">
        <v>123</v>
      </c>
      <c r="H60" s="201" t="s">
        <v>123</v>
      </c>
      <c r="I60" s="201" t="s">
        <v>3825</v>
      </c>
      <c r="J60" s="215" t="s">
        <v>3829</v>
      </c>
      <c r="K60" s="215"/>
      <c r="L60" s="215"/>
      <c r="M60" s="215"/>
      <c r="N60" s="201"/>
      <c r="O60" s="201"/>
      <c r="P60" s="229"/>
      <c r="Q60" s="213"/>
      <c r="R60" s="213"/>
      <c r="S60" s="213"/>
      <c r="T60" s="213"/>
      <c r="U60" s="213"/>
      <c r="V60" s="213"/>
      <c r="W60" s="213"/>
      <c r="X60" s="213"/>
      <c r="Y60" s="213"/>
      <c r="Z60" s="213"/>
    </row>
    <row r="61" ht="24.75" customHeight="1">
      <c r="A61" s="201" t="s">
        <v>1371</v>
      </c>
      <c r="B61" s="201" t="s">
        <v>3459</v>
      </c>
      <c r="C61" s="201" t="s">
        <v>1371</v>
      </c>
      <c r="D61" s="201" t="s">
        <v>122</v>
      </c>
      <c r="E61" s="201" t="s">
        <v>1371</v>
      </c>
      <c r="F61" s="201" t="s">
        <v>123</v>
      </c>
      <c r="G61" s="201">
        <v>880.0</v>
      </c>
      <c r="H61" s="201">
        <v>780.0</v>
      </c>
      <c r="I61" s="201" t="s">
        <v>1371</v>
      </c>
      <c r="J61" s="215" t="s">
        <v>967</v>
      </c>
      <c r="K61" s="215"/>
      <c r="L61" s="215"/>
      <c r="M61" s="215"/>
      <c r="N61" s="215"/>
      <c r="O61" s="215"/>
      <c r="P61" s="230"/>
      <c r="Q61" s="213"/>
      <c r="R61" s="213"/>
      <c r="S61" s="213"/>
      <c r="T61" s="213"/>
      <c r="U61" s="213"/>
      <c r="V61" s="213"/>
      <c r="W61" s="213"/>
      <c r="X61" s="213"/>
      <c r="Y61" s="213"/>
      <c r="Z61" s="213"/>
    </row>
    <row r="62" ht="39.75" customHeight="1">
      <c r="A62" s="215" t="s">
        <v>1468</v>
      </c>
      <c r="B62" s="201" t="s">
        <v>3459</v>
      </c>
      <c r="C62" s="215" t="s">
        <v>1468</v>
      </c>
      <c r="D62" s="201" t="s">
        <v>122</v>
      </c>
      <c r="E62" s="215" t="s">
        <v>1468</v>
      </c>
      <c r="F62" s="201">
        <v>17.6</v>
      </c>
      <c r="G62" s="201" t="s">
        <v>123</v>
      </c>
      <c r="H62" s="201">
        <v>40.0</v>
      </c>
      <c r="I62" s="215" t="s">
        <v>1468</v>
      </c>
      <c r="J62" s="215" t="s">
        <v>149</v>
      </c>
      <c r="K62" s="215" t="s">
        <v>3483</v>
      </c>
      <c r="L62" s="215" t="s">
        <v>3848</v>
      </c>
      <c r="M62" s="215" t="s">
        <v>3850</v>
      </c>
      <c r="N62" s="215" t="s">
        <v>126</v>
      </c>
      <c r="O62" s="201" t="s">
        <v>3852</v>
      </c>
      <c r="P62" s="229" t="s">
        <v>3853</v>
      </c>
      <c r="Q62" s="213"/>
      <c r="R62" s="213"/>
      <c r="S62" s="213"/>
      <c r="T62" s="213"/>
      <c r="U62" s="213"/>
      <c r="V62" s="213"/>
      <c r="W62" s="213"/>
      <c r="X62" s="213"/>
      <c r="Y62" s="213"/>
      <c r="Z62" s="213"/>
    </row>
    <row r="63" ht="24.75" customHeight="1">
      <c r="A63" s="201" t="s">
        <v>3862</v>
      </c>
      <c r="B63" s="201" t="s">
        <v>3459</v>
      </c>
      <c r="C63" s="201" t="s">
        <v>3862</v>
      </c>
      <c r="D63" s="201" t="s">
        <v>122</v>
      </c>
      <c r="E63" s="201" t="s">
        <v>3862</v>
      </c>
      <c r="F63" s="201">
        <v>88.0</v>
      </c>
      <c r="G63" s="201" t="s">
        <v>123</v>
      </c>
      <c r="H63" s="201">
        <v>115.0</v>
      </c>
      <c r="I63" s="201" t="s">
        <v>3862</v>
      </c>
      <c r="J63" s="215" t="s">
        <v>3865</v>
      </c>
      <c r="K63" s="215"/>
      <c r="L63" s="215"/>
      <c r="M63" s="215"/>
      <c r="N63" s="201"/>
      <c r="O63" s="201"/>
      <c r="P63" s="229"/>
      <c r="Q63" s="213"/>
      <c r="R63" s="213"/>
      <c r="S63" s="213"/>
      <c r="T63" s="213"/>
      <c r="U63" s="213"/>
      <c r="V63" s="213"/>
      <c r="W63" s="213"/>
      <c r="X63" s="213"/>
      <c r="Y63" s="213"/>
      <c r="Z63" s="213"/>
    </row>
    <row r="64" ht="24.75" customHeight="1">
      <c r="A64" s="201" t="s">
        <v>3868</v>
      </c>
      <c r="B64" s="201" t="s">
        <v>3459</v>
      </c>
      <c r="C64" s="201" t="s">
        <v>3868</v>
      </c>
      <c r="D64" s="201" t="s">
        <v>122</v>
      </c>
      <c r="E64" s="201" t="s">
        <v>3868</v>
      </c>
      <c r="F64" s="201">
        <v>88.0</v>
      </c>
      <c r="G64" s="201" t="s">
        <v>123</v>
      </c>
      <c r="H64" s="201">
        <v>78.0</v>
      </c>
      <c r="I64" s="201" t="s">
        <v>3868</v>
      </c>
      <c r="J64" s="215" t="s">
        <v>3632</v>
      </c>
      <c r="K64" s="215"/>
      <c r="L64" s="215"/>
      <c r="M64" s="215"/>
      <c r="N64" s="201"/>
      <c r="O64" s="201"/>
      <c r="P64" s="229"/>
      <c r="Q64" s="213"/>
      <c r="R64" s="213"/>
      <c r="S64" s="213"/>
      <c r="T64" s="213"/>
      <c r="U64" s="213"/>
      <c r="V64" s="213"/>
      <c r="W64" s="213"/>
      <c r="X64" s="213"/>
      <c r="Y64" s="213"/>
      <c r="Z64" s="213"/>
    </row>
    <row r="65" ht="24.75" customHeight="1">
      <c r="A65" s="201" t="s">
        <v>3871</v>
      </c>
      <c r="B65" s="201" t="s">
        <v>3459</v>
      </c>
      <c r="C65" s="201" t="s">
        <v>3871</v>
      </c>
      <c r="D65" s="201" t="s">
        <v>122</v>
      </c>
      <c r="E65" s="201" t="s">
        <v>3871</v>
      </c>
      <c r="F65" s="201">
        <v>0.18</v>
      </c>
      <c r="G65" s="201" t="s">
        <v>123</v>
      </c>
      <c r="H65" s="201">
        <v>4.0</v>
      </c>
      <c r="I65" s="201" t="s">
        <v>3871</v>
      </c>
      <c r="J65" s="215" t="s">
        <v>149</v>
      </c>
      <c r="K65" s="215"/>
      <c r="L65" s="215"/>
      <c r="M65" s="215"/>
      <c r="N65" s="201"/>
      <c r="O65" s="201"/>
      <c r="P65" s="229"/>
      <c r="Q65" s="213"/>
      <c r="R65" s="213"/>
      <c r="S65" s="213"/>
      <c r="T65" s="213"/>
      <c r="U65" s="213"/>
      <c r="V65" s="213"/>
      <c r="W65" s="213"/>
      <c r="X65" s="213"/>
      <c r="Y65" s="213"/>
      <c r="Z65" s="213"/>
    </row>
    <row r="66" ht="24.75" customHeight="1">
      <c r="A66" s="201" t="s">
        <v>3874</v>
      </c>
      <c r="B66" s="201" t="s">
        <v>3459</v>
      </c>
      <c r="C66" s="201" t="s">
        <v>3874</v>
      </c>
      <c r="D66" s="201" t="s">
        <v>122</v>
      </c>
      <c r="E66" s="201" t="s">
        <v>3874</v>
      </c>
      <c r="F66" s="201">
        <v>88.0</v>
      </c>
      <c r="G66" s="201">
        <v>110.0</v>
      </c>
      <c r="H66" s="201">
        <v>78.0</v>
      </c>
      <c r="I66" s="201" t="s">
        <v>3874</v>
      </c>
      <c r="J66" s="215" t="s">
        <v>149</v>
      </c>
      <c r="K66" s="215"/>
      <c r="L66" s="215"/>
      <c r="M66" s="215"/>
      <c r="N66" s="201"/>
      <c r="O66" s="201"/>
      <c r="P66" s="229"/>
      <c r="Q66" s="213"/>
      <c r="R66" s="213"/>
      <c r="S66" s="213"/>
      <c r="T66" s="213"/>
      <c r="U66" s="213"/>
      <c r="V66" s="213"/>
      <c r="W66" s="213"/>
      <c r="X66" s="213"/>
      <c r="Y66" s="213"/>
      <c r="Z66" s="213"/>
    </row>
    <row r="67" ht="39.75" customHeight="1">
      <c r="A67" s="215" t="s">
        <v>3878</v>
      </c>
      <c r="B67" s="201" t="s">
        <v>3459</v>
      </c>
      <c r="C67" s="215" t="s">
        <v>3878</v>
      </c>
      <c r="D67" s="201" t="s">
        <v>122</v>
      </c>
      <c r="E67" s="215" t="s">
        <v>3878</v>
      </c>
      <c r="F67" s="201">
        <v>44.0</v>
      </c>
      <c r="G67" s="201" t="s">
        <v>123</v>
      </c>
      <c r="H67" s="201">
        <v>40.0</v>
      </c>
      <c r="I67" s="215" t="s">
        <v>3878</v>
      </c>
      <c r="J67" s="215" t="s">
        <v>3708</v>
      </c>
      <c r="K67" s="215" t="s">
        <v>3483</v>
      </c>
      <c r="L67" s="215" t="s">
        <v>3888</v>
      </c>
      <c r="M67" s="215" t="s">
        <v>3850</v>
      </c>
      <c r="N67" s="215" t="s">
        <v>126</v>
      </c>
      <c r="O67" s="201" t="s">
        <v>3852</v>
      </c>
      <c r="P67" s="229" t="s">
        <v>3853</v>
      </c>
      <c r="Q67" s="213"/>
      <c r="R67" s="213"/>
      <c r="S67" s="213"/>
      <c r="T67" s="213"/>
      <c r="U67" s="213"/>
      <c r="V67" s="213"/>
      <c r="W67" s="213"/>
      <c r="X67" s="213"/>
      <c r="Y67" s="213"/>
      <c r="Z67" s="213"/>
    </row>
    <row r="68" ht="24.75" customHeight="1">
      <c r="A68" s="201" t="s">
        <v>3890</v>
      </c>
      <c r="B68" s="201" t="s">
        <v>3459</v>
      </c>
      <c r="C68" s="201" t="s">
        <v>3890</v>
      </c>
      <c r="D68" s="201" t="s">
        <v>122</v>
      </c>
      <c r="E68" s="201" t="s">
        <v>3890</v>
      </c>
      <c r="F68" s="201">
        <v>44.0</v>
      </c>
      <c r="G68" s="201" t="s">
        <v>123</v>
      </c>
      <c r="H68" s="201" t="s">
        <v>123</v>
      </c>
      <c r="I68" s="201" t="s">
        <v>3890</v>
      </c>
      <c r="J68" s="215" t="s">
        <v>967</v>
      </c>
      <c r="K68" s="215"/>
      <c r="L68" s="215"/>
      <c r="M68" s="215"/>
      <c r="N68" s="201"/>
      <c r="O68" s="201"/>
      <c r="P68" s="229"/>
      <c r="Q68" s="213"/>
      <c r="R68" s="213"/>
      <c r="S68" s="213"/>
      <c r="T68" s="213"/>
      <c r="U68" s="213"/>
      <c r="V68" s="213"/>
      <c r="W68" s="213"/>
      <c r="X68" s="213"/>
      <c r="Y68" s="213"/>
      <c r="Z68" s="213"/>
    </row>
    <row r="69" ht="39.75" customHeight="1">
      <c r="A69" s="215" t="s">
        <v>1405</v>
      </c>
      <c r="B69" s="201" t="s">
        <v>3459</v>
      </c>
      <c r="C69" s="215" t="s">
        <v>1405</v>
      </c>
      <c r="D69" s="201" t="s">
        <v>122</v>
      </c>
      <c r="E69" s="215" t="s">
        <v>1405</v>
      </c>
      <c r="F69" s="201">
        <v>176.0</v>
      </c>
      <c r="G69" s="201">
        <v>352.0</v>
      </c>
      <c r="H69" s="201">
        <v>310.0</v>
      </c>
      <c r="I69" s="215" t="s">
        <v>1405</v>
      </c>
      <c r="J69" s="215" t="s">
        <v>3520</v>
      </c>
      <c r="K69" s="215" t="s">
        <v>3483</v>
      </c>
      <c r="L69" s="215" t="s">
        <v>3896</v>
      </c>
      <c r="M69" s="215" t="s">
        <v>3897</v>
      </c>
      <c r="N69" s="215" t="s">
        <v>126</v>
      </c>
      <c r="O69" s="201" t="s">
        <v>3898</v>
      </c>
      <c r="P69" s="229" t="s">
        <v>3899</v>
      </c>
      <c r="Q69" s="213"/>
      <c r="R69" s="213"/>
      <c r="S69" s="213"/>
      <c r="T69" s="213"/>
      <c r="U69" s="213"/>
      <c r="V69" s="213"/>
      <c r="W69" s="213"/>
      <c r="X69" s="213"/>
      <c r="Y69" s="213"/>
      <c r="Z69" s="213"/>
    </row>
    <row r="70" ht="24.75" customHeight="1">
      <c r="A70" s="201" t="s">
        <v>3900</v>
      </c>
      <c r="B70" s="201" t="s">
        <v>3459</v>
      </c>
      <c r="C70" s="201" t="s">
        <v>3900</v>
      </c>
      <c r="D70" s="201" t="s">
        <v>122</v>
      </c>
      <c r="E70" s="201" t="s">
        <v>3900</v>
      </c>
      <c r="F70" s="201" t="s">
        <v>3729</v>
      </c>
      <c r="G70" s="201" t="s">
        <v>123</v>
      </c>
      <c r="H70" s="201" t="s">
        <v>123</v>
      </c>
      <c r="I70" s="201" t="s">
        <v>3900</v>
      </c>
      <c r="J70" s="215" t="s">
        <v>3902</v>
      </c>
      <c r="K70" s="215"/>
      <c r="L70" s="215"/>
      <c r="M70" s="215"/>
      <c r="N70" s="201"/>
      <c r="O70" s="201"/>
      <c r="P70" s="229"/>
      <c r="Q70" s="213"/>
      <c r="R70" s="213"/>
      <c r="S70" s="213"/>
      <c r="T70" s="213"/>
      <c r="U70" s="213"/>
      <c r="V70" s="213"/>
      <c r="W70" s="213"/>
      <c r="X70" s="213"/>
      <c r="Y70" s="213"/>
      <c r="Z70" s="213"/>
    </row>
    <row r="71" ht="24.75" customHeight="1">
      <c r="A71" s="201" t="s">
        <v>3906</v>
      </c>
      <c r="B71" s="201" t="s">
        <v>3459</v>
      </c>
      <c r="C71" s="201" t="s">
        <v>3906</v>
      </c>
      <c r="D71" s="201" t="s">
        <v>122</v>
      </c>
      <c r="E71" s="201" t="s">
        <v>3906</v>
      </c>
      <c r="F71" s="201">
        <v>88.0</v>
      </c>
      <c r="G71" s="201" t="s">
        <v>123</v>
      </c>
      <c r="H71" s="201">
        <v>156.0</v>
      </c>
      <c r="I71" s="201" t="s">
        <v>3906</v>
      </c>
      <c r="J71" s="215" t="s">
        <v>149</v>
      </c>
      <c r="K71" s="215"/>
      <c r="L71" s="215"/>
      <c r="M71" s="215"/>
      <c r="N71" s="201"/>
      <c r="O71" s="201"/>
      <c r="P71" s="229"/>
      <c r="Q71" s="213"/>
      <c r="R71" s="213"/>
      <c r="S71" s="213"/>
      <c r="T71" s="213"/>
      <c r="U71" s="213"/>
      <c r="V71" s="213"/>
      <c r="W71" s="213"/>
      <c r="X71" s="213"/>
      <c r="Y71" s="213"/>
      <c r="Z71" s="213"/>
    </row>
    <row r="72" ht="24.75" customHeight="1">
      <c r="A72" s="201" t="s">
        <v>3909</v>
      </c>
      <c r="B72" s="201" t="s">
        <v>3459</v>
      </c>
      <c r="C72" s="201" t="s">
        <v>3909</v>
      </c>
      <c r="D72" s="201" t="s">
        <v>3910</v>
      </c>
      <c r="E72" s="201" t="s">
        <v>3909</v>
      </c>
      <c r="F72" s="201">
        <v>0.04</v>
      </c>
      <c r="G72" s="201" t="s">
        <v>123</v>
      </c>
      <c r="H72" s="201" t="s">
        <v>123</v>
      </c>
      <c r="I72" s="201" t="s">
        <v>3909</v>
      </c>
      <c r="J72" s="215" t="s">
        <v>3912</v>
      </c>
      <c r="K72" s="215"/>
      <c r="L72" s="215"/>
      <c r="M72" s="215"/>
      <c r="N72" s="201"/>
      <c r="O72" s="201"/>
      <c r="P72" s="229"/>
      <c r="Q72" s="213"/>
      <c r="R72" s="213"/>
      <c r="S72" s="213"/>
      <c r="T72" s="213"/>
      <c r="U72" s="213"/>
      <c r="V72" s="213"/>
      <c r="W72" s="213"/>
      <c r="X72" s="213"/>
      <c r="Y72" s="213"/>
      <c r="Z72" s="213"/>
    </row>
    <row r="73" ht="24.75" customHeight="1">
      <c r="A73" s="201" t="s">
        <v>3914</v>
      </c>
      <c r="B73" s="201" t="s">
        <v>3459</v>
      </c>
      <c r="C73" s="201" t="s">
        <v>3914</v>
      </c>
      <c r="D73" s="201" t="s">
        <v>3916</v>
      </c>
      <c r="E73" s="201" t="s">
        <v>3914</v>
      </c>
      <c r="F73" s="201" t="s">
        <v>3662</v>
      </c>
      <c r="G73" s="201" t="s">
        <v>123</v>
      </c>
      <c r="H73" s="201" t="s">
        <v>123</v>
      </c>
      <c r="I73" s="201" t="s">
        <v>3914</v>
      </c>
      <c r="J73" s="215" t="s">
        <v>3918</v>
      </c>
      <c r="K73" s="215"/>
      <c r="L73" s="215"/>
      <c r="M73" s="215"/>
      <c r="N73" s="201"/>
      <c r="O73" s="201"/>
      <c r="P73" s="229"/>
      <c r="Q73" s="213"/>
      <c r="R73" s="213"/>
      <c r="S73" s="213"/>
      <c r="T73" s="213"/>
      <c r="U73" s="213"/>
      <c r="V73" s="213"/>
      <c r="W73" s="213"/>
      <c r="X73" s="213"/>
      <c r="Y73" s="213"/>
      <c r="Z73" s="213"/>
    </row>
    <row r="74" ht="24.75" customHeight="1">
      <c r="A74" s="201" t="s">
        <v>3920</v>
      </c>
      <c r="B74" s="201" t="s">
        <v>3459</v>
      </c>
      <c r="C74" s="201" t="s">
        <v>3920</v>
      </c>
      <c r="D74" s="201" t="s">
        <v>3922</v>
      </c>
      <c r="E74" s="201" t="s">
        <v>3920</v>
      </c>
      <c r="F74" s="201" t="s">
        <v>3729</v>
      </c>
      <c r="G74" s="201" t="s">
        <v>123</v>
      </c>
      <c r="H74" s="201" t="s">
        <v>123</v>
      </c>
      <c r="I74" s="201" t="s">
        <v>3920</v>
      </c>
      <c r="J74" s="215" t="s">
        <v>1509</v>
      </c>
      <c r="K74" s="215"/>
      <c r="L74" s="215"/>
      <c r="M74" s="215"/>
      <c r="N74" s="201"/>
      <c r="O74" s="201"/>
      <c r="P74" s="229"/>
      <c r="Q74" s="213"/>
      <c r="R74" s="213"/>
      <c r="S74" s="213"/>
      <c r="T74" s="213"/>
      <c r="U74" s="213"/>
      <c r="V74" s="213"/>
      <c r="W74" s="213"/>
      <c r="X74" s="213"/>
      <c r="Y74" s="213"/>
      <c r="Z74" s="213"/>
    </row>
    <row r="75" ht="24.75" customHeight="1">
      <c r="A75" s="201" t="s">
        <v>3928</v>
      </c>
      <c r="B75" s="201" t="s">
        <v>3459</v>
      </c>
      <c r="C75" s="201" t="s">
        <v>3928</v>
      </c>
      <c r="D75" s="201" t="s">
        <v>3929</v>
      </c>
      <c r="E75" s="201" t="s">
        <v>3928</v>
      </c>
      <c r="F75" s="201" t="s">
        <v>3472</v>
      </c>
      <c r="G75" s="201" t="s">
        <v>123</v>
      </c>
      <c r="H75" s="201" t="s">
        <v>123</v>
      </c>
      <c r="I75" s="201" t="s">
        <v>3928</v>
      </c>
      <c r="J75" s="215" t="s">
        <v>2830</v>
      </c>
      <c r="K75" s="215"/>
      <c r="L75" s="215"/>
      <c r="M75" s="215"/>
      <c r="N75" s="201"/>
      <c r="O75" s="201"/>
      <c r="P75" s="229"/>
      <c r="Q75" s="213"/>
      <c r="R75" s="213"/>
      <c r="S75" s="213"/>
      <c r="T75" s="213"/>
      <c r="U75" s="213"/>
      <c r="V75" s="213"/>
      <c r="W75" s="213"/>
      <c r="X75" s="213"/>
      <c r="Y75" s="213"/>
      <c r="Z75" s="213"/>
    </row>
    <row r="76" ht="24.75" customHeight="1">
      <c r="A76" s="201" t="s">
        <v>3931</v>
      </c>
      <c r="B76" s="201" t="s">
        <v>3459</v>
      </c>
      <c r="C76" s="201" t="s">
        <v>3931</v>
      </c>
      <c r="D76" s="201" t="s">
        <v>123</v>
      </c>
      <c r="E76" s="201" t="s">
        <v>3931</v>
      </c>
      <c r="F76" s="201" t="s">
        <v>123</v>
      </c>
      <c r="G76" s="201" t="s">
        <v>123</v>
      </c>
      <c r="H76" s="201" t="s">
        <v>123</v>
      </c>
      <c r="I76" s="201" t="s">
        <v>3931</v>
      </c>
      <c r="J76" s="215" t="s">
        <v>3932</v>
      </c>
      <c r="K76" s="215"/>
      <c r="L76" s="215"/>
      <c r="M76" s="215"/>
      <c r="N76" s="201"/>
      <c r="O76" s="201"/>
      <c r="P76" s="229"/>
      <c r="Q76" s="213"/>
      <c r="R76" s="213"/>
      <c r="S76" s="213"/>
      <c r="T76" s="213"/>
      <c r="U76" s="213"/>
      <c r="V76" s="213"/>
      <c r="W76" s="213"/>
      <c r="X76" s="213"/>
      <c r="Y76" s="213"/>
      <c r="Z76" s="213"/>
    </row>
    <row r="77" ht="27.75" customHeight="1">
      <c r="A77" s="201" t="s">
        <v>3933</v>
      </c>
      <c r="B77" s="201" t="s">
        <v>3459</v>
      </c>
      <c r="C77" s="201" t="s">
        <v>3933</v>
      </c>
      <c r="D77" s="201" t="s">
        <v>122</v>
      </c>
      <c r="E77" s="201" t="s">
        <v>3933</v>
      </c>
      <c r="F77" s="201" t="s">
        <v>3668</v>
      </c>
      <c r="G77" s="201" t="s">
        <v>123</v>
      </c>
      <c r="H77" s="201" t="s">
        <v>123</v>
      </c>
      <c r="I77" s="201" t="s">
        <v>3933</v>
      </c>
      <c r="J77" s="215" t="s">
        <v>3937</v>
      </c>
      <c r="K77" s="215"/>
      <c r="L77" s="215"/>
      <c r="M77" s="215"/>
      <c r="N77" s="201"/>
      <c r="O77" s="201"/>
      <c r="P77" s="229"/>
      <c r="Q77" s="213"/>
      <c r="R77" s="213"/>
      <c r="S77" s="213"/>
      <c r="T77" s="213"/>
      <c r="U77" s="213"/>
      <c r="V77" s="213"/>
      <c r="W77" s="213"/>
      <c r="X77" s="213"/>
      <c r="Y77" s="213"/>
      <c r="Z77" s="213"/>
    </row>
    <row r="78" ht="24.75" customHeight="1">
      <c r="A78" s="201" t="s">
        <v>3939</v>
      </c>
      <c r="B78" s="201" t="s">
        <v>3459</v>
      </c>
      <c r="C78" s="201" t="s">
        <v>3939</v>
      </c>
      <c r="D78" s="201" t="s">
        <v>3940</v>
      </c>
      <c r="E78" s="201" t="s">
        <v>3939</v>
      </c>
      <c r="F78" s="201" t="s">
        <v>3819</v>
      </c>
      <c r="G78" s="201" t="s">
        <v>123</v>
      </c>
      <c r="H78" s="201" t="s">
        <v>123</v>
      </c>
      <c r="I78" s="201" t="s">
        <v>3939</v>
      </c>
      <c r="J78" s="215" t="s">
        <v>3946</v>
      </c>
      <c r="K78" s="215"/>
      <c r="L78" s="215"/>
      <c r="M78" s="215"/>
      <c r="N78" s="201"/>
      <c r="O78" s="201"/>
      <c r="P78" s="229"/>
      <c r="Q78" s="213"/>
      <c r="R78" s="213"/>
      <c r="S78" s="213"/>
      <c r="T78" s="213"/>
      <c r="U78" s="213"/>
      <c r="V78" s="213"/>
      <c r="W78" s="213"/>
      <c r="X78" s="213"/>
      <c r="Y78" s="213"/>
      <c r="Z78" s="213"/>
    </row>
    <row r="79" ht="39.75" customHeight="1">
      <c r="A79" s="215" t="s">
        <v>1581</v>
      </c>
      <c r="B79" s="201" t="s">
        <v>3459</v>
      </c>
      <c r="C79" s="215" t="s">
        <v>1581</v>
      </c>
      <c r="D79" s="201" t="s">
        <v>122</v>
      </c>
      <c r="E79" s="215" t="s">
        <v>1581</v>
      </c>
      <c r="F79" s="201">
        <v>22.0</v>
      </c>
      <c r="G79" s="201">
        <v>30.8</v>
      </c>
      <c r="H79" s="201">
        <v>20.0</v>
      </c>
      <c r="I79" s="215" t="s">
        <v>1581</v>
      </c>
      <c r="J79" s="215" t="s">
        <v>1590</v>
      </c>
      <c r="K79" s="215" t="s">
        <v>3948</v>
      </c>
      <c r="L79" s="215"/>
      <c r="M79" s="215" t="s">
        <v>3949</v>
      </c>
      <c r="N79" s="215" t="s">
        <v>3658</v>
      </c>
      <c r="O79" s="215" t="s">
        <v>3950</v>
      </c>
      <c r="P79" s="230" t="s">
        <v>3951</v>
      </c>
      <c r="Q79" s="213"/>
      <c r="R79" s="213"/>
      <c r="S79" s="213"/>
      <c r="T79" s="213"/>
      <c r="U79" s="213"/>
      <c r="V79" s="213"/>
      <c r="W79" s="213"/>
      <c r="X79" s="213"/>
      <c r="Y79" s="213"/>
      <c r="Z79" s="213"/>
    </row>
    <row r="80" ht="24.75" customHeight="1">
      <c r="A80" s="201" t="s">
        <v>3952</v>
      </c>
      <c r="B80" s="201" t="s">
        <v>3459</v>
      </c>
      <c r="C80" s="201" t="s">
        <v>3952</v>
      </c>
      <c r="D80" s="201" t="s">
        <v>122</v>
      </c>
      <c r="E80" s="201" t="s">
        <v>3952</v>
      </c>
      <c r="F80" s="201" t="s">
        <v>3729</v>
      </c>
      <c r="G80" s="201" t="s">
        <v>3954</v>
      </c>
      <c r="H80" s="201" t="s">
        <v>123</v>
      </c>
      <c r="I80" s="201" t="s">
        <v>3952</v>
      </c>
      <c r="J80" s="215" t="s">
        <v>3955</v>
      </c>
      <c r="K80" s="215"/>
      <c r="L80" s="215"/>
      <c r="M80" s="215"/>
      <c r="N80" s="201"/>
      <c r="O80" s="201"/>
      <c r="P80" s="229"/>
      <c r="Q80" s="213"/>
      <c r="R80" s="213"/>
      <c r="S80" s="213"/>
      <c r="T80" s="213"/>
      <c r="U80" s="213"/>
      <c r="V80" s="213"/>
      <c r="W80" s="213"/>
      <c r="X80" s="213"/>
      <c r="Y80" s="213"/>
      <c r="Z80" s="213"/>
    </row>
    <row r="81" ht="24.75" customHeight="1">
      <c r="A81" s="201" t="s">
        <v>3958</v>
      </c>
      <c r="B81" s="201" t="s">
        <v>3459</v>
      </c>
      <c r="C81" s="201" t="s">
        <v>3958</v>
      </c>
      <c r="D81" s="201" t="s">
        <v>3960</v>
      </c>
      <c r="E81" s="201" t="s">
        <v>3958</v>
      </c>
      <c r="F81" s="201">
        <v>0.00176</v>
      </c>
      <c r="G81" s="201">
        <v>0.0044</v>
      </c>
      <c r="H81" s="201" t="s">
        <v>123</v>
      </c>
      <c r="I81" s="201" t="s">
        <v>3958</v>
      </c>
      <c r="J81" s="215" t="s">
        <v>1199</v>
      </c>
      <c r="K81" s="215"/>
      <c r="L81" s="215"/>
      <c r="M81" s="215"/>
      <c r="N81" s="201"/>
      <c r="O81" s="201"/>
      <c r="P81" s="229"/>
      <c r="Q81" s="213"/>
      <c r="R81" s="213"/>
      <c r="S81" s="213"/>
      <c r="T81" s="213"/>
      <c r="U81" s="213"/>
      <c r="V81" s="213"/>
      <c r="W81" s="213"/>
      <c r="X81" s="213"/>
      <c r="Y81" s="213"/>
      <c r="Z81" s="213"/>
    </row>
    <row r="82" ht="24.75" customHeight="1">
      <c r="A82" s="201" t="s">
        <v>3963</v>
      </c>
      <c r="B82" s="201" t="s">
        <v>3459</v>
      </c>
      <c r="C82" s="201" t="s">
        <v>3963</v>
      </c>
      <c r="D82" s="201" t="s">
        <v>3965</v>
      </c>
      <c r="E82" s="201" t="s">
        <v>3963</v>
      </c>
      <c r="F82" s="201" t="s">
        <v>123</v>
      </c>
      <c r="G82" s="201" t="s">
        <v>3966</v>
      </c>
      <c r="H82" s="201" t="s">
        <v>123</v>
      </c>
      <c r="I82" s="201" t="s">
        <v>3963</v>
      </c>
      <c r="J82" s="215" t="s">
        <v>3967</v>
      </c>
      <c r="K82" s="215"/>
      <c r="L82" s="215"/>
      <c r="M82" s="215"/>
      <c r="N82" s="201"/>
      <c r="O82" s="201"/>
      <c r="P82" s="229"/>
      <c r="Q82" s="213"/>
      <c r="R82" s="213"/>
      <c r="S82" s="213"/>
      <c r="T82" s="213"/>
      <c r="U82" s="213"/>
      <c r="V82" s="213"/>
      <c r="W82" s="213"/>
      <c r="X82" s="213"/>
      <c r="Y82" s="213"/>
      <c r="Z82" s="213"/>
    </row>
    <row r="83" ht="24.75" customHeight="1">
      <c r="A83" s="201" t="s">
        <v>3970</v>
      </c>
      <c r="B83" s="201" t="s">
        <v>3459</v>
      </c>
      <c r="C83" s="201" t="s">
        <v>3970</v>
      </c>
      <c r="D83" s="201" t="s">
        <v>122</v>
      </c>
      <c r="E83" s="201" t="s">
        <v>3970</v>
      </c>
      <c r="F83" s="201" t="s">
        <v>3972</v>
      </c>
      <c r="G83" s="201" t="s">
        <v>123</v>
      </c>
      <c r="H83" s="201" t="s">
        <v>123</v>
      </c>
      <c r="I83" s="201" t="s">
        <v>3970</v>
      </c>
      <c r="J83" s="215" t="s">
        <v>3974</v>
      </c>
      <c r="K83" s="215"/>
      <c r="L83" s="215"/>
      <c r="M83" s="215"/>
      <c r="N83" s="201"/>
      <c r="O83" s="201"/>
      <c r="P83" s="229"/>
      <c r="Q83" s="213"/>
      <c r="R83" s="213"/>
      <c r="S83" s="213"/>
      <c r="T83" s="213"/>
      <c r="U83" s="213"/>
      <c r="V83" s="213"/>
      <c r="W83" s="213"/>
      <c r="X83" s="213"/>
      <c r="Y83" s="213"/>
      <c r="Z83" s="213"/>
    </row>
    <row r="84" ht="24.75" customHeight="1">
      <c r="A84" s="201" t="s">
        <v>3977</v>
      </c>
      <c r="B84" s="201" t="s">
        <v>3459</v>
      </c>
      <c r="C84" s="201" t="s">
        <v>3977</v>
      </c>
      <c r="D84" s="201" t="s">
        <v>3980</v>
      </c>
      <c r="E84" s="201" t="s">
        <v>3977</v>
      </c>
      <c r="F84" s="201" t="s">
        <v>3981</v>
      </c>
      <c r="G84" s="201" t="s">
        <v>3983</v>
      </c>
      <c r="H84" s="201" t="s">
        <v>123</v>
      </c>
      <c r="I84" s="201" t="s">
        <v>3977</v>
      </c>
      <c r="J84" s="215" t="s">
        <v>3985</v>
      </c>
      <c r="K84" s="215"/>
      <c r="L84" s="215"/>
      <c r="M84" s="215"/>
      <c r="N84" s="201"/>
      <c r="O84" s="201"/>
      <c r="P84" s="229"/>
      <c r="Q84" s="213"/>
      <c r="R84" s="213"/>
      <c r="S84" s="213"/>
      <c r="T84" s="213"/>
      <c r="U84" s="213"/>
      <c r="V84" s="213"/>
      <c r="W84" s="213"/>
      <c r="X84" s="213"/>
      <c r="Y84" s="213"/>
      <c r="Z84" s="213"/>
    </row>
    <row r="85" ht="24.75" customHeight="1">
      <c r="A85" s="201" t="s">
        <v>81</v>
      </c>
      <c r="B85" s="201" t="s">
        <v>3459</v>
      </c>
      <c r="C85" s="201" t="s">
        <v>81</v>
      </c>
      <c r="D85" s="201" t="s">
        <v>3988</v>
      </c>
      <c r="E85" s="201" t="s">
        <v>81</v>
      </c>
      <c r="F85" s="201" t="s">
        <v>3668</v>
      </c>
      <c r="G85" s="201" t="s">
        <v>123</v>
      </c>
      <c r="H85" s="201" t="s">
        <v>123</v>
      </c>
      <c r="I85" s="201" t="s">
        <v>81</v>
      </c>
      <c r="J85" s="215" t="s">
        <v>3991</v>
      </c>
      <c r="K85" s="215"/>
      <c r="L85" s="215"/>
      <c r="M85" s="215"/>
      <c r="N85" s="201"/>
      <c r="O85" s="201"/>
      <c r="P85" s="229"/>
      <c r="Q85" s="213"/>
      <c r="R85" s="213"/>
      <c r="S85" s="213"/>
      <c r="T85" s="213"/>
      <c r="U85" s="213"/>
      <c r="V85" s="213"/>
      <c r="W85" s="213"/>
      <c r="X85" s="213"/>
      <c r="Y85" s="213"/>
      <c r="Z85" s="213"/>
    </row>
    <row r="86" ht="24.75" customHeight="1">
      <c r="A86" s="201" t="s">
        <v>3992</v>
      </c>
      <c r="B86" s="201" t="s">
        <v>3459</v>
      </c>
      <c r="C86" s="201" t="s">
        <v>3992</v>
      </c>
      <c r="D86" s="201" t="s">
        <v>3994</v>
      </c>
      <c r="E86" s="201" t="s">
        <v>3992</v>
      </c>
      <c r="F86" s="201" t="s">
        <v>3995</v>
      </c>
      <c r="G86" s="201" t="s">
        <v>123</v>
      </c>
      <c r="H86" s="201" t="s">
        <v>123</v>
      </c>
      <c r="I86" s="201" t="s">
        <v>3992</v>
      </c>
      <c r="J86" s="215" t="s">
        <v>3997</v>
      </c>
      <c r="K86" s="215"/>
      <c r="L86" s="215"/>
      <c r="M86" s="215"/>
      <c r="N86" s="201"/>
      <c r="O86" s="201"/>
      <c r="P86" s="229"/>
      <c r="Q86" s="213"/>
      <c r="R86" s="213"/>
      <c r="S86" s="213"/>
      <c r="T86" s="213"/>
      <c r="U86" s="213"/>
      <c r="V86" s="213"/>
      <c r="W86" s="213"/>
      <c r="X86" s="213"/>
      <c r="Y86" s="213"/>
      <c r="Z86" s="213"/>
    </row>
    <row r="87" ht="24.75" customHeight="1">
      <c r="A87" s="201" t="s">
        <v>3998</v>
      </c>
      <c r="B87" s="201" t="s">
        <v>3459</v>
      </c>
      <c r="C87" s="201" t="s">
        <v>3998</v>
      </c>
      <c r="D87" s="201" t="s">
        <v>3999</v>
      </c>
      <c r="E87" s="201" t="s">
        <v>3998</v>
      </c>
      <c r="F87" s="201" t="s">
        <v>4001</v>
      </c>
      <c r="G87" s="201" t="s">
        <v>123</v>
      </c>
      <c r="H87" s="201" t="s">
        <v>123</v>
      </c>
      <c r="I87" s="201" t="s">
        <v>3998</v>
      </c>
      <c r="J87" s="215" t="s">
        <v>2955</v>
      </c>
      <c r="K87" s="215"/>
      <c r="L87" s="215"/>
      <c r="M87" s="215"/>
      <c r="N87" s="201"/>
      <c r="O87" s="201"/>
      <c r="P87" s="229"/>
      <c r="Q87" s="213"/>
      <c r="R87" s="213"/>
      <c r="S87" s="213"/>
      <c r="T87" s="213"/>
      <c r="U87" s="213"/>
      <c r="V87" s="213"/>
      <c r="W87" s="213"/>
      <c r="X87" s="213"/>
      <c r="Y87" s="213"/>
      <c r="Z87" s="213"/>
    </row>
    <row r="88" ht="24.75" customHeight="1">
      <c r="A88" s="201" t="s">
        <v>95</v>
      </c>
      <c r="B88" s="201" t="s">
        <v>4005</v>
      </c>
      <c r="C88" s="201" t="s">
        <v>95</v>
      </c>
      <c r="D88" s="201" t="s">
        <v>4006</v>
      </c>
      <c r="E88" s="201" t="s">
        <v>95</v>
      </c>
      <c r="F88" s="201" t="s">
        <v>3972</v>
      </c>
      <c r="G88" s="201" t="s">
        <v>123</v>
      </c>
      <c r="H88" s="201" t="s">
        <v>123</v>
      </c>
      <c r="I88" s="201" t="s">
        <v>95</v>
      </c>
      <c r="J88" s="215" t="s">
        <v>1615</v>
      </c>
      <c r="K88" s="215"/>
      <c r="L88" s="215"/>
      <c r="M88" s="215"/>
      <c r="N88" s="201"/>
      <c r="O88" s="201"/>
      <c r="P88" s="229"/>
      <c r="Q88" s="213"/>
      <c r="R88" s="213"/>
      <c r="S88" s="213"/>
      <c r="T88" s="213"/>
      <c r="U88" s="213"/>
      <c r="V88" s="213"/>
      <c r="W88" s="213"/>
      <c r="X88" s="213"/>
      <c r="Y88" s="213"/>
      <c r="Z88" s="213"/>
    </row>
    <row r="89" ht="24.75" customHeight="1">
      <c r="A89" s="201" t="s">
        <v>4010</v>
      </c>
      <c r="B89" s="201" t="s">
        <v>4011</v>
      </c>
      <c r="C89" s="201" t="s">
        <v>4010</v>
      </c>
      <c r="D89" s="201" t="s">
        <v>122</v>
      </c>
      <c r="E89" s="201" t="s">
        <v>4010</v>
      </c>
      <c r="F89" s="201" t="s">
        <v>3966</v>
      </c>
      <c r="G89" s="201" t="s">
        <v>123</v>
      </c>
      <c r="H89" s="201" t="s">
        <v>4013</v>
      </c>
      <c r="I89" s="201" t="s">
        <v>4010</v>
      </c>
      <c r="J89" s="215" t="s">
        <v>4015</v>
      </c>
      <c r="K89" s="215"/>
      <c r="L89" s="215"/>
      <c r="M89" s="215"/>
      <c r="N89" s="201"/>
      <c r="O89" s="201"/>
      <c r="P89" s="229"/>
      <c r="Q89" s="213"/>
      <c r="R89" s="213"/>
      <c r="S89" s="213"/>
      <c r="T89" s="213"/>
      <c r="U89" s="213"/>
      <c r="V89" s="213"/>
      <c r="W89" s="213"/>
      <c r="X89" s="213"/>
      <c r="Y89" s="213"/>
      <c r="Z89" s="213"/>
    </row>
    <row r="90" ht="24.75" customHeight="1">
      <c r="A90" s="201" t="s">
        <v>4017</v>
      </c>
      <c r="B90" s="201" t="s">
        <v>3459</v>
      </c>
      <c r="C90" s="201" t="s">
        <v>4017</v>
      </c>
      <c r="D90" s="201" t="s">
        <v>1534</v>
      </c>
      <c r="E90" s="201" t="s">
        <v>4017</v>
      </c>
      <c r="F90" s="201" t="s">
        <v>3662</v>
      </c>
      <c r="G90" s="201" t="s">
        <v>123</v>
      </c>
      <c r="H90" s="201" t="s">
        <v>123</v>
      </c>
      <c r="I90" s="201" t="s">
        <v>4017</v>
      </c>
      <c r="J90" s="215" t="s">
        <v>4019</v>
      </c>
      <c r="K90" s="215"/>
      <c r="L90" s="215"/>
      <c r="M90" s="215"/>
      <c r="N90" s="201"/>
      <c r="O90" s="201"/>
      <c r="P90" s="229"/>
      <c r="Q90" s="213"/>
      <c r="R90" s="213"/>
      <c r="S90" s="213"/>
      <c r="T90" s="213"/>
      <c r="U90" s="213"/>
      <c r="V90" s="213"/>
      <c r="W90" s="213"/>
      <c r="X90" s="213"/>
      <c r="Y90" s="213"/>
      <c r="Z90" s="213"/>
    </row>
    <row r="91" ht="24.75" customHeight="1">
      <c r="A91" s="201" t="s">
        <v>4021</v>
      </c>
      <c r="B91" s="201" t="s">
        <v>3459</v>
      </c>
      <c r="C91" s="201" t="s">
        <v>4021</v>
      </c>
      <c r="D91" s="201" t="s">
        <v>4023</v>
      </c>
      <c r="E91" s="201" t="s">
        <v>4021</v>
      </c>
      <c r="F91" s="201" t="s">
        <v>3668</v>
      </c>
      <c r="G91" s="201" t="s">
        <v>123</v>
      </c>
      <c r="H91" s="201" t="s">
        <v>123</v>
      </c>
      <c r="I91" s="201" t="s">
        <v>4021</v>
      </c>
      <c r="J91" s="215" t="s">
        <v>3829</v>
      </c>
      <c r="K91" s="215"/>
      <c r="L91" s="215"/>
      <c r="M91" s="215"/>
      <c r="N91" s="201"/>
      <c r="O91" s="201"/>
      <c r="P91" s="229"/>
      <c r="Q91" s="213"/>
      <c r="R91" s="213"/>
      <c r="S91" s="213"/>
      <c r="T91" s="213"/>
      <c r="U91" s="213"/>
      <c r="V91" s="213"/>
      <c r="W91" s="213"/>
      <c r="X91" s="213"/>
      <c r="Y91" s="213"/>
      <c r="Z91" s="213"/>
    </row>
    <row r="92" ht="24.75" customHeight="1">
      <c r="A92" s="201" t="s">
        <v>4029</v>
      </c>
      <c r="B92" s="201" t="s">
        <v>3459</v>
      </c>
      <c r="C92" s="201" t="s">
        <v>4029</v>
      </c>
      <c r="D92" s="201" t="s">
        <v>4030</v>
      </c>
      <c r="E92" s="201" t="s">
        <v>4029</v>
      </c>
      <c r="F92" s="201" t="s">
        <v>3616</v>
      </c>
      <c r="G92" s="201" t="s">
        <v>123</v>
      </c>
      <c r="H92" s="201" t="s">
        <v>123</v>
      </c>
      <c r="I92" s="201" t="s">
        <v>4029</v>
      </c>
      <c r="J92" s="215" t="s">
        <v>4031</v>
      </c>
      <c r="K92" s="215"/>
      <c r="L92" s="215"/>
      <c r="M92" s="215"/>
      <c r="N92" s="201"/>
      <c r="O92" s="201"/>
      <c r="P92" s="229"/>
      <c r="Q92" s="213"/>
      <c r="R92" s="213"/>
      <c r="S92" s="213"/>
      <c r="T92" s="213"/>
      <c r="U92" s="213"/>
      <c r="V92" s="213"/>
      <c r="W92" s="213"/>
      <c r="X92" s="213"/>
      <c r="Y92" s="213"/>
      <c r="Z92" s="213"/>
    </row>
    <row r="93" ht="24.75" customHeight="1">
      <c r="A93" s="201" t="s">
        <v>4033</v>
      </c>
      <c r="B93" s="201" t="s">
        <v>3459</v>
      </c>
      <c r="C93" s="201" t="s">
        <v>4033</v>
      </c>
      <c r="D93" s="201" t="s">
        <v>4034</v>
      </c>
      <c r="E93" s="201" t="s">
        <v>4033</v>
      </c>
      <c r="F93" s="201" t="s">
        <v>123</v>
      </c>
      <c r="G93" s="201" t="s">
        <v>4035</v>
      </c>
      <c r="H93" s="201" t="s">
        <v>123</v>
      </c>
      <c r="I93" s="201" t="s">
        <v>4033</v>
      </c>
      <c r="J93" s="215" t="s">
        <v>4037</v>
      </c>
      <c r="K93" s="215"/>
      <c r="L93" s="215"/>
      <c r="M93" s="215"/>
      <c r="N93" s="201"/>
      <c r="O93" s="201"/>
      <c r="P93" s="229"/>
      <c r="Q93" s="213"/>
      <c r="R93" s="213"/>
      <c r="S93" s="213"/>
      <c r="T93" s="213"/>
      <c r="U93" s="213"/>
      <c r="V93" s="213"/>
      <c r="W93" s="213"/>
      <c r="X93" s="213"/>
      <c r="Y93" s="213"/>
      <c r="Z93" s="213"/>
    </row>
    <row r="94" ht="24.75" customHeight="1">
      <c r="A94" s="201" t="s">
        <v>4038</v>
      </c>
      <c r="B94" s="201" t="s">
        <v>3459</v>
      </c>
      <c r="C94" s="201" t="s">
        <v>4038</v>
      </c>
      <c r="D94" s="201" t="s">
        <v>4039</v>
      </c>
      <c r="E94" s="201" t="s">
        <v>4038</v>
      </c>
      <c r="F94" s="201" t="s">
        <v>3819</v>
      </c>
      <c r="G94" s="201" t="s">
        <v>123</v>
      </c>
      <c r="H94" s="201" t="s">
        <v>123</v>
      </c>
      <c r="I94" s="201" t="s">
        <v>4038</v>
      </c>
      <c r="J94" s="215" t="s">
        <v>3619</v>
      </c>
      <c r="K94" s="215"/>
      <c r="L94" s="215"/>
      <c r="M94" s="215"/>
      <c r="N94" s="201"/>
      <c r="O94" s="201"/>
      <c r="P94" s="229"/>
      <c r="Q94" s="213"/>
      <c r="R94" s="213"/>
      <c r="S94" s="213"/>
      <c r="T94" s="213"/>
      <c r="U94" s="213"/>
      <c r="V94" s="213"/>
      <c r="W94" s="213"/>
      <c r="X94" s="213"/>
      <c r="Y94" s="213"/>
      <c r="Z94" s="213"/>
    </row>
    <row r="95" ht="24.75" customHeight="1">
      <c r="A95" s="201" t="s">
        <v>105</v>
      </c>
      <c r="B95" s="201" t="s">
        <v>3459</v>
      </c>
      <c r="C95" s="201" t="s">
        <v>105</v>
      </c>
      <c r="D95" s="201" t="s">
        <v>4041</v>
      </c>
      <c r="E95" s="201" t="s">
        <v>105</v>
      </c>
      <c r="F95" s="201" t="s">
        <v>3668</v>
      </c>
      <c r="G95" s="201" t="s">
        <v>123</v>
      </c>
      <c r="H95" s="201" t="s">
        <v>123</v>
      </c>
      <c r="I95" s="201" t="s">
        <v>105</v>
      </c>
      <c r="J95" s="215" t="s">
        <v>1617</v>
      </c>
      <c r="K95" s="215"/>
      <c r="L95" s="215"/>
      <c r="M95" s="215"/>
      <c r="N95" s="201"/>
      <c r="O95" s="201"/>
      <c r="P95" s="229"/>
      <c r="Q95" s="213"/>
      <c r="R95" s="213"/>
      <c r="S95" s="213"/>
      <c r="T95" s="213"/>
      <c r="U95" s="213"/>
      <c r="V95" s="213"/>
      <c r="W95" s="213"/>
      <c r="X95" s="213"/>
      <c r="Y95" s="213"/>
      <c r="Z95" s="213"/>
    </row>
    <row r="96" ht="24.75" customHeight="1">
      <c r="A96" s="201" t="s">
        <v>4043</v>
      </c>
      <c r="B96" s="201" t="s">
        <v>3459</v>
      </c>
      <c r="C96" s="201" t="s">
        <v>4043</v>
      </c>
      <c r="D96" s="201" t="s">
        <v>4044</v>
      </c>
      <c r="E96" s="201" t="s">
        <v>4043</v>
      </c>
      <c r="F96" s="201" t="s">
        <v>3729</v>
      </c>
      <c r="G96" s="201" t="s">
        <v>123</v>
      </c>
      <c r="H96" s="213" t="s">
        <v>123</v>
      </c>
      <c r="I96" s="201" t="s">
        <v>4043</v>
      </c>
      <c r="J96" s="215" t="s">
        <v>4045</v>
      </c>
      <c r="K96" s="215"/>
      <c r="L96" s="215"/>
      <c r="M96" s="215"/>
      <c r="N96" s="201"/>
      <c r="O96" s="201"/>
      <c r="P96" s="229"/>
      <c r="Q96" s="213"/>
      <c r="R96" s="213"/>
      <c r="S96" s="213"/>
      <c r="T96" s="213"/>
      <c r="U96" s="213"/>
      <c r="V96" s="213"/>
      <c r="W96" s="213"/>
      <c r="X96" s="213"/>
      <c r="Y96" s="213"/>
      <c r="Z96" s="213"/>
    </row>
    <row r="97" ht="39.0" customHeight="1">
      <c r="A97" s="215" t="s">
        <v>45</v>
      </c>
      <c r="B97" s="215" t="s">
        <v>4047</v>
      </c>
      <c r="C97" s="215" t="s">
        <v>45</v>
      </c>
      <c r="D97" s="201" t="s">
        <v>122</v>
      </c>
      <c r="E97" s="215" t="s">
        <v>45</v>
      </c>
      <c r="F97" s="201">
        <v>0.44</v>
      </c>
      <c r="G97" s="201">
        <v>2.2</v>
      </c>
      <c r="H97" s="201" t="s">
        <v>123</v>
      </c>
      <c r="I97" s="215" t="s">
        <v>45</v>
      </c>
      <c r="J97" s="215" t="s">
        <v>4048</v>
      </c>
      <c r="K97" s="215" t="s">
        <v>4049</v>
      </c>
      <c r="L97" s="215"/>
      <c r="M97" s="215" t="s">
        <v>4050</v>
      </c>
      <c r="N97" s="215" t="s">
        <v>126</v>
      </c>
      <c r="O97" s="6" t="s">
        <v>4052</v>
      </c>
      <c r="P97" s="230" t="s">
        <v>128</v>
      </c>
      <c r="Q97" s="213"/>
      <c r="R97" s="213"/>
      <c r="S97" s="213"/>
      <c r="T97" s="213"/>
      <c r="U97" s="213"/>
      <c r="V97" s="213"/>
      <c r="W97" s="213"/>
      <c r="X97" s="213"/>
      <c r="Y97" s="213"/>
      <c r="Z97" s="213"/>
    </row>
    <row r="98" ht="24.75" customHeight="1">
      <c r="A98" s="201" t="s">
        <v>4053</v>
      </c>
      <c r="B98" s="201" t="s">
        <v>3459</v>
      </c>
      <c r="C98" s="201" t="s">
        <v>4053</v>
      </c>
      <c r="D98" s="201" t="s">
        <v>123</v>
      </c>
      <c r="E98" s="201" t="s">
        <v>4053</v>
      </c>
      <c r="F98" s="201" t="s">
        <v>123</v>
      </c>
      <c r="G98" s="201" t="s">
        <v>123</v>
      </c>
      <c r="H98" s="201" t="s">
        <v>123</v>
      </c>
      <c r="I98" s="201" t="s">
        <v>4053</v>
      </c>
      <c r="J98" s="215" t="s">
        <v>4054</v>
      </c>
      <c r="K98" s="215"/>
      <c r="L98" s="215"/>
      <c r="M98" s="215"/>
      <c r="N98" s="201"/>
      <c r="O98" s="201"/>
      <c r="P98" s="229"/>
      <c r="Q98" s="213"/>
      <c r="R98" s="213"/>
      <c r="S98" s="213"/>
      <c r="T98" s="213"/>
      <c r="U98" s="213"/>
      <c r="V98" s="213"/>
      <c r="W98" s="213"/>
      <c r="X98" s="213"/>
      <c r="Y98" s="213"/>
      <c r="Z98" s="213"/>
    </row>
    <row r="99" ht="24.75" customHeight="1">
      <c r="A99" s="201" t="s">
        <v>4061</v>
      </c>
      <c r="B99" s="201" t="s">
        <v>3459</v>
      </c>
      <c r="C99" s="201" t="s">
        <v>4061</v>
      </c>
      <c r="D99" s="201" t="s">
        <v>123</v>
      </c>
      <c r="E99" s="201" t="s">
        <v>4061</v>
      </c>
      <c r="F99" s="201" t="s">
        <v>123</v>
      </c>
      <c r="G99" s="201" t="s">
        <v>123</v>
      </c>
      <c r="H99" s="201" t="s">
        <v>123</v>
      </c>
      <c r="I99" s="201" t="s">
        <v>4061</v>
      </c>
      <c r="J99" s="215" t="s">
        <v>4067</v>
      </c>
      <c r="K99" s="215"/>
      <c r="L99" s="215"/>
      <c r="M99" s="215"/>
      <c r="N99" s="201"/>
      <c r="O99" s="201"/>
      <c r="P99" s="229"/>
      <c r="Q99" s="213"/>
      <c r="R99" s="213"/>
      <c r="S99" s="213"/>
      <c r="T99" s="213"/>
      <c r="U99" s="213"/>
      <c r="V99" s="213"/>
      <c r="W99" s="213"/>
      <c r="X99" s="213"/>
      <c r="Y99" s="213"/>
      <c r="Z99" s="213"/>
    </row>
    <row r="100" ht="24.75" customHeight="1">
      <c r="A100" s="201" t="s">
        <v>4068</v>
      </c>
      <c r="B100" s="201" t="s">
        <v>3459</v>
      </c>
      <c r="C100" s="201" t="s">
        <v>4068</v>
      </c>
      <c r="D100" s="201" t="s">
        <v>123</v>
      </c>
      <c r="E100" s="201" t="s">
        <v>4068</v>
      </c>
      <c r="F100" s="201" t="s">
        <v>123</v>
      </c>
      <c r="G100" s="201" t="s">
        <v>123</v>
      </c>
      <c r="H100" s="201" t="s">
        <v>123</v>
      </c>
      <c r="I100" s="201" t="s">
        <v>4068</v>
      </c>
      <c r="J100" s="215" t="s">
        <v>133</v>
      </c>
      <c r="K100" s="215"/>
      <c r="L100" s="215"/>
      <c r="M100" s="215"/>
      <c r="N100" s="201"/>
      <c r="O100" s="201"/>
      <c r="P100" s="229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4.75" customHeight="1">
      <c r="A101" s="201" t="s">
        <v>4069</v>
      </c>
      <c r="B101" s="201" t="s">
        <v>3459</v>
      </c>
      <c r="C101" s="201" t="s">
        <v>4069</v>
      </c>
      <c r="D101" s="201" t="s">
        <v>123</v>
      </c>
      <c r="E101" s="201" t="s">
        <v>4069</v>
      </c>
      <c r="F101" s="201" t="s">
        <v>123</v>
      </c>
      <c r="G101" s="201" t="s">
        <v>123</v>
      </c>
      <c r="H101" s="201" t="s">
        <v>123</v>
      </c>
      <c r="I101" s="201" t="s">
        <v>4069</v>
      </c>
      <c r="J101" s="215" t="s">
        <v>133</v>
      </c>
      <c r="K101" s="215"/>
      <c r="L101" s="215"/>
      <c r="M101" s="215"/>
      <c r="N101" s="201"/>
      <c r="O101" s="201"/>
      <c r="P101" s="229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4.75" customHeight="1">
      <c r="A102" s="201" t="s">
        <v>1660</v>
      </c>
      <c r="B102" s="201" t="s">
        <v>4070</v>
      </c>
      <c r="C102" s="201" t="s">
        <v>1660</v>
      </c>
      <c r="D102" s="201" t="s">
        <v>4071</v>
      </c>
      <c r="E102" s="201" t="s">
        <v>1660</v>
      </c>
      <c r="F102" s="201" t="s">
        <v>4072</v>
      </c>
      <c r="G102" s="201" t="s">
        <v>123</v>
      </c>
      <c r="H102" s="201" t="s">
        <v>123</v>
      </c>
      <c r="I102" s="201" t="s">
        <v>1660</v>
      </c>
      <c r="J102" s="215" t="s">
        <v>4073</v>
      </c>
      <c r="K102" s="215"/>
      <c r="L102" s="215"/>
      <c r="M102" s="215"/>
      <c r="N102" s="201"/>
      <c r="O102" s="201"/>
      <c r="P102" s="229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4.75" customHeight="1">
      <c r="A103" s="201" t="s">
        <v>4074</v>
      </c>
      <c r="B103" s="201" t="s">
        <v>3459</v>
      </c>
      <c r="C103" s="201" t="s">
        <v>4074</v>
      </c>
      <c r="D103" s="201" t="s">
        <v>122</v>
      </c>
      <c r="E103" s="201" t="s">
        <v>4074</v>
      </c>
      <c r="F103" s="201" t="s">
        <v>3819</v>
      </c>
      <c r="G103" s="201" t="s">
        <v>123</v>
      </c>
      <c r="H103" s="201" t="s">
        <v>123</v>
      </c>
      <c r="I103" s="201" t="s">
        <v>4074</v>
      </c>
      <c r="J103" s="215" t="s">
        <v>1241</v>
      </c>
      <c r="K103" s="215"/>
      <c r="L103" s="215"/>
      <c r="M103" s="215"/>
      <c r="N103" s="201"/>
      <c r="O103" s="201"/>
      <c r="P103" s="229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4.75" customHeight="1">
      <c r="A104" s="201" t="s">
        <v>4075</v>
      </c>
      <c r="B104" s="201" t="s">
        <v>3459</v>
      </c>
      <c r="C104" s="201" t="s">
        <v>4075</v>
      </c>
      <c r="D104" s="201" t="s">
        <v>4076</v>
      </c>
      <c r="E104" s="201" t="s">
        <v>4075</v>
      </c>
      <c r="F104" s="201" t="s">
        <v>3579</v>
      </c>
      <c r="G104" s="201" t="s">
        <v>123</v>
      </c>
      <c r="H104" s="201" t="s">
        <v>123</v>
      </c>
      <c r="I104" s="201" t="s">
        <v>4075</v>
      </c>
      <c r="J104" s="215" t="s">
        <v>1241</v>
      </c>
      <c r="K104" s="215"/>
      <c r="L104" s="215"/>
      <c r="M104" s="215"/>
      <c r="N104" s="201"/>
      <c r="O104" s="201"/>
      <c r="P104" s="229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</row>
    <row r="105" ht="24.75" customHeight="1">
      <c r="A105" s="201" t="s">
        <v>4077</v>
      </c>
      <c r="B105" s="201" t="s">
        <v>3459</v>
      </c>
      <c r="C105" s="201" t="s">
        <v>4077</v>
      </c>
      <c r="D105" s="201" t="s">
        <v>4078</v>
      </c>
      <c r="E105" s="201" t="s">
        <v>4077</v>
      </c>
      <c r="F105" s="201" t="s">
        <v>4079</v>
      </c>
      <c r="G105" s="201" t="s">
        <v>123</v>
      </c>
      <c r="H105" s="201" t="s">
        <v>123</v>
      </c>
      <c r="I105" s="201" t="s">
        <v>4077</v>
      </c>
      <c r="J105" s="215" t="s">
        <v>4080</v>
      </c>
      <c r="K105" s="215"/>
      <c r="L105" s="215"/>
      <c r="M105" s="215"/>
      <c r="N105" s="201"/>
      <c r="O105" s="201"/>
      <c r="P105" s="229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</row>
    <row r="106" ht="24.75" customHeight="1">
      <c r="A106" s="201" t="s">
        <v>4081</v>
      </c>
      <c r="B106" s="201" t="s">
        <v>3459</v>
      </c>
      <c r="C106" s="201" t="s">
        <v>4081</v>
      </c>
      <c r="D106" s="201" t="s">
        <v>4082</v>
      </c>
      <c r="E106" s="201" t="s">
        <v>4081</v>
      </c>
      <c r="F106" s="201" t="s">
        <v>3616</v>
      </c>
      <c r="G106" s="201" t="s">
        <v>4083</v>
      </c>
      <c r="H106" s="201" t="s">
        <v>123</v>
      </c>
      <c r="I106" s="201" t="s">
        <v>4081</v>
      </c>
      <c r="J106" s="215" t="s">
        <v>967</v>
      </c>
      <c r="K106" s="215"/>
      <c r="L106" s="215"/>
      <c r="M106" s="215"/>
      <c r="N106" s="201"/>
      <c r="O106" s="201"/>
      <c r="P106" s="229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</row>
    <row r="107" ht="24.75" customHeight="1">
      <c r="A107" s="201" t="s">
        <v>4084</v>
      </c>
      <c r="B107" s="201" t="s">
        <v>3459</v>
      </c>
      <c r="C107" s="201" t="s">
        <v>4084</v>
      </c>
      <c r="D107" s="201" t="s">
        <v>4085</v>
      </c>
      <c r="E107" s="201" t="s">
        <v>4084</v>
      </c>
      <c r="F107" s="201" t="s">
        <v>3472</v>
      </c>
      <c r="G107" s="201" t="s">
        <v>123</v>
      </c>
      <c r="H107" s="201" t="s">
        <v>123</v>
      </c>
      <c r="I107" s="201" t="s">
        <v>4084</v>
      </c>
      <c r="J107" s="215" t="s">
        <v>4086</v>
      </c>
      <c r="K107" s="215"/>
      <c r="L107" s="215"/>
      <c r="M107" s="215"/>
      <c r="N107" s="201"/>
      <c r="O107" s="201"/>
      <c r="P107" s="229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</row>
    <row r="108" ht="24.75" customHeight="1">
      <c r="A108" s="201" t="s">
        <v>4087</v>
      </c>
      <c r="B108" s="201" t="s">
        <v>3459</v>
      </c>
      <c r="C108" s="201" t="s">
        <v>4087</v>
      </c>
      <c r="D108" s="201" t="s">
        <v>122</v>
      </c>
      <c r="E108" s="201" t="s">
        <v>4087</v>
      </c>
      <c r="F108" s="201" t="s">
        <v>3662</v>
      </c>
      <c r="G108" s="201" t="s">
        <v>3819</v>
      </c>
      <c r="H108" s="201" t="s">
        <v>123</v>
      </c>
      <c r="I108" s="201" t="s">
        <v>4087</v>
      </c>
      <c r="J108" s="215" t="s">
        <v>149</v>
      </c>
      <c r="K108" s="215"/>
      <c r="L108" s="215"/>
      <c r="M108" s="215"/>
      <c r="N108" s="201"/>
      <c r="O108" s="201"/>
      <c r="P108" s="229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</row>
    <row r="109" ht="24.75" customHeight="1">
      <c r="A109" s="201" t="s">
        <v>4088</v>
      </c>
      <c r="B109" s="201" t="s">
        <v>4089</v>
      </c>
      <c r="C109" s="201" t="s">
        <v>4088</v>
      </c>
      <c r="D109" s="201" t="s">
        <v>122</v>
      </c>
      <c r="E109" s="201" t="s">
        <v>4088</v>
      </c>
      <c r="F109" s="201" t="s">
        <v>3579</v>
      </c>
      <c r="G109" s="201" t="s">
        <v>123</v>
      </c>
      <c r="H109" s="201">
        <v>156.0</v>
      </c>
      <c r="I109" s="201" t="s">
        <v>4088</v>
      </c>
      <c r="J109" s="215" t="s">
        <v>4090</v>
      </c>
      <c r="K109" s="215"/>
      <c r="L109" s="215"/>
      <c r="M109" s="215"/>
      <c r="N109" s="201"/>
      <c r="O109" s="201"/>
      <c r="P109" s="229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</row>
    <row r="110" ht="24.75" customHeight="1">
      <c r="A110" s="201" t="s">
        <v>4091</v>
      </c>
      <c r="B110" s="201" t="s">
        <v>4092</v>
      </c>
      <c r="C110" s="201" t="s">
        <v>4091</v>
      </c>
      <c r="D110" s="201" t="s">
        <v>122</v>
      </c>
      <c r="E110" s="201" t="s">
        <v>4091</v>
      </c>
      <c r="F110" s="201" t="s">
        <v>123</v>
      </c>
      <c r="G110" s="201" t="s">
        <v>4093</v>
      </c>
      <c r="H110" s="201" t="s">
        <v>123</v>
      </c>
      <c r="I110" s="201" t="s">
        <v>4091</v>
      </c>
      <c r="J110" s="215" t="s">
        <v>967</v>
      </c>
      <c r="K110" s="215"/>
      <c r="L110" s="215"/>
      <c r="M110" s="215"/>
      <c r="N110" s="201"/>
      <c r="O110" s="201"/>
      <c r="P110" s="229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</row>
    <row r="111" ht="24.75" customHeight="1">
      <c r="A111" s="201" t="s">
        <v>4094</v>
      </c>
      <c r="B111" s="201" t="s">
        <v>4095</v>
      </c>
      <c r="C111" s="201" t="s">
        <v>4094</v>
      </c>
      <c r="D111" s="201" t="s">
        <v>122</v>
      </c>
      <c r="E111" s="201" t="s">
        <v>4094</v>
      </c>
      <c r="F111" s="201" t="s">
        <v>3729</v>
      </c>
      <c r="G111" s="201" t="s">
        <v>123</v>
      </c>
      <c r="H111" s="201">
        <v>12.0</v>
      </c>
      <c r="I111" s="201" t="s">
        <v>4094</v>
      </c>
      <c r="J111" s="215" t="s">
        <v>4096</v>
      </c>
      <c r="K111" s="215"/>
      <c r="L111" s="215"/>
      <c r="M111" s="215"/>
      <c r="N111" s="201"/>
      <c r="O111" s="201"/>
      <c r="P111" s="229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</row>
    <row r="112" ht="24.75" customHeight="1">
      <c r="A112" s="201" t="s">
        <v>4097</v>
      </c>
      <c r="B112" s="201" t="s">
        <v>3459</v>
      </c>
      <c r="C112" s="201" t="s">
        <v>4097</v>
      </c>
      <c r="D112" s="201" t="s">
        <v>122</v>
      </c>
      <c r="E112" s="201" t="s">
        <v>4097</v>
      </c>
      <c r="F112" s="201" t="s">
        <v>3668</v>
      </c>
      <c r="G112" s="201" t="s">
        <v>123</v>
      </c>
      <c r="H112" s="201" t="s">
        <v>123</v>
      </c>
      <c r="I112" s="201" t="s">
        <v>4097</v>
      </c>
      <c r="J112" s="215" t="s">
        <v>4098</v>
      </c>
      <c r="K112" s="215"/>
      <c r="L112" s="215"/>
      <c r="M112" s="215"/>
      <c r="N112" s="201"/>
      <c r="O112" s="201"/>
      <c r="P112" s="229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</row>
    <row r="113" ht="24.75" customHeight="1">
      <c r="A113" s="201" t="s">
        <v>1759</v>
      </c>
      <c r="B113" s="201" t="s">
        <v>4099</v>
      </c>
      <c r="C113" s="201" t="s">
        <v>1759</v>
      </c>
      <c r="D113" s="201" t="s">
        <v>122</v>
      </c>
      <c r="E113" s="201" t="s">
        <v>1759</v>
      </c>
      <c r="F113" s="201" t="s">
        <v>3662</v>
      </c>
      <c r="G113" s="201" t="s">
        <v>3819</v>
      </c>
      <c r="H113" s="201" t="s">
        <v>4100</v>
      </c>
      <c r="I113" s="201" t="s">
        <v>1759</v>
      </c>
      <c r="J113" s="215" t="s">
        <v>4101</v>
      </c>
      <c r="K113" s="215"/>
      <c r="L113" s="215"/>
      <c r="M113" s="215"/>
      <c r="N113" s="201"/>
      <c r="O113" s="201"/>
      <c r="P113" s="229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</row>
    <row r="114" ht="24.75" customHeight="1">
      <c r="A114" s="201" t="s">
        <v>4028</v>
      </c>
      <c r="B114" s="201" t="s">
        <v>4102</v>
      </c>
      <c r="C114" s="201" t="s">
        <v>4028</v>
      </c>
      <c r="D114" s="201" t="s">
        <v>122</v>
      </c>
      <c r="E114" s="201" t="s">
        <v>4028</v>
      </c>
      <c r="F114" s="201" t="s">
        <v>3668</v>
      </c>
      <c r="G114" s="201" t="s">
        <v>123</v>
      </c>
      <c r="H114" s="201" t="s">
        <v>4103</v>
      </c>
      <c r="I114" s="201" t="s">
        <v>4028</v>
      </c>
      <c r="J114" s="215" t="s">
        <v>4104</v>
      </c>
      <c r="K114" s="215"/>
      <c r="L114" s="215"/>
      <c r="M114" s="215"/>
      <c r="N114" s="201"/>
      <c r="O114" s="201"/>
      <c r="P114" s="229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</row>
    <row r="115" ht="65.25" customHeight="1">
      <c r="A115" s="201" t="s">
        <v>4105</v>
      </c>
      <c r="B115" s="201" t="s">
        <v>3459</v>
      </c>
      <c r="C115" s="201" t="s">
        <v>4105</v>
      </c>
      <c r="D115" s="201" t="s">
        <v>122</v>
      </c>
      <c r="E115" s="201" t="s">
        <v>4105</v>
      </c>
      <c r="F115" s="201" t="s">
        <v>3662</v>
      </c>
      <c r="G115" s="201" t="s">
        <v>123</v>
      </c>
      <c r="H115" s="201" t="s">
        <v>123</v>
      </c>
      <c r="I115" s="201" t="s">
        <v>4105</v>
      </c>
      <c r="J115" s="215" t="s">
        <v>4106</v>
      </c>
      <c r="K115" s="215"/>
      <c r="L115" s="215"/>
      <c r="M115" s="215"/>
      <c r="N115" s="201"/>
      <c r="O115" s="201"/>
      <c r="P115" s="229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</row>
    <row r="116" ht="24.75" customHeight="1">
      <c r="A116" s="201" t="s">
        <v>130</v>
      </c>
      <c r="B116" s="201" t="s">
        <v>3459</v>
      </c>
      <c r="C116" s="201" t="s">
        <v>130</v>
      </c>
      <c r="D116" s="201" t="s">
        <v>122</v>
      </c>
      <c r="E116" s="201" t="s">
        <v>130</v>
      </c>
      <c r="F116" s="201" t="s">
        <v>3616</v>
      </c>
      <c r="G116" s="201" t="s">
        <v>123</v>
      </c>
      <c r="H116" s="201">
        <v>780.0</v>
      </c>
      <c r="I116" s="201" t="s">
        <v>130</v>
      </c>
      <c r="J116" s="215" t="s">
        <v>133</v>
      </c>
      <c r="K116" s="215"/>
      <c r="L116" s="215"/>
      <c r="M116" s="215"/>
      <c r="N116" s="201"/>
      <c r="O116" s="201"/>
      <c r="P116" s="229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</row>
    <row r="117" ht="39.75" customHeight="1">
      <c r="A117" s="215" t="s">
        <v>4107</v>
      </c>
      <c r="B117" s="201" t="s">
        <v>3459</v>
      </c>
      <c r="C117" s="215" t="s">
        <v>4107</v>
      </c>
      <c r="D117" s="201" t="s">
        <v>122</v>
      </c>
      <c r="E117" s="215" t="s">
        <v>4107</v>
      </c>
      <c r="F117" s="201" t="s">
        <v>123</v>
      </c>
      <c r="G117" s="201">
        <v>880.0</v>
      </c>
      <c r="H117" s="201" t="s">
        <v>123</v>
      </c>
      <c r="I117" s="215" t="s">
        <v>4107</v>
      </c>
      <c r="J117" s="215" t="s">
        <v>3632</v>
      </c>
      <c r="K117" s="215" t="s">
        <v>1805</v>
      </c>
      <c r="L117" s="215" t="s">
        <v>4108</v>
      </c>
      <c r="M117" s="215" t="s">
        <v>4109</v>
      </c>
      <c r="N117" s="215" t="s">
        <v>126</v>
      </c>
      <c r="O117" s="215" t="s">
        <v>4110</v>
      </c>
      <c r="P117" s="230" t="s">
        <v>4111</v>
      </c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</row>
    <row r="118" ht="24.75" customHeight="1">
      <c r="A118" s="201" t="s">
        <v>4112</v>
      </c>
      <c r="B118" s="201" t="s">
        <v>3459</v>
      </c>
      <c r="C118" s="201" t="s">
        <v>4112</v>
      </c>
      <c r="D118" s="201" t="s">
        <v>122</v>
      </c>
      <c r="E118" s="201" t="s">
        <v>4112</v>
      </c>
      <c r="F118" s="201">
        <v>220.0</v>
      </c>
      <c r="G118" s="201" t="s">
        <v>123</v>
      </c>
      <c r="H118" s="201" t="s">
        <v>123</v>
      </c>
      <c r="I118" s="201" t="s">
        <v>4112</v>
      </c>
      <c r="J118" s="215" t="s">
        <v>4113</v>
      </c>
      <c r="K118" s="215"/>
      <c r="L118" s="215"/>
      <c r="M118" s="215"/>
      <c r="N118" s="201"/>
      <c r="O118" s="201"/>
      <c r="P118" s="229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</row>
    <row r="119" ht="24.75" customHeight="1">
      <c r="A119" s="201" t="s">
        <v>4114</v>
      </c>
      <c r="B119" s="201" t="s">
        <v>3459</v>
      </c>
      <c r="C119" s="201" t="s">
        <v>4114</v>
      </c>
      <c r="D119" s="201" t="s">
        <v>122</v>
      </c>
      <c r="E119" s="201" t="s">
        <v>4114</v>
      </c>
      <c r="F119" s="201" t="s">
        <v>3668</v>
      </c>
      <c r="G119" s="201" t="s">
        <v>123</v>
      </c>
      <c r="H119" s="201" t="s">
        <v>4103</v>
      </c>
      <c r="I119" s="201" t="s">
        <v>4114</v>
      </c>
      <c r="J119" s="215" t="s">
        <v>967</v>
      </c>
      <c r="K119" s="215"/>
      <c r="L119" s="215"/>
      <c r="M119" s="215"/>
      <c r="N119" s="201"/>
      <c r="O119" s="201"/>
      <c r="P119" s="229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</row>
    <row r="120" ht="24.75" customHeight="1">
      <c r="A120" s="201" t="s">
        <v>4115</v>
      </c>
      <c r="B120" s="201" t="s">
        <v>3459</v>
      </c>
      <c r="C120" s="201" t="s">
        <v>4115</v>
      </c>
      <c r="D120" s="201" t="s">
        <v>122</v>
      </c>
      <c r="E120" s="201" t="s">
        <v>4115</v>
      </c>
      <c r="F120" s="201" t="s">
        <v>123</v>
      </c>
      <c r="G120" s="201" t="s">
        <v>3579</v>
      </c>
      <c r="H120" s="201">
        <v>4.0</v>
      </c>
      <c r="I120" s="201" t="s">
        <v>4115</v>
      </c>
      <c r="J120" s="215" t="s">
        <v>4116</v>
      </c>
      <c r="K120" s="215"/>
      <c r="L120" s="215"/>
      <c r="M120" s="215"/>
      <c r="N120" s="201"/>
      <c r="O120" s="201"/>
      <c r="P120" s="229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</row>
    <row r="121" ht="24.75" customHeight="1">
      <c r="A121" s="201" t="s">
        <v>4117</v>
      </c>
      <c r="B121" s="201" t="s">
        <v>3459</v>
      </c>
      <c r="C121" s="201" t="s">
        <v>4117</v>
      </c>
      <c r="D121" s="201" t="s">
        <v>122</v>
      </c>
      <c r="E121" s="201" t="s">
        <v>4117</v>
      </c>
      <c r="F121" s="201" t="s">
        <v>3579</v>
      </c>
      <c r="G121" s="201" t="s">
        <v>123</v>
      </c>
      <c r="H121" s="201" t="s">
        <v>123</v>
      </c>
      <c r="I121" s="201" t="s">
        <v>4117</v>
      </c>
      <c r="J121" s="215" t="s">
        <v>1199</v>
      </c>
      <c r="K121" s="215"/>
      <c r="L121" s="215"/>
      <c r="M121" s="215"/>
      <c r="N121" s="201"/>
      <c r="O121" s="201"/>
      <c r="P121" s="229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</row>
    <row r="122" ht="39.75" customHeight="1">
      <c r="A122" s="215" t="s">
        <v>4118</v>
      </c>
      <c r="B122" s="201" t="s">
        <v>3459</v>
      </c>
      <c r="C122" s="215" t="s">
        <v>4118</v>
      </c>
      <c r="D122" s="201" t="s">
        <v>122</v>
      </c>
      <c r="E122" s="215" t="s">
        <v>4118</v>
      </c>
      <c r="F122" s="201">
        <v>20.0</v>
      </c>
      <c r="G122" s="201" t="s">
        <v>123</v>
      </c>
      <c r="H122" s="201"/>
      <c r="I122" s="215" t="s">
        <v>4118</v>
      </c>
      <c r="J122" s="215" t="s">
        <v>149</v>
      </c>
      <c r="K122" s="215" t="s">
        <v>3483</v>
      </c>
      <c r="L122" s="215"/>
      <c r="M122" s="215" t="s">
        <v>4119</v>
      </c>
      <c r="N122" s="215" t="s">
        <v>126</v>
      </c>
      <c r="O122" s="215" t="s">
        <v>4120</v>
      </c>
      <c r="P122" s="229" t="s">
        <v>4121</v>
      </c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</row>
    <row r="123" ht="24.75" customHeight="1">
      <c r="A123" s="201" t="s">
        <v>107</v>
      </c>
      <c r="B123" s="201" t="s">
        <v>4122</v>
      </c>
      <c r="C123" s="201" t="s">
        <v>107</v>
      </c>
      <c r="D123" s="201" t="s">
        <v>4123</v>
      </c>
      <c r="E123" s="201" t="s">
        <v>107</v>
      </c>
      <c r="F123" s="201" t="s">
        <v>3972</v>
      </c>
      <c r="G123" s="201" t="s">
        <v>123</v>
      </c>
      <c r="H123" s="201" t="s">
        <v>123</v>
      </c>
      <c r="I123" s="201" t="s">
        <v>107</v>
      </c>
      <c r="J123" s="215" t="s">
        <v>1920</v>
      </c>
      <c r="K123" s="215"/>
      <c r="L123" s="215"/>
      <c r="M123" s="215"/>
      <c r="N123" s="201"/>
      <c r="O123" s="201"/>
      <c r="P123" s="229"/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</row>
    <row r="124" ht="24.75" customHeight="1">
      <c r="A124" s="201" t="s">
        <v>4124</v>
      </c>
      <c r="B124" s="201" t="s">
        <v>3459</v>
      </c>
      <c r="C124" s="201" t="s">
        <v>4124</v>
      </c>
      <c r="D124" s="201" t="s">
        <v>4125</v>
      </c>
      <c r="E124" s="201" t="s">
        <v>4124</v>
      </c>
      <c r="F124" s="201" t="s">
        <v>3668</v>
      </c>
      <c r="G124" s="201" t="s">
        <v>3729</v>
      </c>
      <c r="H124" s="201" t="s">
        <v>123</v>
      </c>
      <c r="I124" s="201" t="s">
        <v>4124</v>
      </c>
      <c r="J124" s="215" t="s">
        <v>4126</v>
      </c>
      <c r="K124" s="215"/>
      <c r="L124" s="215"/>
      <c r="M124" s="215"/>
      <c r="N124" s="201"/>
      <c r="O124" s="201"/>
      <c r="P124" s="229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</row>
    <row r="125" ht="24.75" customHeight="1">
      <c r="A125" s="201" t="s">
        <v>4127</v>
      </c>
      <c r="B125" s="201" t="s">
        <v>3459</v>
      </c>
      <c r="C125" s="201" t="s">
        <v>4127</v>
      </c>
      <c r="D125" s="201" t="s">
        <v>122</v>
      </c>
      <c r="E125" s="201" t="s">
        <v>4127</v>
      </c>
      <c r="F125" s="201" t="s">
        <v>3616</v>
      </c>
      <c r="G125" s="201" t="s">
        <v>3954</v>
      </c>
      <c r="H125" s="201" t="s">
        <v>123</v>
      </c>
      <c r="I125" s="201" t="s">
        <v>4127</v>
      </c>
      <c r="J125" s="215" t="s">
        <v>4128</v>
      </c>
      <c r="K125" s="215"/>
      <c r="L125" s="215"/>
      <c r="M125" s="215"/>
      <c r="N125" s="201"/>
      <c r="O125" s="201"/>
      <c r="P125" s="229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</row>
    <row r="126" ht="24.75" customHeight="1">
      <c r="A126" s="201" t="s">
        <v>4129</v>
      </c>
      <c r="B126" s="201" t="s">
        <v>3459</v>
      </c>
      <c r="C126" s="201" t="s">
        <v>4129</v>
      </c>
      <c r="D126" s="201" t="s">
        <v>4130</v>
      </c>
      <c r="E126" s="201" t="s">
        <v>4129</v>
      </c>
      <c r="F126" s="201" t="s">
        <v>3616</v>
      </c>
      <c r="G126" s="201" t="s">
        <v>123</v>
      </c>
      <c r="H126" s="201" t="s">
        <v>123</v>
      </c>
      <c r="I126" s="201" t="s">
        <v>4129</v>
      </c>
      <c r="J126" s="215" t="s">
        <v>3009</v>
      </c>
      <c r="K126" s="215"/>
      <c r="L126" s="215"/>
      <c r="M126" s="215"/>
      <c r="N126" s="201"/>
      <c r="O126" s="201"/>
      <c r="P126" s="229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</row>
    <row r="127" ht="24.75" customHeight="1">
      <c r="A127" s="201" t="s">
        <v>4131</v>
      </c>
      <c r="B127" s="201" t="s">
        <v>3459</v>
      </c>
      <c r="C127" s="201" t="s">
        <v>4131</v>
      </c>
      <c r="D127" s="201" t="s">
        <v>4132</v>
      </c>
      <c r="E127" s="201" t="s">
        <v>4131</v>
      </c>
      <c r="F127" s="201" t="s">
        <v>3579</v>
      </c>
      <c r="G127" s="201" t="s">
        <v>123</v>
      </c>
      <c r="H127" s="201" t="s">
        <v>123</v>
      </c>
      <c r="I127" s="201" t="s">
        <v>4131</v>
      </c>
      <c r="J127" s="215" t="s">
        <v>967</v>
      </c>
      <c r="K127" s="215"/>
      <c r="L127" s="215"/>
      <c r="M127" s="215"/>
      <c r="N127" s="201"/>
      <c r="O127" s="201"/>
      <c r="P127" s="229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</row>
    <row r="128" ht="24.75" customHeight="1">
      <c r="A128" s="201" t="s">
        <v>4133</v>
      </c>
      <c r="B128" s="201" t="s">
        <v>3459</v>
      </c>
      <c r="C128" s="201" t="s">
        <v>4133</v>
      </c>
      <c r="D128" s="201" t="s">
        <v>4134</v>
      </c>
      <c r="E128" s="201" t="s">
        <v>4133</v>
      </c>
      <c r="F128" s="201" t="s">
        <v>3662</v>
      </c>
      <c r="G128" s="201" t="s">
        <v>123</v>
      </c>
      <c r="H128" s="201" t="s">
        <v>123</v>
      </c>
      <c r="I128" s="201" t="s">
        <v>4133</v>
      </c>
      <c r="J128" s="215" t="s">
        <v>4135</v>
      </c>
      <c r="K128" s="215"/>
      <c r="L128" s="215"/>
      <c r="M128" s="215"/>
      <c r="N128" s="201"/>
      <c r="O128" s="201"/>
      <c r="P128" s="229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</row>
    <row r="129" ht="24.75" customHeight="1">
      <c r="A129" s="201" t="s">
        <v>4136</v>
      </c>
      <c r="B129" s="201" t="s">
        <v>3459</v>
      </c>
      <c r="C129" s="201" t="s">
        <v>4136</v>
      </c>
      <c r="D129" s="201" t="s">
        <v>4137</v>
      </c>
      <c r="E129" s="201" t="s">
        <v>4136</v>
      </c>
      <c r="F129" s="201" t="s">
        <v>3579</v>
      </c>
      <c r="G129" s="201" t="s">
        <v>123</v>
      </c>
      <c r="H129" s="201" t="s">
        <v>123</v>
      </c>
      <c r="I129" s="201" t="s">
        <v>4136</v>
      </c>
      <c r="J129" s="215" t="s">
        <v>4135</v>
      </c>
      <c r="K129" s="215"/>
      <c r="L129" s="215"/>
      <c r="M129" s="215"/>
      <c r="N129" s="201"/>
      <c r="O129" s="201"/>
      <c r="P129" s="229"/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</row>
    <row r="130" ht="24.75" customHeight="1">
      <c r="A130" s="201" t="s">
        <v>4138</v>
      </c>
      <c r="B130" s="201" t="s">
        <v>3459</v>
      </c>
      <c r="C130" s="201" t="s">
        <v>4138</v>
      </c>
      <c r="D130" s="201" t="s">
        <v>4139</v>
      </c>
      <c r="E130" s="201" t="s">
        <v>4138</v>
      </c>
      <c r="F130" s="201" t="s">
        <v>3668</v>
      </c>
      <c r="G130" s="201" t="s">
        <v>123</v>
      </c>
      <c r="H130" s="201" t="s">
        <v>123</v>
      </c>
      <c r="I130" s="201" t="s">
        <v>4138</v>
      </c>
      <c r="J130" s="215" t="s">
        <v>4140</v>
      </c>
      <c r="K130" s="215"/>
      <c r="L130" s="215"/>
      <c r="M130" s="215"/>
      <c r="N130" s="201"/>
      <c r="O130" s="201"/>
      <c r="P130" s="229"/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</row>
    <row r="131" ht="24.75" customHeight="1">
      <c r="A131" s="201" t="s">
        <v>4141</v>
      </c>
      <c r="B131" s="201" t="s">
        <v>3459</v>
      </c>
      <c r="C131" s="201" t="s">
        <v>4141</v>
      </c>
      <c r="D131" s="201" t="s">
        <v>4142</v>
      </c>
      <c r="E131" s="201" t="s">
        <v>4141</v>
      </c>
      <c r="F131" s="201" t="s">
        <v>3472</v>
      </c>
      <c r="G131" s="201" t="s">
        <v>123</v>
      </c>
      <c r="H131" s="201" t="s">
        <v>123</v>
      </c>
      <c r="I131" s="201" t="s">
        <v>4141</v>
      </c>
      <c r="J131" s="215" t="s">
        <v>967</v>
      </c>
      <c r="K131" s="215"/>
      <c r="L131" s="215"/>
      <c r="M131" s="215"/>
      <c r="N131" s="201"/>
      <c r="O131" s="201"/>
      <c r="P131" s="229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</row>
    <row r="132" ht="24.75" customHeight="1">
      <c r="A132" s="201" t="s">
        <v>4143</v>
      </c>
      <c r="B132" s="201" t="s">
        <v>3459</v>
      </c>
      <c r="C132" s="201" t="s">
        <v>4143</v>
      </c>
      <c r="D132" s="201" t="s">
        <v>4144</v>
      </c>
      <c r="E132" s="201" t="s">
        <v>4143</v>
      </c>
      <c r="F132" s="201" t="s">
        <v>3662</v>
      </c>
      <c r="G132" s="201" t="s">
        <v>123</v>
      </c>
      <c r="H132" s="201" t="s">
        <v>123</v>
      </c>
      <c r="I132" s="201" t="s">
        <v>4143</v>
      </c>
      <c r="J132" s="215" t="s">
        <v>3619</v>
      </c>
      <c r="K132" s="215"/>
      <c r="L132" s="215"/>
      <c r="M132" s="215"/>
      <c r="N132" s="201"/>
      <c r="O132" s="201"/>
      <c r="P132" s="229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</row>
    <row r="133" ht="24.75" customHeight="1">
      <c r="A133" s="201" t="s">
        <v>4145</v>
      </c>
      <c r="B133" s="201" t="s">
        <v>3459</v>
      </c>
      <c r="C133" s="201" t="s">
        <v>4145</v>
      </c>
      <c r="D133" s="201" t="s">
        <v>4146</v>
      </c>
      <c r="E133" s="201" t="s">
        <v>4145</v>
      </c>
      <c r="F133" s="201" t="s">
        <v>4147</v>
      </c>
      <c r="G133" s="201" t="s">
        <v>123</v>
      </c>
      <c r="H133" s="201" t="s">
        <v>123</v>
      </c>
      <c r="I133" s="201" t="s">
        <v>4145</v>
      </c>
      <c r="J133" s="215" t="s">
        <v>4148</v>
      </c>
      <c r="K133" s="215"/>
      <c r="L133" s="215"/>
      <c r="M133" s="215"/>
      <c r="N133" s="201"/>
      <c r="O133" s="201"/>
      <c r="P133" s="229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</row>
    <row r="134" ht="24.75" customHeight="1">
      <c r="A134" s="201" t="s">
        <v>4149</v>
      </c>
      <c r="B134" s="201" t="s">
        <v>3459</v>
      </c>
      <c r="C134" s="201" t="s">
        <v>4149</v>
      </c>
      <c r="D134" s="201" t="s">
        <v>122</v>
      </c>
      <c r="E134" s="201" t="s">
        <v>4149</v>
      </c>
      <c r="F134" s="201" t="s">
        <v>3579</v>
      </c>
      <c r="G134" s="201" t="s">
        <v>123</v>
      </c>
      <c r="H134" s="201" t="s">
        <v>123</v>
      </c>
      <c r="I134" s="201" t="s">
        <v>4149</v>
      </c>
      <c r="J134" s="215" t="s">
        <v>4150</v>
      </c>
      <c r="K134" s="215"/>
      <c r="L134" s="215"/>
      <c r="M134" s="215"/>
      <c r="N134" s="201"/>
      <c r="O134" s="201"/>
      <c r="P134" s="229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</row>
    <row r="135" ht="24.75" customHeight="1">
      <c r="A135" s="201" t="s">
        <v>4151</v>
      </c>
      <c r="B135" s="201" t="s">
        <v>3459</v>
      </c>
      <c r="C135" s="201" t="s">
        <v>4151</v>
      </c>
      <c r="D135" s="201" t="s">
        <v>4152</v>
      </c>
      <c r="E135" s="201" t="s">
        <v>4151</v>
      </c>
      <c r="F135" s="201" t="s">
        <v>3472</v>
      </c>
      <c r="G135" s="201" t="s">
        <v>123</v>
      </c>
      <c r="H135" s="201" t="s">
        <v>123</v>
      </c>
      <c r="I135" s="201" t="s">
        <v>4151</v>
      </c>
      <c r="J135" s="215" t="s">
        <v>967</v>
      </c>
      <c r="K135" s="215"/>
      <c r="L135" s="215"/>
      <c r="M135" s="215"/>
      <c r="N135" s="201"/>
      <c r="O135" s="201"/>
      <c r="P135" s="229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</row>
    <row r="136" ht="24.75" customHeight="1">
      <c r="A136" s="201" t="s">
        <v>4153</v>
      </c>
      <c r="B136" s="201" t="s">
        <v>3459</v>
      </c>
      <c r="C136" s="201" t="s">
        <v>4153</v>
      </c>
      <c r="D136" s="201" t="s">
        <v>4154</v>
      </c>
      <c r="E136" s="201" t="s">
        <v>4153</v>
      </c>
      <c r="F136" s="201" t="s">
        <v>4155</v>
      </c>
      <c r="G136" s="201" t="s">
        <v>123</v>
      </c>
      <c r="H136" s="201" t="s">
        <v>123</v>
      </c>
      <c r="I136" s="201" t="s">
        <v>4153</v>
      </c>
      <c r="J136" s="215" t="s">
        <v>4156</v>
      </c>
      <c r="K136" s="215"/>
      <c r="L136" s="215"/>
      <c r="M136" s="215"/>
      <c r="N136" s="201"/>
      <c r="O136" s="201"/>
      <c r="P136" s="229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</row>
    <row r="137" ht="24.75" customHeight="1">
      <c r="A137" s="201" t="s">
        <v>4157</v>
      </c>
      <c r="B137" s="201" t="s">
        <v>3459</v>
      </c>
      <c r="C137" s="201" t="s">
        <v>4157</v>
      </c>
      <c r="D137" s="201" t="s">
        <v>122</v>
      </c>
      <c r="E137" s="201" t="s">
        <v>4157</v>
      </c>
      <c r="F137" s="201" t="s">
        <v>3668</v>
      </c>
      <c r="G137" s="201" t="s">
        <v>4158</v>
      </c>
      <c r="H137" s="201" t="s">
        <v>123</v>
      </c>
      <c r="I137" s="201" t="s">
        <v>4157</v>
      </c>
      <c r="J137" s="215" t="s">
        <v>4159</v>
      </c>
      <c r="K137" s="215"/>
      <c r="L137" s="215"/>
      <c r="M137" s="215"/>
      <c r="N137" s="201"/>
      <c r="O137" s="201"/>
      <c r="P137" s="229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</row>
    <row r="138" ht="39.75" customHeight="1">
      <c r="A138" s="215" t="s">
        <v>108</v>
      </c>
      <c r="B138" s="215" t="s">
        <v>4160</v>
      </c>
      <c r="C138" s="215" t="s">
        <v>108</v>
      </c>
      <c r="D138" s="201" t="s">
        <v>4161</v>
      </c>
      <c r="E138" s="215" t="s">
        <v>108</v>
      </c>
      <c r="F138" s="201">
        <v>0.04</v>
      </c>
      <c r="G138" s="201" t="s">
        <v>123</v>
      </c>
      <c r="H138" s="201" t="s">
        <v>123</v>
      </c>
      <c r="I138" s="215" t="s">
        <v>108</v>
      </c>
      <c r="J138" s="215" t="s">
        <v>4162</v>
      </c>
      <c r="K138" s="215" t="s">
        <v>3755</v>
      </c>
      <c r="L138" s="215" t="s">
        <v>4163</v>
      </c>
      <c r="M138" s="253" t="s">
        <v>4164</v>
      </c>
      <c r="N138" s="215" t="s">
        <v>4165</v>
      </c>
      <c r="O138" s="215" t="s">
        <v>4166</v>
      </c>
      <c r="P138" s="230" t="s">
        <v>4167</v>
      </c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</row>
    <row r="139" ht="24.75" customHeight="1">
      <c r="A139" s="201" t="s">
        <v>4168</v>
      </c>
      <c r="B139" s="201" t="s">
        <v>3459</v>
      </c>
      <c r="C139" s="201" t="s">
        <v>4168</v>
      </c>
      <c r="D139" s="201" t="s">
        <v>4169</v>
      </c>
      <c r="E139" s="201" t="s">
        <v>4168</v>
      </c>
      <c r="F139" s="201" t="s">
        <v>3616</v>
      </c>
      <c r="G139" s="201" t="s">
        <v>123</v>
      </c>
      <c r="H139" s="201" t="s">
        <v>123</v>
      </c>
      <c r="I139" s="201" t="s">
        <v>4168</v>
      </c>
      <c r="J139" s="215" t="s">
        <v>3708</v>
      </c>
      <c r="K139" s="215"/>
      <c r="L139" s="215"/>
      <c r="M139" s="215"/>
      <c r="N139" s="201"/>
      <c r="O139" s="201"/>
      <c r="P139" s="229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</row>
    <row r="140" ht="24.75" customHeight="1">
      <c r="A140" s="201" t="s">
        <v>4170</v>
      </c>
      <c r="B140" s="201" t="s">
        <v>3459</v>
      </c>
      <c r="C140" s="201" t="s">
        <v>4170</v>
      </c>
      <c r="D140" s="201" t="s">
        <v>4171</v>
      </c>
      <c r="E140" s="201" t="s">
        <v>4170</v>
      </c>
      <c r="F140" s="201" t="s">
        <v>3668</v>
      </c>
      <c r="G140" s="201" t="s">
        <v>123</v>
      </c>
      <c r="H140" s="201" t="s">
        <v>123</v>
      </c>
      <c r="I140" s="201" t="s">
        <v>4170</v>
      </c>
      <c r="J140" s="215" t="s">
        <v>149</v>
      </c>
      <c r="K140" s="215"/>
      <c r="L140" s="215"/>
      <c r="M140" s="215"/>
      <c r="N140" s="201"/>
      <c r="O140" s="201"/>
      <c r="P140" s="229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</row>
    <row r="141" ht="24.75" customHeight="1">
      <c r="A141" s="201" t="s">
        <v>4172</v>
      </c>
      <c r="B141" s="201" t="s">
        <v>3459</v>
      </c>
      <c r="C141" s="201" t="s">
        <v>4172</v>
      </c>
      <c r="D141" s="201" t="s">
        <v>122</v>
      </c>
      <c r="E141" s="201" t="s">
        <v>4172</v>
      </c>
      <c r="F141" s="234" t="s">
        <v>123</v>
      </c>
      <c r="G141" s="234">
        <v>4136.0</v>
      </c>
      <c r="H141" s="201" t="s">
        <v>123</v>
      </c>
      <c r="I141" s="201" t="s">
        <v>4172</v>
      </c>
      <c r="J141" s="215" t="s">
        <v>3648</v>
      </c>
      <c r="K141" s="215"/>
      <c r="L141" s="215"/>
      <c r="M141" s="215"/>
      <c r="N141" s="201"/>
      <c r="O141" s="201"/>
      <c r="P141" s="229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</row>
    <row r="142" ht="24.75" customHeight="1">
      <c r="A142" s="201" t="s">
        <v>4173</v>
      </c>
      <c r="B142" s="201" t="s">
        <v>3459</v>
      </c>
      <c r="C142" s="201" t="s">
        <v>4173</v>
      </c>
      <c r="D142" s="201" t="s">
        <v>122</v>
      </c>
      <c r="E142" s="201" t="s">
        <v>4173</v>
      </c>
      <c r="F142" s="201" t="s">
        <v>3819</v>
      </c>
      <c r="G142" s="201" t="s">
        <v>123</v>
      </c>
      <c r="H142" s="201" t="s">
        <v>123</v>
      </c>
      <c r="I142" s="201" t="s">
        <v>4173</v>
      </c>
      <c r="J142" s="215" t="s">
        <v>4096</v>
      </c>
      <c r="K142" s="215"/>
      <c r="L142" s="215"/>
      <c r="M142" s="215"/>
      <c r="N142" s="201"/>
      <c r="O142" s="201"/>
      <c r="P142" s="229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</row>
    <row r="143" ht="24.75" customHeight="1">
      <c r="A143" s="201" t="s">
        <v>4174</v>
      </c>
      <c r="B143" s="201" t="s">
        <v>3459</v>
      </c>
      <c r="C143" s="201" t="s">
        <v>4174</v>
      </c>
      <c r="D143" s="201" t="s">
        <v>122</v>
      </c>
      <c r="E143" s="201" t="s">
        <v>4174</v>
      </c>
      <c r="F143" s="201" t="s">
        <v>3819</v>
      </c>
      <c r="G143" s="201" t="s">
        <v>123</v>
      </c>
      <c r="H143" s="201" t="s">
        <v>123</v>
      </c>
      <c r="I143" s="201" t="s">
        <v>4174</v>
      </c>
      <c r="J143" s="215" t="s">
        <v>149</v>
      </c>
      <c r="K143" s="215"/>
      <c r="L143" s="215"/>
      <c r="M143" s="215"/>
      <c r="N143" s="201"/>
      <c r="O143" s="201"/>
      <c r="P143" s="229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</row>
    <row r="144" ht="24.75" customHeight="1">
      <c r="A144" s="201" t="s">
        <v>4175</v>
      </c>
      <c r="B144" s="201" t="s">
        <v>3459</v>
      </c>
      <c r="C144" s="201" t="s">
        <v>4175</v>
      </c>
      <c r="D144" s="201" t="s">
        <v>122</v>
      </c>
      <c r="E144" s="201" t="s">
        <v>4175</v>
      </c>
      <c r="F144" s="201" t="s">
        <v>123</v>
      </c>
      <c r="G144" s="201">
        <v>4.4</v>
      </c>
      <c r="H144" s="201">
        <v>8.0</v>
      </c>
      <c r="I144" s="201" t="s">
        <v>4175</v>
      </c>
      <c r="J144" s="215" t="s">
        <v>4176</v>
      </c>
      <c r="K144" s="215"/>
      <c r="L144" s="215"/>
      <c r="M144" s="215"/>
      <c r="N144" s="201"/>
      <c r="O144" s="201"/>
      <c r="P144" s="229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</row>
    <row r="145" ht="24.75" customHeight="1">
      <c r="A145" s="201" t="s">
        <v>2032</v>
      </c>
      <c r="B145" s="201" t="s">
        <v>3459</v>
      </c>
      <c r="C145" s="201" t="s">
        <v>2032</v>
      </c>
      <c r="D145" s="201" t="s">
        <v>122</v>
      </c>
      <c r="E145" s="201" t="s">
        <v>2032</v>
      </c>
      <c r="F145" s="201">
        <v>88.0</v>
      </c>
      <c r="G145" s="201" t="s">
        <v>123</v>
      </c>
      <c r="H145" s="201">
        <v>235.0</v>
      </c>
      <c r="I145" s="201" t="s">
        <v>2032</v>
      </c>
      <c r="J145" s="215" t="s">
        <v>3632</v>
      </c>
      <c r="K145" s="215"/>
      <c r="L145" s="215"/>
      <c r="M145" s="215"/>
      <c r="N145" s="201"/>
      <c r="O145" s="201"/>
      <c r="P145" s="229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</row>
    <row r="146" ht="24.75" customHeight="1">
      <c r="A146" s="201" t="s">
        <v>2377</v>
      </c>
      <c r="B146" s="201" t="s">
        <v>3459</v>
      </c>
      <c r="C146" s="201" t="s">
        <v>2377</v>
      </c>
      <c r="D146" s="201" t="s">
        <v>122</v>
      </c>
      <c r="E146" s="201" t="s">
        <v>2377</v>
      </c>
      <c r="F146" s="201">
        <v>44.0</v>
      </c>
      <c r="G146" s="201" t="s">
        <v>123</v>
      </c>
      <c r="H146" s="201">
        <v>40.0</v>
      </c>
      <c r="I146" s="201" t="s">
        <v>2377</v>
      </c>
      <c r="J146" s="215" t="s">
        <v>2378</v>
      </c>
      <c r="K146" s="215"/>
      <c r="L146" s="215"/>
      <c r="M146" s="215"/>
      <c r="N146" s="201"/>
      <c r="O146" s="201"/>
      <c r="P146" s="229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</row>
    <row r="147" ht="24.75" customHeight="1">
      <c r="A147" s="215" t="s">
        <v>2382</v>
      </c>
      <c r="B147" s="201" t="s">
        <v>3459</v>
      </c>
      <c r="C147" s="215" t="s">
        <v>2382</v>
      </c>
      <c r="D147" s="201" t="s">
        <v>122</v>
      </c>
      <c r="E147" s="215" t="s">
        <v>2382</v>
      </c>
      <c r="F147" s="201">
        <v>17.6</v>
      </c>
      <c r="G147" s="201">
        <v>44.0</v>
      </c>
      <c r="H147" s="201" t="s">
        <v>123</v>
      </c>
      <c r="I147" s="215" t="s">
        <v>2382</v>
      </c>
      <c r="J147" s="215" t="s">
        <v>149</v>
      </c>
      <c r="K147" s="215" t="s">
        <v>3483</v>
      </c>
      <c r="L147" s="215" t="s">
        <v>4177</v>
      </c>
      <c r="M147" s="215" t="s">
        <v>4178</v>
      </c>
      <c r="N147" s="215" t="s">
        <v>4179</v>
      </c>
      <c r="O147" s="201" t="s">
        <v>4180</v>
      </c>
      <c r="P147" s="229" t="s">
        <v>3853</v>
      </c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</row>
    <row r="148" ht="24.75" customHeight="1">
      <c r="A148" s="201" t="s">
        <v>2390</v>
      </c>
      <c r="B148" s="201" t="s">
        <v>3459</v>
      </c>
      <c r="C148" s="201" t="s">
        <v>2390</v>
      </c>
      <c r="D148" s="201" t="s">
        <v>122</v>
      </c>
      <c r="E148" s="201" t="s">
        <v>2390</v>
      </c>
      <c r="F148" s="201">
        <v>264.0</v>
      </c>
      <c r="G148" s="201" t="s">
        <v>123</v>
      </c>
      <c r="H148" s="201" t="s">
        <v>123</v>
      </c>
      <c r="I148" s="201" t="s">
        <v>2390</v>
      </c>
      <c r="J148" s="215" t="s">
        <v>149</v>
      </c>
      <c r="K148" s="215"/>
      <c r="L148" s="215"/>
      <c r="M148" s="215"/>
      <c r="N148" s="201"/>
      <c r="O148" s="201"/>
      <c r="P148" s="229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</row>
    <row r="149" ht="24.75" customHeight="1">
      <c r="A149" s="201" t="s">
        <v>2402</v>
      </c>
      <c r="B149" s="201" t="s">
        <v>3459</v>
      </c>
      <c r="C149" s="201" t="s">
        <v>2402</v>
      </c>
      <c r="D149" s="201" t="s">
        <v>122</v>
      </c>
      <c r="E149" s="201" t="s">
        <v>2402</v>
      </c>
      <c r="F149" s="201" t="s">
        <v>3472</v>
      </c>
      <c r="G149" s="201" t="s">
        <v>123</v>
      </c>
      <c r="H149" s="201">
        <v>8.0</v>
      </c>
      <c r="I149" s="201" t="s">
        <v>2402</v>
      </c>
      <c r="J149" s="215" t="s">
        <v>149</v>
      </c>
      <c r="K149" s="215"/>
      <c r="L149" s="215"/>
      <c r="M149" s="215"/>
      <c r="N149" s="201"/>
      <c r="O149" s="201"/>
      <c r="P149" s="229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</row>
    <row r="150" ht="24.75" customHeight="1">
      <c r="A150" s="201" t="s">
        <v>4181</v>
      </c>
      <c r="B150" s="201" t="s">
        <v>3459</v>
      </c>
      <c r="C150" s="201" t="s">
        <v>4181</v>
      </c>
      <c r="D150" s="201" t="s">
        <v>4182</v>
      </c>
      <c r="E150" s="201" t="s">
        <v>4181</v>
      </c>
      <c r="F150" s="201" t="s">
        <v>3668</v>
      </c>
      <c r="G150" s="201" t="s">
        <v>123</v>
      </c>
      <c r="H150" s="201" t="s">
        <v>123</v>
      </c>
      <c r="I150" s="201" t="s">
        <v>4181</v>
      </c>
      <c r="J150" s="215" t="s">
        <v>124</v>
      </c>
      <c r="K150" s="215"/>
      <c r="L150" s="215"/>
      <c r="M150" s="215"/>
      <c r="N150" s="201"/>
      <c r="O150" s="201"/>
      <c r="P150" s="229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</row>
    <row r="151" ht="24.75" customHeight="1">
      <c r="A151" s="201" t="s">
        <v>4183</v>
      </c>
      <c r="B151" s="201" t="s">
        <v>3459</v>
      </c>
      <c r="C151" s="201" t="s">
        <v>4183</v>
      </c>
      <c r="D151" s="201" t="s">
        <v>122</v>
      </c>
      <c r="E151" s="201" t="s">
        <v>4183</v>
      </c>
      <c r="F151" s="201">
        <v>66.0</v>
      </c>
      <c r="G151" s="201" t="s">
        <v>123</v>
      </c>
      <c r="H151" s="201" t="s">
        <v>123</v>
      </c>
      <c r="I151" s="201" t="s">
        <v>4183</v>
      </c>
      <c r="J151" s="215" t="s">
        <v>149</v>
      </c>
      <c r="K151" s="215"/>
      <c r="L151" s="215"/>
      <c r="M151" s="215"/>
      <c r="N151" s="201"/>
      <c r="O151" s="201"/>
      <c r="P151" s="229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</row>
    <row r="152" ht="24.75" customHeight="1">
      <c r="A152" s="201" t="s">
        <v>2407</v>
      </c>
      <c r="B152" s="201" t="s">
        <v>3459</v>
      </c>
      <c r="C152" s="201" t="s">
        <v>2407</v>
      </c>
      <c r="D152" s="201" t="s">
        <v>122</v>
      </c>
      <c r="E152" s="201" t="s">
        <v>2407</v>
      </c>
      <c r="F152" s="201">
        <v>528.0</v>
      </c>
      <c r="G152" s="201" t="s">
        <v>123</v>
      </c>
      <c r="H152" s="201" t="s">
        <v>123</v>
      </c>
      <c r="I152" s="201" t="s">
        <v>2407</v>
      </c>
      <c r="J152" s="215" t="s">
        <v>4184</v>
      </c>
      <c r="K152" s="215"/>
      <c r="L152" s="215"/>
      <c r="M152" s="215"/>
      <c r="N152" s="201"/>
      <c r="O152" s="201"/>
      <c r="P152" s="229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</row>
    <row r="153" ht="24.75" customHeight="1">
      <c r="A153" s="201" t="s">
        <v>4185</v>
      </c>
      <c r="B153" s="201" t="s">
        <v>3459</v>
      </c>
      <c r="C153" s="201" t="s">
        <v>4185</v>
      </c>
      <c r="D153" s="201" t="s">
        <v>4186</v>
      </c>
      <c r="E153" s="201" t="s">
        <v>4185</v>
      </c>
      <c r="F153" s="201" t="s">
        <v>3579</v>
      </c>
      <c r="G153" s="201" t="s">
        <v>123</v>
      </c>
      <c r="H153" s="201" t="s">
        <v>123</v>
      </c>
      <c r="I153" s="201" t="s">
        <v>4185</v>
      </c>
      <c r="J153" s="215" t="s">
        <v>4187</v>
      </c>
      <c r="K153" s="215"/>
      <c r="L153" s="215"/>
      <c r="M153" s="215"/>
      <c r="N153" s="201"/>
      <c r="O153" s="201"/>
      <c r="P153" s="229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</row>
    <row r="154" ht="24.75" customHeight="1">
      <c r="A154" s="201" t="s">
        <v>4188</v>
      </c>
      <c r="B154" s="201" t="s">
        <v>3459</v>
      </c>
      <c r="C154" s="201" t="s">
        <v>4188</v>
      </c>
      <c r="D154" s="201" t="s">
        <v>4189</v>
      </c>
      <c r="E154" s="201" t="s">
        <v>4188</v>
      </c>
      <c r="F154" s="201" t="s">
        <v>3729</v>
      </c>
      <c r="G154" s="201" t="s">
        <v>123</v>
      </c>
      <c r="H154" s="201" t="s">
        <v>123</v>
      </c>
      <c r="I154" s="201" t="s">
        <v>4188</v>
      </c>
      <c r="J154" s="215" t="s">
        <v>4190</v>
      </c>
      <c r="K154" s="215"/>
      <c r="L154" s="215"/>
      <c r="M154" s="215"/>
      <c r="N154" s="201"/>
      <c r="O154" s="201"/>
      <c r="P154" s="229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</row>
    <row r="155" ht="24.75" customHeight="1">
      <c r="A155" s="201" t="s">
        <v>4191</v>
      </c>
      <c r="B155" s="201" t="s">
        <v>3459</v>
      </c>
      <c r="C155" s="201" t="s">
        <v>4191</v>
      </c>
      <c r="D155" s="201" t="s">
        <v>122</v>
      </c>
      <c r="E155" s="201" t="s">
        <v>4191</v>
      </c>
      <c r="F155" s="201" t="s">
        <v>3579</v>
      </c>
      <c r="G155" s="201" t="s">
        <v>123</v>
      </c>
      <c r="H155" s="201" t="s">
        <v>123</v>
      </c>
      <c r="I155" s="201" t="s">
        <v>4191</v>
      </c>
      <c r="J155" s="215" t="s">
        <v>4192</v>
      </c>
      <c r="K155" s="215"/>
      <c r="L155" s="215"/>
      <c r="M155" s="215"/>
      <c r="N155" s="201"/>
      <c r="O155" s="201"/>
      <c r="P155" s="229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</row>
    <row r="156" ht="24.75" customHeight="1">
      <c r="A156" s="201" t="s">
        <v>4193</v>
      </c>
      <c r="B156" s="201" t="s">
        <v>3459</v>
      </c>
      <c r="C156" s="201" t="s">
        <v>4193</v>
      </c>
      <c r="D156" s="201" t="s">
        <v>4194</v>
      </c>
      <c r="E156" s="201" t="s">
        <v>4193</v>
      </c>
      <c r="F156" s="201" t="s">
        <v>3954</v>
      </c>
      <c r="G156" s="201" t="s">
        <v>123</v>
      </c>
      <c r="H156" s="201" t="s">
        <v>123</v>
      </c>
      <c r="I156" s="201" t="s">
        <v>4193</v>
      </c>
      <c r="J156" s="215" t="s">
        <v>4195</v>
      </c>
      <c r="K156" s="215"/>
      <c r="L156" s="215"/>
      <c r="M156" s="215"/>
      <c r="N156" s="201"/>
      <c r="O156" s="201"/>
      <c r="P156" s="229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</row>
    <row r="157" ht="24.75" customHeight="1">
      <c r="A157" s="201" t="s">
        <v>4196</v>
      </c>
      <c r="B157" s="201" t="s">
        <v>3459</v>
      </c>
      <c r="C157" s="201" t="s">
        <v>4196</v>
      </c>
      <c r="D157" s="201" t="s">
        <v>4197</v>
      </c>
      <c r="E157" s="201" t="s">
        <v>4196</v>
      </c>
      <c r="F157" s="201" t="s">
        <v>3668</v>
      </c>
      <c r="G157" s="201" t="s">
        <v>123</v>
      </c>
      <c r="H157" s="201" t="s">
        <v>123</v>
      </c>
      <c r="I157" s="201" t="s">
        <v>4196</v>
      </c>
      <c r="J157" s="215" t="s">
        <v>124</v>
      </c>
      <c r="K157" s="215"/>
      <c r="L157" s="215"/>
      <c r="M157" s="215"/>
      <c r="N157" s="201"/>
      <c r="O157" s="201"/>
      <c r="P157" s="229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</row>
    <row r="158" ht="24.75" customHeight="1">
      <c r="A158" s="201" t="s">
        <v>4198</v>
      </c>
      <c r="B158" s="201" t="s">
        <v>4199</v>
      </c>
      <c r="C158" s="201" t="s">
        <v>4198</v>
      </c>
      <c r="D158" s="201" t="s">
        <v>122</v>
      </c>
      <c r="E158" s="201" t="s">
        <v>4198</v>
      </c>
      <c r="F158" s="201" t="s">
        <v>3729</v>
      </c>
      <c r="G158" s="201" t="s">
        <v>3616</v>
      </c>
      <c r="H158" s="201" t="s">
        <v>123</v>
      </c>
      <c r="I158" s="201" t="s">
        <v>4198</v>
      </c>
      <c r="J158" s="215" t="s">
        <v>4200</v>
      </c>
      <c r="K158" s="215"/>
      <c r="L158" s="215"/>
      <c r="M158" s="215"/>
      <c r="N158" s="201"/>
      <c r="O158" s="201"/>
      <c r="P158" s="229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</row>
    <row r="159" ht="24.75" customHeight="1">
      <c r="A159" s="201" t="s">
        <v>4201</v>
      </c>
      <c r="B159" s="201" t="s">
        <v>4202</v>
      </c>
      <c r="C159" s="201" t="s">
        <v>4201</v>
      </c>
      <c r="D159" s="201" t="s">
        <v>4203</v>
      </c>
      <c r="E159" s="201" t="s">
        <v>4201</v>
      </c>
      <c r="F159" s="201" t="s">
        <v>3472</v>
      </c>
      <c r="G159" s="201" t="s">
        <v>3501</v>
      </c>
      <c r="H159" s="201" t="s">
        <v>123</v>
      </c>
      <c r="I159" s="201" t="s">
        <v>4201</v>
      </c>
      <c r="J159" s="215" t="s">
        <v>3829</v>
      </c>
      <c r="K159" s="215"/>
      <c r="L159" s="215"/>
      <c r="M159" s="215"/>
      <c r="N159" s="215"/>
      <c r="O159" s="215"/>
      <c r="P159" s="230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</row>
    <row r="160" ht="24.75" customHeight="1">
      <c r="A160" s="201" t="s">
        <v>4204</v>
      </c>
      <c r="B160" s="201" t="s">
        <v>4205</v>
      </c>
      <c r="C160" s="201" t="s">
        <v>4204</v>
      </c>
      <c r="D160" s="201" t="s">
        <v>122</v>
      </c>
      <c r="E160" s="201" t="s">
        <v>4204</v>
      </c>
      <c r="F160" s="201" t="s">
        <v>3729</v>
      </c>
      <c r="G160" s="201" t="s">
        <v>123</v>
      </c>
      <c r="H160" s="201" t="s">
        <v>123</v>
      </c>
      <c r="I160" s="201" t="s">
        <v>4204</v>
      </c>
      <c r="J160" s="215" t="s">
        <v>1199</v>
      </c>
      <c r="K160" s="215"/>
      <c r="L160" s="215"/>
      <c r="M160" s="215"/>
      <c r="N160" s="215"/>
      <c r="O160" s="215"/>
      <c r="P160" s="230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</row>
    <row r="161" ht="24.75" customHeight="1">
      <c r="A161" s="201" t="s">
        <v>4206</v>
      </c>
      <c r="B161" s="201" t="s">
        <v>4207</v>
      </c>
      <c r="C161" s="201" t="s">
        <v>4206</v>
      </c>
      <c r="D161" s="201" t="s">
        <v>122</v>
      </c>
      <c r="E161" s="201" t="s">
        <v>4206</v>
      </c>
      <c r="F161" s="201" t="s">
        <v>123</v>
      </c>
      <c r="G161" s="201" t="s">
        <v>4208</v>
      </c>
      <c r="H161" s="201" t="s">
        <v>123</v>
      </c>
      <c r="I161" s="201" t="s">
        <v>4206</v>
      </c>
      <c r="J161" s="215" t="s">
        <v>3829</v>
      </c>
      <c r="K161" s="215"/>
      <c r="L161" s="215"/>
      <c r="M161" s="215"/>
      <c r="N161" s="201"/>
      <c r="O161" s="201"/>
      <c r="P161" s="229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</row>
    <row r="162" ht="24.75" customHeight="1">
      <c r="A162" s="201" t="s">
        <v>4209</v>
      </c>
      <c r="B162" s="201" t="s">
        <v>4210</v>
      </c>
      <c r="C162" s="201" t="s">
        <v>4209</v>
      </c>
      <c r="D162" s="201" t="s">
        <v>122</v>
      </c>
      <c r="E162" s="201" t="s">
        <v>4209</v>
      </c>
      <c r="F162" s="201" t="s">
        <v>123</v>
      </c>
      <c r="G162" s="201" t="s">
        <v>3995</v>
      </c>
      <c r="H162" s="201" t="s">
        <v>123</v>
      </c>
      <c r="I162" s="201" t="s">
        <v>4209</v>
      </c>
      <c r="J162" s="215" t="s">
        <v>4211</v>
      </c>
      <c r="K162" s="215"/>
      <c r="L162" s="215"/>
      <c r="M162" s="215"/>
      <c r="N162" s="201"/>
      <c r="O162" s="201"/>
      <c r="P162" s="229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</row>
    <row r="163" ht="24.75" customHeight="1">
      <c r="A163" s="201" t="s">
        <v>4212</v>
      </c>
      <c r="B163" s="201" t="s">
        <v>4213</v>
      </c>
      <c r="C163" s="201" t="s">
        <v>4212</v>
      </c>
      <c r="D163" s="201" t="s">
        <v>122</v>
      </c>
      <c r="E163" s="201" t="s">
        <v>4212</v>
      </c>
      <c r="F163" s="201" t="s">
        <v>4214</v>
      </c>
      <c r="G163" s="201" t="s">
        <v>4215</v>
      </c>
      <c r="H163" s="201" t="s">
        <v>123</v>
      </c>
      <c r="I163" s="201" t="s">
        <v>4212</v>
      </c>
      <c r="J163" s="215" t="s">
        <v>967</v>
      </c>
      <c r="K163" s="215"/>
      <c r="L163" s="215"/>
      <c r="M163" s="215"/>
      <c r="N163" s="201"/>
      <c r="O163" s="201"/>
      <c r="P163" s="229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</row>
    <row r="164" ht="24.75" customHeight="1">
      <c r="A164" s="201" t="s">
        <v>4216</v>
      </c>
      <c r="B164" s="201" t="s">
        <v>3459</v>
      </c>
      <c r="C164" s="201" t="s">
        <v>4216</v>
      </c>
      <c r="D164" s="201" t="s">
        <v>122</v>
      </c>
      <c r="E164" s="201" t="s">
        <v>4216</v>
      </c>
      <c r="F164" s="201" t="s">
        <v>4217</v>
      </c>
      <c r="G164" s="201" t="s">
        <v>123</v>
      </c>
      <c r="H164" s="201" t="s">
        <v>123</v>
      </c>
      <c r="I164" s="201" t="s">
        <v>4216</v>
      </c>
      <c r="J164" s="215" t="s">
        <v>4096</v>
      </c>
      <c r="K164" s="215"/>
      <c r="L164" s="215"/>
      <c r="M164" s="215"/>
      <c r="N164" s="201"/>
      <c r="O164" s="201"/>
      <c r="P164" s="229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</row>
    <row r="165" ht="24.75" customHeight="1">
      <c r="A165" s="201" t="s">
        <v>4218</v>
      </c>
      <c r="B165" s="201" t="s">
        <v>4219</v>
      </c>
      <c r="C165" s="201" t="s">
        <v>4218</v>
      </c>
      <c r="D165" s="201" t="s">
        <v>122</v>
      </c>
      <c r="E165" s="201" t="s">
        <v>4218</v>
      </c>
      <c r="F165" s="201" t="s">
        <v>123</v>
      </c>
      <c r="G165" s="201" t="s">
        <v>3729</v>
      </c>
      <c r="H165" s="201" t="s">
        <v>123</v>
      </c>
      <c r="I165" s="201" t="s">
        <v>4218</v>
      </c>
      <c r="J165" s="215" t="s">
        <v>1199</v>
      </c>
      <c r="K165" s="215"/>
      <c r="L165" s="215"/>
      <c r="M165" s="215"/>
      <c r="N165" s="201"/>
      <c r="O165" s="201"/>
      <c r="P165" s="229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</row>
    <row r="166" ht="24.75" customHeight="1">
      <c r="A166" s="201" t="s">
        <v>4220</v>
      </c>
      <c r="B166" s="201" t="s">
        <v>4221</v>
      </c>
      <c r="C166" s="201" t="s">
        <v>4220</v>
      </c>
      <c r="D166" s="201" t="s">
        <v>122</v>
      </c>
      <c r="E166" s="201" t="s">
        <v>4220</v>
      </c>
      <c r="F166" s="201">
        <v>88.0</v>
      </c>
      <c r="G166" s="201" t="s">
        <v>123</v>
      </c>
      <c r="H166" s="201">
        <v>780.0</v>
      </c>
      <c r="I166" s="201" t="s">
        <v>4220</v>
      </c>
      <c r="J166" s="215" t="s">
        <v>124</v>
      </c>
      <c r="K166" s="215"/>
      <c r="L166" s="215"/>
      <c r="M166" s="215"/>
      <c r="N166" s="201"/>
      <c r="O166" s="201"/>
      <c r="P166" s="229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</row>
    <row r="167" ht="24.75" customHeight="1">
      <c r="A167" s="201" t="s">
        <v>4222</v>
      </c>
      <c r="B167" s="201" t="s">
        <v>3459</v>
      </c>
      <c r="C167" s="201" t="s">
        <v>4222</v>
      </c>
      <c r="D167" s="201" t="s">
        <v>122</v>
      </c>
      <c r="E167" s="201" t="s">
        <v>4222</v>
      </c>
      <c r="F167" s="201" t="s">
        <v>123</v>
      </c>
      <c r="G167" s="201" t="s">
        <v>3616</v>
      </c>
      <c r="H167" s="201" t="s">
        <v>123</v>
      </c>
      <c r="I167" s="201" t="s">
        <v>4222</v>
      </c>
      <c r="J167" s="215" t="s">
        <v>967</v>
      </c>
      <c r="K167" s="215"/>
      <c r="L167" s="215"/>
      <c r="M167" s="215"/>
      <c r="N167" s="201"/>
      <c r="O167" s="201"/>
      <c r="P167" s="229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</row>
    <row r="168" ht="38.25" customHeight="1">
      <c r="A168" s="201" t="s">
        <v>4223</v>
      </c>
      <c r="B168" s="201" t="s">
        <v>4224</v>
      </c>
      <c r="C168" s="201" t="s">
        <v>4223</v>
      </c>
      <c r="D168" s="201" t="s">
        <v>122</v>
      </c>
      <c r="E168" s="201" t="s">
        <v>4223</v>
      </c>
      <c r="F168" s="201">
        <v>44.0</v>
      </c>
      <c r="G168" s="201">
        <v>88.0</v>
      </c>
      <c r="H168" s="201">
        <v>78.0</v>
      </c>
      <c r="I168" s="201" t="s">
        <v>4223</v>
      </c>
      <c r="J168" s="215" t="s">
        <v>4225</v>
      </c>
      <c r="K168" s="215"/>
      <c r="L168" s="215"/>
      <c r="M168" s="215"/>
      <c r="N168" s="201"/>
      <c r="O168" s="201"/>
      <c r="P168" s="229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</row>
    <row r="169" ht="24.75" customHeight="1">
      <c r="A169" s="201" t="s">
        <v>4226</v>
      </c>
      <c r="B169" s="201" t="s">
        <v>4227</v>
      </c>
      <c r="C169" s="201" t="s">
        <v>4226</v>
      </c>
      <c r="D169" s="201" t="s">
        <v>4228</v>
      </c>
      <c r="E169" s="201" t="s">
        <v>4226</v>
      </c>
      <c r="F169" s="201" t="s">
        <v>3729</v>
      </c>
      <c r="G169" s="201" t="s">
        <v>123</v>
      </c>
      <c r="H169" s="201" t="s">
        <v>123</v>
      </c>
      <c r="I169" s="201" t="s">
        <v>4226</v>
      </c>
      <c r="J169" s="215" t="s">
        <v>4229</v>
      </c>
      <c r="K169" s="215"/>
      <c r="L169" s="215"/>
      <c r="M169" s="215"/>
      <c r="N169" s="201"/>
      <c r="O169" s="201"/>
      <c r="P169" s="229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</row>
    <row r="170" ht="24.75" customHeight="1">
      <c r="A170" s="201" t="s">
        <v>4230</v>
      </c>
      <c r="B170" s="201" t="s">
        <v>4231</v>
      </c>
      <c r="C170" s="201" t="s">
        <v>4230</v>
      </c>
      <c r="D170" s="201" t="s">
        <v>122</v>
      </c>
      <c r="E170" s="201" t="s">
        <v>4230</v>
      </c>
      <c r="F170" s="201" t="s">
        <v>123</v>
      </c>
      <c r="G170" s="201" t="s">
        <v>3819</v>
      </c>
      <c r="H170" s="201" t="s">
        <v>123</v>
      </c>
      <c r="I170" s="201" t="s">
        <v>4230</v>
      </c>
      <c r="J170" s="215" t="s">
        <v>967</v>
      </c>
      <c r="K170" s="215"/>
      <c r="L170" s="215"/>
      <c r="M170" s="215"/>
      <c r="N170" s="201"/>
      <c r="O170" s="201"/>
      <c r="P170" s="229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</row>
    <row r="171" ht="24.75" customHeight="1">
      <c r="A171" s="201" t="s">
        <v>4232</v>
      </c>
      <c r="B171" s="201" t="s">
        <v>4233</v>
      </c>
      <c r="C171" s="201" t="s">
        <v>4232</v>
      </c>
      <c r="D171" s="201" t="s">
        <v>122</v>
      </c>
      <c r="E171" s="201" t="s">
        <v>4232</v>
      </c>
      <c r="F171" s="201" t="s">
        <v>3729</v>
      </c>
      <c r="G171" s="201" t="s">
        <v>123</v>
      </c>
      <c r="H171" s="201">
        <v>156.0</v>
      </c>
      <c r="I171" s="201" t="s">
        <v>4232</v>
      </c>
      <c r="J171" s="215" t="s">
        <v>4234</v>
      </c>
      <c r="K171" s="215"/>
      <c r="L171" s="215"/>
      <c r="M171" s="215"/>
      <c r="N171" s="201"/>
      <c r="O171" s="201"/>
      <c r="P171" s="229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</row>
    <row r="172" ht="24.75" customHeight="1">
      <c r="A172" s="201" t="s">
        <v>4235</v>
      </c>
      <c r="B172" s="201" t="s">
        <v>4236</v>
      </c>
      <c r="C172" s="201" t="s">
        <v>4235</v>
      </c>
      <c r="D172" s="201" t="s">
        <v>122</v>
      </c>
      <c r="E172" s="201" t="s">
        <v>4235</v>
      </c>
      <c r="F172" s="201" t="s">
        <v>3579</v>
      </c>
      <c r="G172" s="201" t="s">
        <v>123</v>
      </c>
      <c r="H172" s="201">
        <v>8.0</v>
      </c>
      <c r="I172" s="201" t="s">
        <v>4235</v>
      </c>
      <c r="J172" s="215" t="s">
        <v>4237</v>
      </c>
      <c r="K172" s="215"/>
      <c r="L172" s="215"/>
      <c r="M172" s="215"/>
      <c r="N172" s="201"/>
      <c r="O172" s="201"/>
      <c r="P172" s="229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</row>
    <row r="173" ht="24.75" customHeight="1">
      <c r="A173" s="201" t="s">
        <v>4238</v>
      </c>
      <c r="B173" s="201" t="s">
        <v>4239</v>
      </c>
      <c r="C173" s="201" t="s">
        <v>4238</v>
      </c>
      <c r="D173" s="201" t="s">
        <v>4240</v>
      </c>
      <c r="E173" s="201" t="s">
        <v>4238</v>
      </c>
      <c r="F173" s="201" t="s">
        <v>3729</v>
      </c>
      <c r="G173" s="201" t="s">
        <v>3616</v>
      </c>
      <c r="H173" s="201" t="s">
        <v>123</v>
      </c>
      <c r="I173" s="201" t="s">
        <v>4238</v>
      </c>
      <c r="J173" s="215" t="s">
        <v>3803</v>
      </c>
      <c r="K173" s="215"/>
      <c r="L173" s="215"/>
      <c r="M173" s="215"/>
      <c r="N173" s="201"/>
      <c r="O173" s="201"/>
      <c r="P173" s="229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</row>
    <row r="174" ht="24.75" customHeight="1">
      <c r="A174" s="201" t="s">
        <v>2409</v>
      </c>
      <c r="B174" s="201" t="s">
        <v>4241</v>
      </c>
      <c r="C174" s="201" t="s">
        <v>2409</v>
      </c>
      <c r="D174" s="201" t="s">
        <v>122</v>
      </c>
      <c r="E174" s="201" t="s">
        <v>2409</v>
      </c>
      <c r="F174" s="201">
        <v>0.09</v>
      </c>
      <c r="G174" s="201">
        <v>0.35</v>
      </c>
      <c r="H174" s="201" t="s">
        <v>4242</v>
      </c>
      <c r="I174" s="201" t="s">
        <v>2409</v>
      </c>
      <c r="J174" s="215" t="s">
        <v>149</v>
      </c>
      <c r="K174" s="215"/>
      <c r="L174" s="215"/>
      <c r="M174" s="215"/>
      <c r="N174" s="215"/>
      <c r="O174" s="215"/>
      <c r="P174" s="230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</row>
    <row r="175" ht="24.75" customHeight="1">
      <c r="A175" s="201" t="s">
        <v>4243</v>
      </c>
      <c r="B175" s="201" t="s">
        <v>4244</v>
      </c>
      <c r="C175" s="201" t="s">
        <v>4243</v>
      </c>
      <c r="D175" s="201" t="s">
        <v>122</v>
      </c>
      <c r="E175" s="201" t="s">
        <v>4243</v>
      </c>
      <c r="F175" s="201" t="s">
        <v>123</v>
      </c>
      <c r="G175" s="201" t="s">
        <v>3729</v>
      </c>
      <c r="H175" s="201" t="s">
        <v>123</v>
      </c>
      <c r="I175" s="201" t="s">
        <v>4243</v>
      </c>
      <c r="J175" s="215" t="s">
        <v>149</v>
      </c>
      <c r="K175" s="215"/>
      <c r="L175" s="215"/>
      <c r="M175" s="215"/>
      <c r="N175" s="201"/>
      <c r="O175" s="201"/>
      <c r="P175" s="229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</row>
    <row r="176" ht="24.75" customHeight="1">
      <c r="A176" s="201" t="s">
        <v>4245</v>
      </c>
      <c r="B176" s="201" t="s">
        <v>3459</v>
      </c>
      <c r="C176" s="201" t="s">
        <v>4245</v>
      </c>
      <c r="D176" s="201" t="s">
        <v>122</v>
      </c>
      <c r="E176" s="201" t="s">
        <v>4245</v>
      </c>
      <c r="F176" s="201" t="s">
        <v>4214</v>
      </c>
      <c r="G176" s="201" t="s">
        <v>123</v>
      </c>
      <c r="H176" s="201" t="s">
        <v>123</v>
      </c>
      <c r="I176" s="201" t="s">
        <v>4245</v>
      </c>
      <c r="J176" s="215" t="s">
        <v>1199</v>
      </c>
      <c r="K176" s="215"/>
      <c r="L176" s="215"/>
      <c r="M176" s="215"/>
      <c r="N176" s="201"/>
      <c r="O176" s="201"/>
      <c r="P176" s="229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</row>
    <row r="177" ht="24.75" customHeight="1">
      <c r="A177" s="201" t="s">
        <v>4246</v>
      </c>
      <c r="B177" s="201" t="s">
        <v>3459</v>
      </c>
      <c r="C177" s="201" t="s">
        <v>4246</v>
      </c>
      <c r="D177" s="201" t="s">
        <v>122</v>
      </c>
      <c r="E177" s="201" t="s">
        <v>4246</v>
      </c>
      <c r="F177" s="201" t="s">
        <v>123</v>
      </c>
      <c r="G177" s="201" t="s">
        <v>3729</v>
      </c>
      <c r="H177" s="201" t="s">
        <v>123</v>
      </c>
      <c r="I177" s="201" t="s">
        <v>4246</v>
      </c>
      <c r="J177" s="215" t="s">
        <v>149</v>
      </c>
      <c r="K177" s="215"/>
      <c r="L177" s="215"/>
      <c r="M177" s="215"/>
      <c r="N177" s="201"/>
      <c r="O177" s="201"/>
      <c r="P177" s="229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</row>
    <row r="178" ht="24.75" customHeight="1">
      <c r="A178" s="201" t="s">
        <v>4036</v>
      </c>
      <c r="B178" s="201" t="s">
        <v>3459</v>
      </c>
      <c r="C178" s="201" t="s">
        <v>4036</v>
      </c>
      <c r="D178" s="201" t="s">
        <v>122</v>
      </c>
      <c r="E178" s="201" t="s">
        <v>4036</v>
      </c>
      <c r="F178" s="201" t="s">
        <v>3472</v>
      </c>
      <c r="G178" s="201" t="s">
        <v>123</v>
      </c>
      <c r="H178" s="201">
        <v>59.0</v>
      </c>
      <c r="I178" s="201" t="s">
        <v>4036</v>
      </c>
      <c r="J178" s="215" t="s">
        <v>124</v>
      </c>
      <c r="K178" s="215"/>
      <c r="L178" s="215"/>
      <c r="M178" s="215"/>
      <c r="N178" s="201"/>
      <c r="O178" s="201"/>
      <c r="P178" s="229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</row>
    <row r="179" ht="24.75" customHeight="1">
      <c r="A179" s="215" t="s">
        <v>4247</v>
      </c>
      <c r="B179" s="201" t="s">
        <v>3459</v>
      </c>
      <c r="C179" s="215" t="s">
        <v>4247</v>
      </c>
      <c r="D179" s="201" t="s">
        <v>122</v>
      </c>
      <c r="E179" s="215" t="s">
        <v>4247</v>
      </c>
      <c r="F179" s="201" t="s">
        <v>123</v>
      </c>
      <c r="G179" s="201" t="s">
        <v>4214</v>
      </c>
      <c r="H179" s="201" t="s">
        <v>123</v>
      </c>
      <c r="I179" s="215" t="s">
        <v>4247</v>
      </c>
      <c r="J179" s="215" t="s">
        <v>4248</v>
      </c>
      <c r="K179" s="215"/>
      <c r="L179" s="215"/>
      <c r="M179" s="215"/>
      <c r="N179" s="201"/>
      <c r="O179" s="201"/>
      <c r="P179" s="229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</row>
    <row r="180" ht="24.75" customHeight="1">
      <c r="A180" s="201" t="s">
        <v>4249</v>
      </c>
      <c r="B180" s="201" t="s">
        <v>3459</v>
      </c>
      <c r="C180" s="201" t="s">
        <v>4249</v>
      </c>
      <c r="D180" s="201" t="s">
        <v>4250</v>
      </c>
      <c r="E180" s="201" t="s">
        <v>4249</v>
      </c>
      <c r="F180" s="201" t="s">
        <v>3729</v>
      </c>
      <c r="G180" s="201" t="s">
        <v>123</v>
      </c>
      <c r="H180" s="201" t="s">
        <v>123</v>
      </c>
      <c r="I180" s="201" t="s">
        <v>4249</v>
      </c>
      <c r="J180" s="215" t="s">
        <v>4251</v>
      </c>
      <c r="K180" s="215"/>
      <c r="L180" s="215"/>
      <c r="M180" s="215"/>
      <c r="N180" s="201"/>
      <c r="O180" s="201"/>
      <c r="P180" s="229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</row>
    <row r="181" ht="24.75" customHeight="1">
      <c r="A181" s="201" t="s">
        <v>2587</v>
      </c>
      <c r="B181" s="234">
        <v>209110.0</v>
      </c>
      <c r="C181" s="201" t="s">
        <v>2587</v>
      </c>
      <c r="D181" s="201" t="s">
        <v>122</v>
      </c>
      <c r="E181" s="201" t="s">
        <v>2587</v>
      </c>
      <c r="F181" s="201">
        <v>880.0</v>
      </c>
      <c r="G181" s="201" t="s">
        <v>123</v>
      </c>
      <c r="H181" s="201">
        <v>780.0</v>
      </c>
      <c r="I181" s="201" t="s">
        <v>2587</v>
      </c>
      <c r="J181" s="215" t="s">
        <v>4252</v>
      </c>
      <c r="K181" s="215"/>
      <c r="L181" s="215"/>
      <c r="M181" s="215"/>
      <c r="N181" s="201"/>
      <c r="O181" s="201"/>
      <c r="P181" s="229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</row>
    <row r="182" ht="24.75" customHeight="1">
      <c r="A182" s="201" t="s">
        <v>4253</v>
      </c>
      <c r="B182" s="201" t="s">
        <v>3459</v>
      </c>
      <c r="C182" s="201" t="s">
        <v>4253</v>
      </c>
      <c r="D182" s="201" t="s">
        <v>122</v>
      </c>
      <c r="E182" s="201" t="s">
        <v>4253</v>
      </c>
      <c r="F182" s="201">
        <v>44.0</v>
      </c>
      <c r="G182" s="201">
        <v>66.0</v>
      </c>
      <c r="H182" s="201" t="s">
        <v>123</v>
      </c>
      <c r="I182" s="201" t="s">
        <v>4253</v>
      </c>
      <c r="J182" s="215" t="s">
        <v>4254</v>
      </c>
      <c r="K182" s="215"/>
      <c r="L182" s="215"/>
      <c r="M182" s="215"/>
      <c r="N182" s="201"/>
      <c r="O182" s="201"/>
      <c r="P182" s="229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</row>
    <row r="183" ht="24.75" customHeight="1">
      <c r="A183" s="201" t="s">
        <v>2591</v>
      </c>
      <c r="B183" s="201" t="s">
        <v>4255</v>
      </c>
      <c r="C183" s="201" t="s">
        <v>2591</v>
      </c>
      <c r="D183" s="201" t="s">
        <v>122</v>
      </c>
      <c r="E183" s="201" t="s">
        <v>2591</v>
      </c>
      <c r="F183" s="201" t="s">
        <v>3472</v>
      </c>
      <c r="G183" s="201" t="s">
        <v>123</v>
      </c>
      <c r="H183" s="201">
        <v>20.0</v>
      </c>
      <c r="I183" s="201" t="s">
        <v>2591</v>
      </c>
      <c r="J183" s="215" t="s">
        <v>2592</v>
      </c>
      <c r="K183" s="215"/>
      <c r="L183" s="215"/>
      <c r="M183" s="215"/>
      <c r="N183" s="215"/>
      <c r="O183" s="215"/>
      <c r="P183" s="230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</row>
    <row r="184" ht="24.75" customHeight="1">
      <c r="A184" s="201" t="s">
        <v>4256</v>
      </c>
      <c r="B184" s="201" t="s">
        <v>3459</v>
      </c>
      <c r="C184" s="201" t="s">
        <v>4256</v>
      </c>
      <c r="D184" s="201" t="s">
        <v>122</v>
      </c>
      <c r="E184" s="201" t="s">
        <v>4256</v>
      </c>
      <c r="F184" s="201" t="s">
        <v>3616</v>
      </c>
      <c r="G184" s="201" t="s">
        <v>123</v>
      </c>
      <c r="H184" s="201">
        <v>16.0</v>
      </c>
      <c r="I184" s="201" t="s">
        <v>4256</v>
      </c>
      <c r="J184" s="215" t="s">
        <v>4257</v>
      </c>
      <c r="K184" s="215"/>
      <c r="L184" s="215"/>
      <c r="M184" s="215"/>
      <c r="N184" s="201"/>
      <c r="O184" s="201"/>
      <c r="P184" s="229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</row>
    <row r="185" ht="24.75" customHeight="1">
      <c r="A185" s="201" t="s">
        <v>4258</v>
      </c>
      <c r="B185" s="201" t="s">
        <v>4259</v>
      </c>
      <c r="C185" s="201" t="s">
        <v>4258</v>
      </c>
      <c r="D185" s="201" t="s">
        <v>122</v>
      </c>
      <c r="E185" s="201" t="s">
        <v>4258</v>
      </c>
      <c r="F185" s="201">
        <v>880.0</v>
      </c>
      <c r="G185" s="201" t="s">
        <v>123</v>
      </c>
      <c r="H185" s="201" t="s">
        <v>123</v>
      </c>
      <c r="I185" s="201" t="s">
        <v>4258</v>
      </c>
      <c r="J185" s="215" t="s">
        <v>4260</v>
      </c>
      <c r="K185" s="215"/>
      <c r="L185" s="215"/>
      <c r="M185" s="215"/>
      <c r="N185" s="201"/>
      <c r="O185" s="201"/>
      <c r="P185" s="229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</row>
    <row r="186" ht="24.75" customHeight="1">
      <c r="A186" s="201" t="s">
        <v>4261</v>
      </c>
      <c r="B186" s="201" t="s">
        <v>4262</v>
      </c>
      <c r="C186" s="201" t="s">
        <v>4261</v>
      </c>
      <c r="D186" s="201" t="s">
        <v>122</v>
      </c>
      <c r="E186" s="201" t="s">
        <v>4261</v>
      </c>
      <c r="F186" s="201" t="s">
        <v>3662</v>
      </c>
      <c r="G186" s="201" t="s">
        <v>123</v>
      </c>
      <c r="H186" s="201" t="s">
        <v>123</v>
      </c>
      <c r="I186" s="201" t="s">
        <v>4261</v>
      </c>
      <c r="J186" s="215" t="s">
        <v>4257</v>
      </c>
      <c r="K186" s="215"/>
      <c r="L186" s="215"/>
      <c r="M186" s="215"/>
      <c r="N186" s="201"/>
      <c r="O186" s="201"/>
      <c r="P186" s="229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</row>
    <row r="187" ht="24.75" customHeight="1">
      <c r="A187" s="201" t="s">
        <v>4263</v>
      </c>
      <c r="B187" s="201" t="s">
        <v>3459</v>
      </c>
      <c r="C187" s="201" t="s">
        <v>4263</v>
      </c>
      <c r="D187" s="201" t="s">
        <v>122</v>
      </c>
      <c r="E187" s="201" t="s">
        <v>4263</v>
      </c>
      <c r="F187" s="201">
        <v>0.88</v>
      </c>
      <c r="G187" s="201" t="s">
        <v>123</v>
      </c>
      <c r="H187" s="201" t="s">
        <v>123</v>
      </c>
      <c r="I187" s="201" t="s">
        <v>4263</v>
      </c>
      <c r="J187" s="215" t="s">
        <v>149</v>
      </c>
      <c r="K187" s="215"/>
      <c r="L187" s="215"/>
      <c r="M187" s="215"/>
      <c r="N187" s="201"/>
      <c r="O187" s="201"/>
      <c r="P187" s="229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</row>
    <row r="188" ht="24.75" customHeight="1">
      <c r="A188" s="215" t="s">
        <v>4264</v>
      </c>
      <c r="B188" s="201" t="s">
        <v>3459</v>
      </c>
      <c r="C188" s="215" t="s">
        <v>4264</v>
      </c>
      <c r="D188" s="201" t="s">
        <v>122</v>
      </c>
      <c r="E188" s="215" t="s">
        <v>4264</v>
      </c>
      <c r="F188" s="201" t="s">
        <v>3729</v>
      </c>
      <c r="G188" s="201" t="s">
        <v>123</v>
      </c>
      <c r="H188" s="201" t="s">
        <v>123</v>
      </c>
      <c r="I188" s="215" t="s">
        <v>4264</v>
      </c>
      <c r="J188" s="215" t="s">
        <v>124</v>
      </c>
      <c r="K188" s="215"/>
      <c r="L188" s="215"/>
      <c r="M188" s="215"/>
      <c r="N188" s="201"/>
      <c r="O188" s="201"/>
      <c r="P188" s="229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</row>
    <row r="189" ht="24.75" customHeight="1">
      <c r="A189" s="201" t="s">
        <v>262</v>
      </c>
      <c r="B189" s="201" t="s">
        <v>3459</v>
      </c>
      <c r="C189" s="201" t="s">
        <v>262</v>
      </c>
      <c r="D189" s="201" t="s">
        <v>4265</v>
      </c>
      <c r="E189" s="201" t="s">
        <v>262</v>
      </c>
      <c r="F189" s="201">
        <v>0.02</v>
      </c>
      <c r="G189" s="201" t="s">
        <v>123</v>
      </c>
      <c r="H189" s="201" t="s">
        <v>123</v>
      </c>
      <c r="I189" s="201" t="s">
        <v>262</v>
      </c>
      <c r="J189" s="215" t="s">
        <v>4266</v>
      </c>
      <c r="K189" s="215"/>
      <c r="L189" s="215"/>
      <c r="M189" s="215"/>
      <c r="N189" s="201"/>
      <c r="O189" s="201"/>
      <c r="P189" s="229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</row>
    <row r="190" ht="24.75" customHeight="1">
      <c r="A190" s="201" t="s">
        <v>4267</v>
      </c>
      <c r="B190" s="201" t="s">
        <v>3459</v>
      </c>
      <c r="C190" s="201" t="s">
        <v>4267</v>
      </c>
      <c r="D190" s="201" t="s">
        <v>4268</v>
      </c>
      <c r="E190" s="201" t="s">
        <v>4267</v>
      </c>
      <c r="F190" s="201" t="s">
        <v>3662</v>
      </c>
      <c r="G190" s="201" t="s">
        <v>123</v>
      </c>
      <c r="H190" s="201" t="s">
        <v>123</v>
      </c>
      <c r="I190" s="201" t="s">
        <v>4267</v>
      </c>
      <c r="J190" s="215" t="s">
        <v>4269</v>
      </c>
      <c r="K190" s="215"/>
      <c r="L190" s="215"/>
      <c r="M190" s="215"/>
      <c r="N190" s="201"/>
      <c r="O190" s="201"/>
      <c r="P190" s="229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</row>
    <row r="191" ht="24.75" customHeight="1">
      <c r="A191" s="201" t="s">
        <v>4270</v>
      </c>
      <c r="B191" s="201" t="s">
        <v>3459</v>
      </c>
      <c r="C191" s="201" t="s">
        <v>4270</v>
      </c>
      <c r="D191" s="201" t="s">
        <v>4271</v>
      </c>
      <c r="E191" s="201" t="s">
        <v>4270</v>
      </c>
      <c r="F191" s="201" t="s">
        <v>3662</v>
      </c>
      <c r="G191" s="201" t="s">
        <v>123</v>
      </c>
      <c r="H191" s="201" t="s">
        <v>123</v>
      </c>
      <c r="I191" s="201" t="s">
        <v>4270</v>
      </c>
      <c r="J191" s="215" t="s">
        <v>4272</v>
      </c>
      <c r="K191" s="215"/>
      <c r="L191" s="215"/>
      <c r="M191" s="215"/>
      <c r="N191" s="201"/>
      <c r="O191" s="201"/>
      <c r="P191" s="229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</row>
    <row r="192" ht="24.75" customHeight="1">
      <c r="A192" s="215" t="s">
        <v>275</v>
      </c>
      <c r="B192" s="201" t="s">
        <v>3459</v>
      </c>
      <c r="C192" s="215" t="s">
        <v>275</v>
      </c>
      <c r="D192" s="201" t="s">
        <v>4273</v>
      </c>
      <c r="E192" s="215" t="s">
        <v>275</v>
      </c>
      <c r="F192" s="201">
        <v>0.2</v>
      </c>
      <c r="G192" s="201" t="s">
        <v>123</v>
      </c>
      <c r="H192" s="201" t="s">
        <v>123</v>
      </c>
      <c r="I192" s="215" t="s">
        <v>275</v>
      </c>
      <c r="J192" s="215" t="s">
        <v>2600</v>
      </c>
      <c r="K192" s="215" t="s">
        <v>3635</v>
      </c>
      <c r="L192" s="215" t="s">
        <v>4163</v>
      </c>
      <c r="M192" s="253" t="s">
        <v>4164</v>
      </c>
      <c r="N192" s="215" t="s">
        <v>4165</v>
      </c>
      <c r="O192" s="201" t="s">
        <v>4166</v>
      </c>
      <c r="P192" s="229" t="s">
        <v>4167</v>
      </c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</row>
    <row r="193" ht="24.75" customHeight="1">
      <c r="A193" s="201" t="s">
        <v>4274</v>
      </c>
      <c r="B193" s="201" t="s">
        <v>3459</v>
      </c>
      <c r="C193" s="201" t="s">
        <v>4274</v>
      </c>
      <c r="D193" s="201" t="s">
        <v>4275</v>
      </c>
      <c r="E193" s="201" t="s">
        <v>4274</v>
      </c>
      <c r="F193" s="201" t="s">
        <v>4214</v>
      </c>
      <c r="G193" s="201" t="s">
        <v>123</v>
      </c>
      <c r="H193" s="201" t="s">
        <v>123</v>
      </c>
      <c r="I193" s="201" t="s">
        <v>4274</v>
      </c>
      <c r="J193" s="215" t="s">
        <v>3619</v>
      </c>
      <c r="K193" s="215"/>
      <c r="L193" s="215"/>
      <c r="M193" s="215"/>
      <c r="N193" s="201"/>
      <c r="O193" s="201"/>
      <c r="P193" s="229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</row>
    <row r="194" ht="24.75" customHeight="1">
      <c r="A194" s="201" t="s">
        <v>2602</v>
      </c>
      <c r="B194" s="201" t="s">
        <v>3459</v>
      </c>
      <c r="C194" s="201" t="s">
        <v>2602</v>
      </c>
      <c r="D194" s="201" t="s">
        <v>4276</v>
      </c>
      <c r="E194" s="201" t="s">
        <v>2602</v>
      </c>
      <c r="F194" s="201" t="s">
        <v>3501</v>
      </c>
      <c r="G194" s="201" t="s">
        <v>123</v>
      </c>
      <c r="H194" s="201" t="s">
        <v>123</v>
      </c>
      <c r="I194" s="201" t="s">
        <v>2602</v>
      </c>
      <c r="J194" s="215" t="s">
        <v>967</v>
      </c>
      <c r="K194" s="215"/>
      <c r="L194" s="215"/>
      <c r="M194" s="215"/>
      <c r="N194" s="201"/>
      <c r="O194" s="201"/>
      <c r="P194" s="229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</row>
    <row r="195" ht="24.75" customHeight="1">
      <c r="A195" s="201" t="s">
        <v>4277</v>
      </c>
      <c r="B195" s="201" t="s">
        <v>3459</v>
      </c>
      <c r="C195" s="201" t="s">
        <v>4277</v>
      </c>
      <c r="D195" s="201" t="s">
        <v>123</v>
      </c>
      <c r="E195" s="201" t="s">
        <v>4277</v>
      </c>
      <c r="F195" s="201" t="s">
        <v>123</v>
      </c>
      <c r="G195" s="201" t="s">
        <v>123</v>
      </c>
      <c r="H195" s="201" t="s">
        <v>123</v>
      </c>
      <c r="I195" s="201" t="s">
        <v>4277</v>
      </c>
      <c r="J195" s="215" t="s">
        <v>133</v>
      </c>
      <c r="K195" s="215"/>
      <c r="L195" s="215"/>
      <c r="M195" s="215"/>
      <c r="N195" s="201"/>
      <c r="O195" s="201"/>
      <c r="P195" s="229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</row>
    <row r="196" ht="24.75" customHeight="1">
      <c r="A196" s="201" t="s">
        <v>4278</v>
      </c>
      <c r="B196" s="201" t="s">
        <v>3459</v>
      </c>
      <c r="C196" s="201" t="s">
        <v>4278</v>
      </c>
      <c r="D196" s="201" t="s">
        <v>4279</v>
      </c>
      <c r="E196" s="201" t="s">
        <v>4278</v>
      </c>
      <c r="F196" s="201" t="s">
        <v>123</v>
      </c>
      <c r="G196" s="201" t="s">
        <v>3662</v>
      </c>
      <c r="H196" s="201" t="s">
        <v>123</v>
      </c>
      <c r="I196" s="201" t="s">
        <v>4278</v>
      </c>
      <c r="J196" s="215" t="s">
        <v>4280</v>
      </c>
      <c r="K196" s="215"/>
      <c r="L196" s="215"/>
      <c r="M196" s="215"/>
      <c r="N196" s="201"/>
      <c r="O196" s="201"/>
      <c r="P196" s="229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</row>
    <row r="197" ht="24.75" customHeight="1">
      <c r="A197" s="201" t="s">
        <v>4281</v>
      </c>
      <c r="B197" s="201" t="s">
        <v>3459</v>
      </c>
      <c r="C197" s="201" t="s">
        <v>4281</v>
      </c>
      <c r="D197" s="201" t="s">
        <v>4282</v>
      </c>
      <c r="E197" s="201" t="s">
        <v>4281</v>
      </c>
      <c r="F197" s="201" t="s">
        <v>4283</v>
      </c>
      <c r="G197" s="201" t="s">
        <v>123</v>
      </c>
      <c r="H197" s="201" t="s">
        <v>123</v>
      </c>
      <c r="I197" s="201" t="s">
        <v>4281</v>
      </c>
      <c r="J197" s="215" t="s">
        <v>4284</v>
      </c>
      <c r="K197" s="215"/>
      <c r="L197" s="215"/>
      <c r="M197" s="215"/>
      <c r="N197" s="201"/>
      <c r="O197" s="201"/>
      <c r="P197" s="229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</row>
    <row r="198" ht="24.75" customHeight="1">
      <c r="A198" s="201" t="s">
        <v>4285</v>
      </c>
      <c r="B198" s="201" t="s">
        <v>3459</v>
      </c>
      <c r="C198" s="201" t="s">
        <v>4285</v>
      </c>
      <c r="D198" s="201" t="s">
        <v>4286</v>
      </c>
      <c r="E198" s="201" t="s">
        <v>4285</v>
      </c>
      <c r="F198" s="201">
        <v>0.044</v>
      </c>
      <c r="G198" s="201" t="s">
        <v>123</v>
      </c>
      <c r="H198" s="201" t="s">
        <v>123</v>
      </c>
      <c r="I198" s="201" t="s">
        <v>4285</v>
      </c>
      <c r="J198" s="215" t="s">
        <v>4287</v>
      </c>
      <c r="K198" s="215"/>
      <c r="L198" s="215"/>
      <c r="M198" s="215"/>
      <c r="N198" s="201"/>
      <c r="O198" s="201"/>
      <c r="P198" s="229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</row>
    <row r="199" ht="24.75" customHeight="1">
      <c r="A199" s="201" t="s">
        <v>4288</v>
      </c>
      <c r="B199" s="201" t="s">
        <v>3459</v>
      </c>
      <c r="C199" s="201" t="s">
        <v>4288</v>
      </c>
      <c r="D199" s="201" t="s">
        <v>4289</v>
      </c>
      <c r="E199" s="201" t="s">
        <v>4288</v>
      </c>
      <c r="F199" s="201" t="s">
        <v>3981</v>
      </c>
      <c r="G199" s="201" t="s">
        <v>123</v>
      </c>
      <c r="H199" s="201" t="s">
        <v>123</v>
      </c>
      <c r="I199" s="201" t="s">
        <v>4288</v>
      </c>
      <c r="J199" s="215" t="s">
        <v>133</v>
      </c>
      <c r="K199" s="215"/>
      <c r="L199" s="215"/>
      <c r="M199" s="215"/>
      <c r="N199" s="201"/>
      <c r="O199" s="201"/>
      <c r="P199" s="229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</row>
    <row r="200" ht="24.75" customHeight="1">
      <c r="A200" s="201" t="s">
        <v>4290</v>
      </c>
      <c r="B200" s="201" t="s">
        <v>3459</v>
      </c>
      <c r="C200" s="201" t="s">
        <v>4290</v>
      </c>
      <c r="D200" s="201" t="s">
        <v>4291</v>
      </c>
      <c r="E200" s="201" t="s">
        <v>4290</v>
      </c>
      <c r="F200" s="201" t="s">
        <v>3972</v>
      </c>
      <c r="G200" s="201" t="s">
        <v>123</v>
      </c>
      <c r="H200" s="201" t="s">
        <v>123</v>
      </c>
      <c r="I200" s="201" t="s">
        <v>4290</v>
      </c>
      <c r="J200" s="215" t="s">
        <v>4292</v>
      </c>
      <c r="K200" s="215"/>
      <c r="L200" s="215"/>
      <c r="M200" s="215"/>
      <c r="N200" s="201"/>
      <c r="O200" s="201"/>
      <c r="P200" s="229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</row>
    <row r="201" ht="24.75" customHeight="1">
      <c r="A201" s="201" t="s">
        <v>4293</v>
      </c>
      <c r="B201" s="201" t="s">
        <v>3459</v>
      </c>
      <c r="C201" s="201" t="s">
        <v>4293</v>
      </c>
      <c r="D201" s="201" t="s">
        <v>4294</v>
      </c>
      <c r="E201" s="201" t="s">
        <v>4293</v>
      </c>
      <c r="F201" s="201" t="s">
        <v>4214</v>
      </c>
      <c r="G201" s="201" t="s">
        <v>123</v>
      </c>
      <c r="H201" s="201" t="s">
        <v>123</v>
      </c>
      <c r="I201" s="201" t="s">
        <v>4293</v>
      </c>
      <c r="J201" s="215" t="s">
        <v>4284</v>
      </c>
      <c r="K201" s="215"/>
      <c r="L201" s="215"/>
      <c r="M201" s="215"/>
      <c r="N201" s="201"/>
      <c r="O201" s="201"/>
      <c r="P201" s="229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</row>
    <row r="202" ht="24.75" customHeight="1">
      <c r="A202" s="201" t="s">
        <v>462</v>
      </c>
      <c r="B202" s="201" t="s">
        <v>4295</v>
      </c>
      <c r="C202" s="201" t="s">
        <v>462</v>
      </c>
      <c r="D202" s="201" t="s">
        <v>4296</v>
      </c>
      <c r="E202" s="201" t="s">
        <v>462</v>
      </c>
      <c r="F202" s="201" t="s">
        <v>3668</v>
      </c>
      <c r="G202" s="201" t="s">
        <v>123</v>
      </c>
      <c r="H202" s="201" t="s">
        <v>123</v>
      </c>
      <c r="I202" s="201" t="s">
        <v>462</v>
      </c>
      <c r="J202" s="215" t="s">
        <v>4096</v>
      </c>
      <c r="K202" s="215"/>
      <c r="L202" s="215"/>
      <c r="M202" s="215"/>
      <c r="N202" s="201"/>
      <c r="O202" s="201"/>
      <c r="P202" s="229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</row>
    <row r="203" ht="24.75" customHeight="1">
      <c r="A203" s="201" t="s">
        <v>4297</v>
      </c>
      <c r="B203" s="201" t="s">
        <v>3459</v>
      </c>
      <c r="C203" s="201" t="s">
        <v>4297</v>
      </c>
      <c r="D203" s="201" t="s">
        <v>122</v>
      </c>
      <c r="E203" s="201" t="s">
        <v>4297</v>
      </c>
      <c r="F203" s="201" t="s">
        <v>123</v>
      </c>
      <c r="G203" s="201" t="s">
        <v>3995</v>
      </c>
      <c r="H203" s="201" t="s">
        <v>123</v>
      </c>
      <c r="I203" s="201" t="s">
        <v>4297</v>
      </c>
      <c r="J203" s="215" t="s">
        <v>149</v>
      </c>
      <c r="K203" s="215"/>
      <c r="L203" s="215"/>
      <c r="M203" s="215"/>
      <c r="N203" s="201"/>
      <c r="O203" s="201"/>
      <c r="P203" s="229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</row>
    <row r="204" ht="24.75" customHeight="1">
      <c r="A204" s="201" t="s">
        <v>4298</v>
      </c>
      <c r="B204" s="201" t="s">
        <v>3459</v>
      </c>
      <c r="C204" s="201" t="s">
        <v>4298</v>
      </c>
      <c r="D204" s="201" t="s">
        <v>4299</v>
      </c>
      <c r="E204" s="201" t="s">
        <v>4298</v>
      </c>
      <c r="F204" s="201" t="s">
        <v>3579</v>
      </c>
      <c r="G204" s="201" t="s">
        <v>123</v>
      </c>
      <c r="H204" s="201" t="s">
        <v>123</v>
      </c>
      <c r="I204" s="201" t="s">
        <v>4298</v>
      </c>
      <c r="J204" s="215" t="s">
        <v>3619</v>
      </c>
      <c r="K204" s="215"/>
      <c r="L204" s="215"/>
      <c r="M204" s="215"/>
      <c r="N204" s="201"/>
      <c r="O204" s="201"/>
      <c r="P204" s="229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</row>
    <row r="205" ht="24.75" customHeight="1">
      <c r="A205" s="215" t="s">
        <v>62</v>
      </c>
      <c r="B205" s="215" t="s">
        <v>4300</v>
      </c>
      <c r="C205" s="215" t="s">
        <v>62</v>
      </c>
      <c r="D205" s="201" t="s">
        <v>122</v>
      </c>
      <c r="E205" s="215" t="s">
        <v>62</v>
      </c>
      <c r="F205" s="201">
        <v>4.4</v>
      </c>
      <c r="G205" s="201" t="s">
        <v>123</v>
      </c>
      <c r="H205" s="201">
        <v>39.0</v>
      </c>
      <c r="I205" s="215" t="s">
        <v>62</v>
      </c>
      <c r="J205" s="215" t="s">
        <v>4184</v>
      </c>
      <c r="K205" s="215" t="s">
        <v>4049</v>
      </c>
      <c r="L205" s="215" t="s">
        <v>4301</v>
      </c>
      <c r="M205" s="215" t="s">
        <v>4302</v>
      </c>
      <c r="N205" s="215" t="s">
        <v>4179</v>
      </c>
      <c r="O205" s="201" t="s">
        <v>4303</v>
      </c>
      <c r="P205" s="229" t="s">
        <v>4026</v>
      </c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</row>
    <row r="206" ht="24.75" customHeight="1">
      <c r="A206" s="201" t="s">
        <v>4304</v>
      </c>
      <c r="B206" s="201" t="s">
        <v>4305</v>
      </c>
      <c r="C206" s="201" t="s">
        <v>4304</v>
      </c>
      <c r="D206" s="201" t="s">
        <v>4306</v>
      </c>
      <c r="E206" s="201" t="s">
        <v>4304</v>
      </c>
      <c r="F206" s="201" t="s">
        <v>3729</v>
      </c>
      <c r="G206" s="201" t="s">
        <v>123</v>
      </c>
      <c r="H206" s="201" t="s">
        <v>123</v>
      </c>
      <c r="I206" s="201" t="s">
        <v>4304</v>
      </c>
      <c r="J206" s="215" t="s">
        <v>124</v>
      </c>
      <c r="K206" s="215"/>
      <c r="L206" s="215"/>
      <c r="M206" s="215"/>
      <c r="N206" s="201"/>
      <c r="O206" s="201"/>
      <c r="P206" s="229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</row>
    <row r="207" ht="24.75" customHeight="1">
      <c r="A207" s="201" t="s">
        <v>4307</v>
      </c>
      <c r="B207" s="201" t="s">
        <v>3459</v>
      </c>
      <c r="C207" s="201" t="s">
        <v>4307</v>
      </c>
      <c r="D207" s="201" t="s">
        <v>122</v>
      </c>
      <c r="E207" s="201" t="s">
        <v>4307</v>
      </c>
      <c r="F207" s="201">
        <v>0.044</v>
      </c>
      <c r="G207" s="201" t="s">
        <v>4215</v>
      </c>
      <c r="H207" s="201" t="s">
        <v>4013</v>
      </c>
      <c r="I207" s="201" t="s">
        <v>4307</v>
      </c>
      <c r="J207" s="215" t="s">
        <v>4308</v>
      </c>
      <c r="K207" s="215"/>
      <c r="L207" s="215"/>
      <c r="M207" s="215"/>
      <c r="N207" s="201"/>
      <c r="O207" s="201"/>
      <c r="P207" s="229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</row>
    <row r="208" ht="24.75" customHeight="1">
      <c r="A208" s="201" t="s">
        <v>4309</v>
      </c>
      <c r="B208" s="201" t="s">
        <v>3459</v>
      </c>
      <c r="C208" s="201" t="s">
        <v>4309</v>
      </c>
      <c r="D208" s="201" t="s">
        <v>4310</v>
      </c>
      <c r="E208" s="201" t="s">
        <v>4309</v>
      </c>
      <c r="F208" s="201" t="s">
        <v>4214</v>
      </c>
      <c r="G208" s="201" t="s">
        <v>123</v>
      </c>
      <c r="H208" s="201" t="s">
        <v>4311</v>
      </c>
      <c r="I208" s="201" t="s">
        <v>4309</v>
      </c>
      <c r="J208" s="215" t="s">
        <v>3619</v>
      </c>
      <c r="K208" s="215"/>
      <c r="L208" s="215"/>
      <c r="M208" s="215"/>
      <c r="N208" s="201"/>
      <c r="O208" s="201"/>
      <c r="P208" s="229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</row>
    <row r="209" ht="24.75" customHeight="1">
      <c r="A209" s="201" t="s">
        <v>4312</v>
      </c>
      <c r="B209" s="201" t="s">
        <v>3459</v>
      </c>
      <c r="C209" s="201" t="s">
        <v>4312</v>
      </c>
      <c r="D209" s="201" t="s">
        <v>4313</v>
      </c>
      <c r="E209" s="201" t="s">
        <v>4312</v>
      </c>
      <c r="F209" s="201" t="s">
        <v>4214</v>
      </c>
      <c r="G209" s="201" t="s">
        <v>123</v>
      </c>
      <c r="H209" s="201" t="s">
        <v>123</v>
      </c>
      <c r="I209" s="201" t="s">
        <v>4312</v>
      </c>
      <c r="J209" s="215" t="s">
        <v>3619</v>
      </c>
      <c r="K209" s="215"/>
      <c r="L209" s="215"/>
      <c r="M209" s="215"/>
      <c r="N209" s="201"/>
      <c r="O209" s="201"/>
      <c r="P209" s="229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</row>
    <row r="210" ht="24.75" customHeight="1">
      <c r="A210" s="201" t="s">
        <v>4314</v>
      </c>
      <c r="B210" s="201" t="s">
        <v>3459</v>
      </c>
      <c r="C210" s="201" t="s">
        <v>4314</v>
      </c>
      <c r="D210" s="201" t="s">
        <v>122</v>
      </c>
      <c r="E210" s="201" t="s">
        <v>4314</v>
      </c>
      <c r="F210" s="201" t="s">
        <v>3972</v>
      </c>
      <c r="G210" s="201" t="s">
        <v>4315</v>
      </c>
      <c r="H210" s="201" t="s">
        <v>123</v>
      </c>
      <c r="I210" s="201" t="s">
        <v>4314</v>
      </c>
      <c r="J210" s="215" t="s">
        <v>4316</v>
      </c>
      <c r="K210" s="215"/>
      <c r="L210" s="215"/>
      <c r="M210" s="215"/>
      <c r="N210" s="201"/>
      <c r="O210" s="201"/>
      <c r="P210" s="229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</row>
    <row r="211" ht="24.75" customHeight="1">
      <c r="A211" s="215" t="s">
        <v>4317</v>
      </c>
      <c r="B211" s="201" t="s">
        <v>3459</v>
      </c>
      <c r="C211" s="215" t="s">
        <v>4317</v>
      </c>
      <c r="D211" s="201" t="s">
        <v>122</v>
      </c>
      <c r="E211" s="215" t="s">
        <v>4317</v>
      </c>
      <c r="F211" s="201">
        <v>50.0</v>
      </c>
      <c r="G211" s="201" t="s">
        <v>123</v>
      </c>
      <c r="H211" s="201" t="s">
        <v>123</v>
      </c>
      <c r="I211" s="215" t="s">
        <v>4317</v>
      </c>
      <c r="J211" s="215" t="s">
        <v>149</v>
      </c>
      <c r="K211" s="215" t="s">
        <v>4049</v>
      </c>
      <c r="L211" s="236" t="s">
        <v>4318</v>
      </c>
      <c r="M211" s="215" t="s">
        <v>3572</v>
      </c>
      <c r="N211" s="215" t="s">
        <v>4179</v>
      </c>
      <c r="O211" s="201" t="s">
        <v>3852</v>
      </c>
      <c r="P211" s="229" t="s">
        <v>3853</v>
      </c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</row>
    <row r="212" ht="24.75" customHeight="1">
      <c r="A212" s="201" t="s">
        <v>4319</v>
      </c>
      <c r="B212" s="201" t="s">
        <v>3459</v>
      </c>
      <c r="C212" s="201" t="s">
        <v>4319</v>
      </c>
      <c r="D212" s="201" t="s">
        <v>4320</v>
      </c>
      <c r="E212" s="201" t="s">
        <v>4319</v>
      </c>
      <c r="F212" s="201" t="s">
        <v>123</v>
      </c>
      <c r="G212" s="201" t="s">
        <v>3662</v>
      </c>
      <c r="H212" s="201" t="s">
        <v>123</v>
      </c>
      <c r="I212" s="201" t="s">
        <v>4319</v>
      </c>
      <c r="J212" s="215" t="s">
        <v>4321</v>
      </c>
      <c r="K212" s="215"/>
      <c r="L212" s="215"/>
      <c r="M212" s="215"/>
      <c r="N212" s="201"/>
      <c r="O212" s="201"/>
      <c r="P212" s="229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</row>
    <row r="213" ht="24.75" customHeight="1">
      <c r="A213" s="201" t="s">
        <v>4322</v>
      </c>
      <c r="B213" s="201" t="s">
        <v>3459</v>
      </c>
      <c r="C213" s="201" t="s">
        <v>4322</v>
      </c>
      <c r="D213" s="201" t="s">
        <v>4323</v>
      </c>
      <c r="E213" s="201" t="s">
        <v>4322</v>
      </c>
      <c r="F213" s="201" t="s">
        <v>3972</v>
      </c>
      <c r="G213" s="201" t="s">
        <v>123</v>
      </c>
      <c r="H213" s="201" t="s">
        <v>123</v>
      </c>
      <c r="I213" s="201" t="s">
        <v>4322</v>
      </c>
      <c r="J213" s="215" t="s">
        <v>3619</v>
      </c>
      <c r="K213" s="215"/>
      <c r="L213" s="215"/>
      <c r="M213" s="215"/>
      <c r="N213" s="201"/>
      <c r="O213" s="201"/>
      <c r="P213" s="229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</row>
    <row r="214" ht="24.75" customHeight="1">
      <c r="A214" s="201" t="s">
        <v>4324</v>
      </c>
      <c r="B214" s="201" t="s">
        <v>3459</v>
      </c>
      <c r="C214" s="201" t="s">
        <v>4324</v>
      </c>
      <c r="D214" s="201" t="s">
        <v>122</v>
      </c>
      <c r="E214" s="201" t="s">
        <v>4324</v>
      </c>
      <c r="F214" s="201" t="s">
        <v>3819</v>
      </c>
      <c r="G214" s="201" t="s">
        <v>123</v>
      </c>
      <c r="H214" s="201" t="s">
        <v>123</v>
      </c>
      <c r="I214" s="201" t="s">
        <v>4324</v>
      </c>
      <c r="J214" s="215" t="s">
        <v>149</v>
      </c>
      <c r="K214" s="215"/>
      <c r="L214" s="215"/>
      <c r="M214" s="215"/>
      <c r="N214" s="201"/>
      <c r="O214" s="201"/>
      <c r="P214" s="229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</row>
    <row r="215" ht="24.75" customHeight="1">
      <c r="A215" s="201" t="s">
        <v>4325</v>
      </c>
      <c r="B215" s="201" t="s">
        <v>3459</v>
      </c>
      <c r="C215" s="201" t="s">
        <v>4325</v>
      </c>
      <c r="D215" s="201" t="s">
        <v>122</v>
      </c>
      <c r="E215" s="201" t="s">
        <v>4325</v>
      </c>
      <c r="F215" s="201" t="s">
        <v>3729</v>
      </c>
      <c r="G215" s="201" t="s">
        <v>123</v>
      </c>
      <c r="H215" s="201" t="s">
        <v>4100</v>
      </c>
      <c r="I215" s="201" t="s">
        <v>4325</v>
      </c>
      <c r="J215" s="215" t="s">
        <v>4326</v>
      </c>
      <c r="K215" s="215"/>
      <c r="L215" s="215"/>
      <c r="M215" s="215"/>
      <c r="N215" s="201"/>
      <c r="O215" s="201"/>
      <c r="P215" s="229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</row>
    <row r="216" ht="24.75" customHeight="1">
      <c r="A216" s="201" t="s">
        <v>4327</v>
      </c>
      <c r="B216" s="201" t="s">
        <v>3459</v>
      </c>
      <c r="C216" s="201" t="s">
        <v>4327</v>
      </c>
      <c r="D216" s="201" t="s">
        <v>123</v>
      </c>
      <c r="E216" s="201" t="s">
        <v>4327</v>
      </c>
      <c r="F216" s="201" t="s">
        <v>123</v>
      </c>
      <c r="G216" s="201" t="s">
        <v>123</v>
      </c>
      <c r="H216" s="201" t="s">
        <v>123</v>
      </c>
      <c r="I216" s="201" t="s">
        <v>4327</v>
      </c>
      <c r="J216" s="215" t="s">
        <v>123</v>
      </c>
      <c r="K216" s="215"/>
      <c r="L216" s="215"/>
      <c r="M216" s="215"/>
      <c r="N216" s="201"/>
      <c r="O216" s="201"/>
      <c r="P216" s="229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</row>
    <row r="217" ht="24.75" customHeight="1">
      <c r="A217" s="201" t="s">
        <v>4328</v>
      </c>
      <c r="B217" s="201" t="s">
        <v>3459</v>
      </c>
      <c r="C217" s="201" t="s">
        <v>4328</v>
      </c>
      <c r="D217" s="201" t="s">
        <v>122</v>
      </c>
      <c r="E217" s="201" t="s">
        <v>4328</v>
      </c>
      <c r="F217" s="201" t="s">
        <v>3668</v>
      </c>
      <c r="G217" s="201" t="s">
        <v>123</v>
      </c>
      <c r="H217" s="201" t="s">
        <v>123</v>
      </c>
      <c r="I217" s="201" t="s">
        <v>4328</v>
      </c>
      <c r="J217" s="215" t="s">
        <v>149</v>
      </c>
      <c r="K217" s="215"/>
      <c r="L217" s="215"/>
      <c r="M217" s="215"/>
      <c r="N217" s="201"/>
      <c r="O217" s="201"/>
      <c r="P217" s="229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</row>
    <row r="218" ht="24.75" customHeight="1">
      <c r="A218" s="201" t="s">
        <v>4329</v>
      </c>
      <c r="B218" s="201" t="s">
        <v>3459</v>
      </c>
      <c r="C218" s="201" t="s">
        <v>4329</v>
      </c>
      <c r="D218" s="201" t="s">
        <v>4330</v>
      </c>
      <c r="E218" s="201" t="s">
        <v>4329</v>
      </c>
      <c r="F218" s="201" t="s">
        <v>3579</v>
      </c>
      <c r="G218" s="201" t="s">
        <v>123</v>
      </c>
      <c r="H218" s="201" t="s">
        <v>123</v>
      </c>
      <c r="I218" s="201" t="s">
        <v>4329</v>
      </c>
      <c r="J218" s="215" t="s">
        <v>4331</v>
      </c>
      <c r="K218" s="215"/>
      <c r="L218" s="215"/>
      <c r="M218" s="215"/>
      <c r="N218" s="201"/>
      <c r="O218" s="201"/>
      <c r="P218" s="229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</row>
    <row r="219" ht="24.75" customHeight="1">
      <c r="A219" s="201" t="s">
        <v>4332</v>
      </c>
      <c r="B219" s="201" t="s">
        <v>3459</v>
      </c>
      <c r="C219" s="201" t="s">
        <v>4332</v>
      </c>
      <c r="D219" s="201" t="s">
        <v>122</v>
      </c>
      <c r="E219" s="201" t="s">
        <v>4332</v>
      </c>
      <c r="F219" s="201" t="s">
        <v>3579</v>
      </c>
      <c r="G219" s="201" t="s">
        <v>123</v>
      </c>
      <c r="H219" s="201" t="s">
        <v>123</v>
      </c>
      <c r="I219" s="201" t="s">
        <v>4332</v>
      </c>
      <c r="J219" s="215" t="s">
        <v>4331</v>
      </c>
      <c r="K219" s="215"/>
      <c r="L219" s="215"/>
      <c r="M219" s="215"/>
      <c r="N219" s="201"/>
      <c r="O219" s="201"/>
      <c r="P219" s="229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</row>
    <row r="220" ht="24.75" customHeight="1">
      <c r="A220" s="201" t="s">
        <v>4333</v>
      </c>
      <c r="B220" s="201" t="s">
        <v>3459</v>
      </c>
      <c r="C220" s="201" t="s">
        <v>4333</v>
      </c>
      <c r="D220" s="201" t="s">
        <v>122</v>
      </c>
      <c r="E220" s="201" t="s">
        <v>4333</v>
      </c>
      <c r="F220" s="201" t="s">
        <v>3472</v>
      </c>
      <c r="G220" s="201" t="s">
        <v>123</v>
      </c>
      <c r="H220" s="201" t="s">
        <v>123</v>
      </c>
      <c r="I220" s="201" t="s">
        <v>4333</v>
      </c>
      <c r="J220" s="215" t="s">
        <v>4334</v>
      </c>
      <c r="K220" s="215"/>
      <c r="L220" s="215"/>
      <c r="M220" s="215"/>
      <c r="N220" s="201"/>
      <c r="O220" s="201"/>
      <c r="P220" s="229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</row>
    <row r="221" ht="24.75" customHeight="1">
      <c r="A221" s="201" t="s">
        <v>4335</v>
      </c>
      <c r="B221" s="201" t="s">
        <v>3459</v>
      </c>
      <c r="C221" s="201" t="s">
        <v>4335</v>
      </c>
      <c r="D221" s="201" t="s">
        <v>122</v>
      </c>
      <c r="E221" s="201" t="s">
        <v>4335</v>
      </c>
      <c r="F221" s="201" t="s">
        <v>3472</v>
      </c>
      <c r="G221" s="201" t="s">
        <v>123</v>
      </c>
      <c r="H221" s="201" t="s">
        <v>123</v>
      </c>
      <c r="I221" s="201" t="s">
        <v>4335</v>
      </c>
      <c r="J221" s="215" t="s">
        <v>4336</v>
      </c>
      <c r="K221" s="215"/>
      <c r="L221" s="215"/>
      <c r="M221" s="215"/>
      <c r="N221" s="201"/>
      <c r="O221" s="201"/>
      <c r="P221" s="229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</row>
    <row r="222" ht="24.75" customHeight="1">
      <c r="A222" s="201" t="s">
        <v>4337</v>
      </c>
      <c r="B222" s="201" t="s">
        <v>3459</v>
      </c>
      <c r="C222" s="201" t="s">
        <v>4337</v>
      </c>
      <c r="D222" s="201" t="s">
        <v>122</v>
      </c>
      <c r="E222" s="201" t="s">
        <v>4337</v>
      </c>
      <c r="F222" s="201">
        <v>22.0</v>
      </c>
      <c r="G222" s="201">
        <v>44.0</v>
      </c>
      <c r="H222" s="201">
        <v>39.0</v>
      </c>
      <c r="I222" s="201" t="s">
        <v>4337</v>
      </c>
      <c r="J222" s="215" t="s">
        <v>4338</v>
      </c>
      <c r="K222" s="215"/>
      <c r="L222" s="215"/>
      <c r="M222" s="215"/>
      <c r="N222" s="201"/>
      <c r="O222" s="201"/>
      <c r="P222" s="229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</row>
    <row r="223" ht="24.75" customHeight="1">
      <c r="A223" s="201" t="s">
        <v>4339</v>
      </c>
      <c r="B223" s="201" t="s">
        <v>3459</v>
      </c>
      <c r="C223" s="201" t="s">
        <v>4339</v>
      </c>
      <c r="D223" s="201" t="s">
        <v>122</v>
      </c>
      <c r="E223" s="201" t="s">
        <v>4339</v>
      </c>
      <c r="F223" s="201" t="s">
        <v>3472</v>
      </c>
      <c r="G223" s="201" t="s">
        <v>123</v>
      </c>
      <c r="H223" s="201" t="s">
        <v>123</v>
      </c>
      <c r="I223" s="201" t="s">
        <v>4339</v>
      </c>
      <c r="J223" s="215" t="s">
        <v>4340</v>
      </c>
      <c r="K223" s="215"/>
      <c r="L223" s="215"/>
      <c r="M223" s="215"/>
      <c r="N223" s="201"/>
      <c r="O223" s="201"/>
      <c r="P223" s="229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</row>
    <row r="224" ht="24.75" customHeight="1">
      <c r="A224" s="201" t="s">
        <v>4341</v>
      </c>
      <c r="B224" s="201" t="s">
        <v>3459</v>
      </c>
      <c r="C224" s="201" t="s">
        <v>4341</v>
      </c>
      <c r="D224" s="201" t="s">
        <v>123</v>
      </c>
      <c r="E224" s="201" t="s">
        <v>4341</v>
      </c>
      <c r="F224" s="201" t="s">
        <v>123</v>
      </c>
      <c r="G224" s="201" t="s">
        <v>123</v>
      </c>
      <c r="H224" s="201" t="s">
        <v>123</v>
      </c>
      <c r="I224" s="201" t="s">
        <v>4341</v>
      </c>
      <c r="J224" s="215" t="s">
        <v>4342</v>
      </c>
      <c r="K224" s="215"/>
      <c r="L224" s="215"/>
      <c r="M224" s="215"/>
      <c r="N224" s="201"/>
      <c r="O224" s="201"/>
      <c r="P224" s="229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</row>
    <row r="225" ht="24.75" customHeight="1">
      <c r="A225" s="201" t="s">
        <v>4343</v>
      </c>
      <c r="B225" s="201" t="s">
        <v>3459</v>
      </c>
      <c r="C225" s="201" t="s">
        <v>4343</v>
      </c>
      <c r="D225" s="201" t="s">
        <v>122</v>
      </c>
      <c r="E225" s="201" t="s">
        <v>4343</v>
      </c>
      <c r="F225" s="201">
        <v>880.0</v>
      </c>
      <c r="G225" s="201" t="s">
        <v>123</v>
      </c>
      <c r="H225" s="201">
        <v>780.0</v>
      </c>
      <c r="I225" s="201" t="s">
        <v>4343</v>
      </c>
      <c r="J225" s="215" t="s">
        <v>4260</v>
      </c>
      <c r="K225" s="215"/>
      <c r="L225" s="215"/>
      <c r="M225" s="215"/>
      <c r="N225" s="201"/>
      <c r="O225" s="201"/>
      <c r="P225" s="229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</row>
    <row r="226" ht="24.75" customHeight="1">
      <c r="A226" s="215" t="s">
        <v>4344</v>
      </c>
      <c r="B226" s="201" t="s">
        <v>3459</v>
      </c>
      <c r="C226" s="215" t="s">
        <v>4344</v>
      </c>
      <c r="D226" s="201" t="s">
        <v>4345</v>
      </c>
      <c r="E226" s="215" t="s">
        <v>4344</v>
      </c>
      <c r="F226" s="201" t="s">
        <v>3819</v>
      </c>
      <c r="G226" s="201" t="s">
        <v>4147</v>
      </c>
      <c r="H226" s="201" t="s">
        <v>123</v>
      </c>
      <c r="I226" s="215" t="s">
        <v>4344</v>
      </c>
      <c r="J226" s="215" t="s">
        <v>967</v>
      </c>
      <c r="K226" s="215"/>
      <c r="L226" s="215"/>
      <c r="M226" s="215"/>
      <c r="N226" s="201"/>
      <c r="O226" s="201"/>
      <c r="P226" s="229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</row>
    <row r="227" ht="24.75" customHeight="1">
      <c r="A227" s="201" t="s">
        <v>4346</v>
      </c>
      <c r="B227" s="201" t="s">
        <v>3459</v>
      </c>
      <c r="C227" s="201" t="s">
        <v>4346</v>
      </c>
      <c r="D227" s="201" t="s">
        <v>122</v>
      </c>
      <c r="E227" s="201" t="s">
        <v>4346</v>
      </c>
      <c r="F227" s="201">
        <v>88.0</v>
      </c>
      <c r="G227" s="201" t="s">
        <v>123</v>
      </c>
      <c r="H227" s="201">
        <v>156.0</v>
      </c>
      <c r="I227" s="201" t="s">
        <v>4346</v>
      </c>
      <c r="J227" s="215" t="s">
        <v>4347</v>
      </c>
      <c r="K227" s="215"/>
      <c r="L227" s="215"/>
      <c r="M227" s="215"/>
      <c r="N227" s="201"/>
      <c r="O227" s="201"/>
      <c r="P227" s="229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</row>
    <row r="228" ht="24.75" customHeight="1">
      <c r="A228" s="201" t="s">
        <v>4348</v>
      </c>
      <c r="B228" s="201" t="s">
        <v>3459</v>
      </c>
      <c r="C228" s="201" t="s">
        <v>4348</v>
      </c>
      <c r="D228" s="201" t="s">
        <v>122</v>
      </c>
      <c r="E228" s="201" t="s">
        <v>4348</v>
      </c>
      <c r="F228" s="201">
        <v>176.0</v>
      </c>
      <c r="G228" s="201" t="s">
        <v>123</v>
      </c>
      <c r="H228" s="201">
        <v>155.0</v>
      </c>
      <c r="I228" s="201" t="s">
        <v>4348</v>
      </c>
      <c r="J228" s="215" t="s">
        <v>4349</v>
      </c>
      <c r="K228" s="215"/>
      <c r="L228" s="215"/>
      <c r="M228" s="215"/>
      <c r="N228" s="201"/>
      <c r="O228" s="201"/>
      <c r="P228" s="229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</row>
    <row r="229" ht="24.75" customHeight="1">
      <c r="A229" s="201" t="s">
        <v>4350</v>
      </c>
      <c r="B229" s="201" t="s">
        <v>3459</v>
      </c>
      <c r="C229" s="201" t="s">
        <v>4350</v>
      </c>
      <c r="D229" s="201" t="s">
        <v>122</v>
      </c>
      <c r="E229" s="201" t="s">
        <v>4350</v>
      </c>
      <c r="F229" s="201" t="s">
        <v>3472</v>
      </c>
      <c r="G229" s="201" t="s">
        <v>123</v>
      </c>
      <c r="H229" s="201" t="s">
        <v>123</v>
      </c>
      <c r="I229" s="201" t="s">
        <v>4350</v>
      </c>
      <c r="J229" s="215" t="s">
        <v>124</v>
      </c>
      <c r="K229" s="215"/>
      <c r="L229" s="215"/>
      <c r="M229" s="215"/>
      <c r="N229" s="201"/>
      <c r="O229" s="201"/>
      <c r="P229" s="229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</row>
    <row r="230" ht="24.75" customHeight="1">
      <c r="A230" s="201" t="s">
        <v>2754</v>
      </c>
      <c r="B230" s="201" t="s">
        <v>3459</v>
      </c>
      <c r="C230" s="201" t="s">
        <v>2754</v>
      </c>
      <c r="D230" s="201" t="s">
        <v>122</v>
      </c>
      <c r="E230" s="201" t="s">
        <v>2754</v>
      </c>
      <c r="F230" s="201">
        <v>44.0</v>
      </c>
      <c r="G230" s="201" t="s">
        <v>123</v>
      </c>
      <c r="H230" s="201" t="s">
        <v>123</v>
      </c>
      <c r="I230" s="201" t="s">
        <v>2754</v>
      </c>
      <c r="J230" s="215" t="s">
        <v>4351</v>
      </c>
      <c r="K230" s="215"/>
      <c r="L230" s="215"/>
      <c r="M230" s="215"/>
      <c r="N230" s="201"/>
      <c r="O230" s="201"/>
      <c r="P230" s="229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</row>
    <row r="231" ht="24.75" customHeight="1">
      <c r="A231" s="201" t="s">
        <v>4352</v>
      </c>
      <c r="B231" s="201" t="s">
        <v>3459</v>
      </c>
      <c r="C231" s="201" t="s">
        <v>4352</v>
      </c>
      <c r="D231" s="201" t="s">
        <v>122</v>
      </c>
      <c r="E231" s="201" t="s">
        <v>4352</v>
      </c>
      <c r="F231" s="201" t="s">
        <v>3616</v>
      </c>
      <c r="G231" s="201" t="s">
        <v>123</v>
      </c>
      <c r="H231" s="201">
        <v>8.0</v>
      </c>
      <c r="I231" s="201" t="s">
        <v>4352</v>
      </c>
      <c r="J231" s="215" t="s">
        <v>967</v>
      </c>
      <c r="K231" s="215"/>
      <c r="L231" s="215"/>
      <c r="M231" s="215"/>
      <c r="N231" s="201"/>
      <c r="O231" s="201"/>
      <c r="P231" s="229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</row>
    <row r="232" ht="24.75" customHeight="1">
      <c r="A232" s="201" t="s">
        <v>4353</v>
      </c>
      <c r="B232" s="201" t="s">
        <v>3459</v>
      </c>
      <c r="C232" s="201" t="s">
        <v>4353</v>
      </c>
      <c r="D232" s="201" t="s">
        <v>122</v>
      </c>
      <c r="E232" s="201" t="s">
        <v>4353</v>
      </c>
      <c r="F232" s="201" t="s">
        <v>3662</v>
      </c>
      <c r="G232" s="201" t="s">
        <v>123</v>
      </c>
      <c r="H232" s="201">
        <v>59.0</v>
      </c>
      <c r="I232" s="201" t="s">
        <v>4353</v>
      </c>
      <c r="J232" s="215" t="s">
        <v>4354</v>
      </c>
      <c r="K232" s="215"/>
      <c r="L232" s="215"/>
      <c r="M232" s="215"/>
      <c r="N232" s="201"/>
      <c r="O232" s="201"/>
      <c r="P232" s="229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</row>
    <row r="233" ht="24.75" customHeight="1">
      <c r="A233" s="201" t="s">
        <v>4355</v>
      </c>
      <c r="B233" s="201" t="s">
        <v>3459</v>
      </c>
      <c r="C233" s="201" t="s">
        <v>4355</v>
      </c>
      <c r="D233" s="201" t="s">
        <v>122</v>
      </c>
      <c r="E233" s="201" t="s">
        <v>4355</v>
      </c>
      <c r="F233" s="201" t="s">
        <v>3729</v>
      </c>
      <c r="G233" s="201" t="s">
        <v>123</v>
      </c>
      <c r="H233" s="201" t="s">
        <v>123</v>
      </c>
      <c r="I233" s="201" t="s">
        <v>4355</v>
      </c>
      <c r="J233" s="215" t="s">
        <v>1920</v>
      </c>
      <c r="K233" s="215"/>
      <c r="L233" s="215"/>
      <c r="M233" s="215"/>
      <c r="N233" s="201"/>
      <c r="O233" s="201"/>
      <c r="P233" s="229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</row>
    <row r="234" ht="24.75" customHeight="1">
      <c r="A234" s="201" t="s">
        <v>2785</v>
      </c>
      <c r="B234" s="201" t="s">
        <v>3459</v>
      </c>
      <c r="C234" s="201" t="s">
        <v>2785</v>
      </c>
      <c r="D234" s="201" t="s">
        <v>122</v>
      </c>
      <c r="E234" s="201" t="s">
        <v>2785</v>
      </c>
      <c r="F234" s="201">
        <v>880.0</v>
      </c>
      <c r="G234" s="201" t="s">
        <v>123</v>
      </c>
      <c r="H234" s="201">
        <v>780.0</v>
      </c>
      <c r="I234" s="201" t="s">
        <v>2785</v>
      </c>
      <c r="J234" s="215" t="s">
        <v>1241</v>
      </c>
      <c r="K234" s="215"/>
      <c r="L234" s="215"/>
      <c r="M234" s="215"/>
      <c r="N234" s="201"/>
      <c r="O234" s="201"/>
      <c r="P234" s="229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</row>
    <row r="235" ht="24.75" customHeight="1">
      <c r="A235" s="201" t="s">
        <v>4356</v>
      </c>
      <c r="B235" s="201" t="s">
        <v>3459</v>
      </c>
      <c r="C235" s="201" t="s">
        <v>4356</v>
      </c>
      <c r="D235" s="201" t="s">
        <v>4357</v>
      </c>
      <c r="E235" s="201" t="s">
        <v>4356</v>
      </c>
      <c r="F235" s="201" t="s">
        <v>3662</v>
      </c>
      <c r="G235" s="201" t="s">
        <v>123</v>
      </c>
      <c r="H235" s="201" t="s">
        <v>123</v>
      </c>
      <c r="I235" s="201" t="s">
        <v>4356</v>
      </c>
      <c r="J235" s="215" t="s">
        <v>3619</v>
      </c>
      <c r="K235" s="215"/>
      <c r="L235" s="215"/>
      <c r="M235" s="215"/>
      <c r="N235" s="201"/>
      <c r="O235" s="201"/>
      <c r="P235" s="229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</row>
    <row r="236" ht="24.75" customHeight="1">
      <c r="A236" s="201" t="s">
        <v>4358</v>
      </c>
      <c r="B236" s="201" t="s">
        <v>3459</v>
      </c>
      <c r="C236" s="201" t="s">
        <v>4358</v>
      </c>
      <c r="D236" s="201" t="s">
        <v>4359</v>
      </c>
      <c r="E236" s="201" t="s">
        <v>4358</v>
      </c>
      <c r="F236" s="201" t="s">
        <v>4214</v>
      </c>
      <c r="G236" s="201" t="s">
        <v>123</v>
      </c>
      <c r="H236" s="201" t="s">
        <v>123</v>
      </c>
      <c r="I236" s="201" t="s">
        <v>4358</v>
      </c>
      <c r="J236" s="215" t="s">
        <v>3619</v>
      </c>
      <c r="K236" s="215"/>
      <c r="L236" s="215"/>
      <c r="M236" s="215"/>
      <c r="N236" s="201"/>
      <c r="O236" s="201"/>
      <c r="P236" s="229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</row>
    <row r="237" ht="24.75" customHeight="1">
      <c r="A237" s="201" t="s">
        <v>4360</v>
      </c>
      <c r="B237" s="201" t="s">
        <v>3459</v>
      </c>
      <c r="C237" s="201" t="s">
        <v>4360</v>
      </c>
      <c r="D237" s="201" t="s">
        <v>4361</v>
      </c>
      <c r="E237" s="201" t="s">
        <v>4360</v>
      </c>
      <c r="F237" s="201" t="s">
        <v>3662</v>
      </c>
      <c r="G237" s="201" t="s">
        <v>123</v>
      </c>
      <c r="H237" s="201" t="s">
        <v>123</v>
      </c>
      <c r="I237" s="201" t="s">
        <v>4360</v>
      </c>
      <c r="J237" s="215" t="s">
        <v>4362</v>
      </c>
      <c r="K237" s="215"/>
      <c r="L237" s="215"/>
      <c r="M237" s="215"/>
      <c r="N237" s="201"/>
      <c r="O237" s="201"/>
      <c r="P237" s="229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</row>
    <row r="238" ht="39.0" customHeight="1">
      <c r="A238" s="215" t="s">
        <v>2818</v>
      </c>
      <c r="B238" s="201" t="s">
        <v>3459</v>
      </c>
      <c r="C238" s="215" t="s">
        <v>2818</v>
      </c>
      <c r="D238" s="201" t="s">
        <v>4363</v>
      </c>
      <c r="E238" s="215" t="s">
        <v>2818</v>
      </c>
      <c r="F238" s="201">
        <v>88.0</v>
      </c>
      <c r="G238" s="201" t="s">
        <v>123</v>
      </c>
      <c r="H238" s="201" t="s">
        <v>123</v>
      </c>
      <c r="I238" s="215" t="s">
        <v>2818</v>
      </c>
      <c r="J238" s="215" t="s">
        <v>2830</v>
      </c>
      <c r="K238" s="215" t="s">
        <v>4364</v>
      </c>
      <c r="L238" s="215"/>
      <c r="M238" s="215" t="s">
        <v>4365</v>
      </c>
      <c r="N238" s="215" t="s">
        <v>4179</v>
      </c>
      <c r="O238" s="215" t="s">
        <v>4366</v>
      </c>
      <c r="P238" s="230" t="s">
        <v>4367</v>
      </c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</row>
    <row r="239" ht="24.75" customHeight="1">
      <c r="A239" s="201" t="s">
        <v>4368</v>
      </c>
      <c r="B239" s="201" t="s">
        <v>3459</v>
      </c>
      <c r="C239" s="201" t="s">
        <v>4368</v>
      </c>
      <c r="D239" s="201" t="s">
        <v>4369</v>
      </c>
      <c r="E239" s="201" t="s">
        <v>4368</v>
      </c>
      <c r="F239" s="201" t="s">
        <v>3729</v>
      </c>
      <c r="G239" s="201" t="s">
        <v>123</v>
      </c>
      <c r="H239" s="201" t="s">
        <v>123</v>
      </c>
      <c r="I239" s="201" t="s">
        <v>4368</v>
      </c>
      <c r="J239" s="215" t="s">
        <v>4237</v>
      </c>
      <c r="K239" s="215"/>
      <c r="L239" s="215"/>
      <c r="M239" s="215"/>
      <c r="N239" s="201"/>
      <c r="O239" s="201"/>
      <c r="P239" s="229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</row>
    <row r="240" ht="24.75" customHeight="1">
      <c r="A240" s="201" t="s">
        <v>4370</v>
      </c>
      <c r="B240" s="201" t="s">
        <v>3459</v>
      </c>
      <c r="C240" s="201" t="s">
        <v>4370</v>
      </c>
      <c r="D240" s="201" t="s">
        <v>122</v>
      </c>
      <c r="E240" s="201" t="s">
        <v>4370</v>
      </c>
      <c r="F240" s="201" t="s">
        <v>3579</v>
      </c>
      <c r="G240" s="201" t="s">
        <v>3560</v>
      </c>
      <c r="H240" s="201">
        <v>20.0</v>
      </c>
      <c r="I240" s="201" t="s">
        <v>4370</v>
      </c>
      <c r="J240" s="215" t="s">
        <v>1199</v>
      </c>
      <c r="K240" s="215"/>
      <c r="L240" s="215"/>
      <c r="M240" s="215"/>
      <c r="N240" s="201"/>
      <c r="O240" s="201"/>
      <c r="P240" s="229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</row>
    <row r="241" ht="24.75" customHeight="1">
      <c r="A241" s="201" t="s">
        <v>4371</v>
      </c>
      <c r="B241" s="201" t="s">
        <v>3459</v>
      </c>
      <c r="C241" s="201" t="s">
        <v>4371</v>
      </c>
      <c r="D241" s="201" t="s">
        <v>122</v>
      </c>
      <c r="E241" s="201" t="s">
        <v>4371</v>
      </c>
      <c r="F241" s="201" t="s">
        <v>3616</v>
      </c>
      <c r="G241" s="201" t="s">
        <v>123</v>
      </c>
      <c r="H241" s="201" t="s">
        <v>123</v>
      </c>
      <c r="I241" s="201" t="s">
        <v>4371</v>
      </c>
      <c r="J241" s="215" t="s">
        <v>4372</v>
      </c>
      <c r="K241" s="215"/>
      <c r="L241" s="215"/>
      <c r="M241" s="215"/>
      <c r="N241" s="201"/>
      <c r="O241" s="201"/>
      <c r="P241" s="229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</row>
    <row r="242" ht="24.75" customHeight="1">
      <c r="A242" s="201" t="s">
        <v>4373</v>
      </c>
      <c r="B242" s="201" t="s">
        <v>3459</v>
      </c>
      <c r="C242" s="201" t="s">
        <v>4373</v>
      </c>
      <c r="D242" s="201" t="s">
        <v>122</v>
      </c>
      <c r="E242" s="201" t="s">
        <v>4373</v>
      </c>
      <c r="F242" s="201">
        <v>176.0</v>
      </c>
      <c r="G242" s="201">
        <v>264.0</v>
      </c>
      <c r="H242" s="201" t="s">
        <v>123</v>
      </c>
      <c r="I242" s="201" t="s">
        <v>4373</v>
      </c>
      <c r="J242" s="215" t="s">
        <v>3865</v>
      </c>
      <c r="K242" s="215"/>
      <c r="L242" s="215"/>
      <c r="M242" s="215"/>
      <c r="N242" s="201"/>
      <c r="O242" s="201"/>
      <c r="P242" s="229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</row>
    <row r="243" ht="24.75" customHeight="1">
      <c r="A243" s="201" t="s">
        <v>4374</v>
      </c>
      <c r="B243" s="201" t="s">
        <v>3459</v>
      </c>
      <c r="C243" s="201" t="s">
        <v>4374</v>
      </c>
      <c r="D243" s="201" t="s">
        <v>122</v>
      </c>
      <c r="E243" s="201" t="s">
        <v>4374</v>
      </c>
      <c r="F243" s="201" t="s">
        <v>3729</v>
      </c>
      <c r="G243" s="201" t="s">
        <v>123</v>
      </c>
      <c r="H243" s="201" t="s">
        <v>123</v>
      </c>
      <c r="I243" s="201" t="s">
        <v>4374</v>
      </c>
      <c r="J243" s="215" t="s">
        <v>149</v>
      </c>
      <c r="K243" s="215"/>
      <c r="L243" s="215"/>
      <c r="M243" s="215"/>
      <c r="N243" s="201"/>
      <c r="O243" s="201"/>
      <c r="P243" s="229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</row>
    <row r="244" ht="24.75" customHeight="1">
      <c r="A244" s="201" t="s">
        <v>4375</v>
      </c>
      <c r="B244" s="201" t="s">
        <v>3459</v>
      </c>
      <c r="C244" s="201" t="s">
        <v>4375</v>
      </c>
      <c r="D244" s="201" t="s">
        <v>4376</v>
      </c>
      <c r="E244" s="201" t="s">
        <v>4375</v>
      </c>
      <c r="F244" s="201" t="s">
        <v>3579</v>
      </c>
      <c r="G244" s="201" t="s">
        <v>123</v>
      </c>
      <c r="H244" s="201" t="s">
        <v>123</v>
      </c>
      <c r="I244" s="201" t="s">
        <v>4375</v>
      </c>
      <c r="J244" s="215" t="s">
        <v>967</v>
      </c>
      <c r="K244" s="215"/>
      <c r="L244" s="215"/>
      <c r="M244" s="215"/>
      <c r="N244" s="201"/>
      <c r="O244" s="201"/>
      <c r="P244" s="229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</row>
    <row r="245" ht="24.75" customHeight="1">
      <c r="A245" s="201" t="s">
        <v>4377</v>
      </c>
      <c r="B245" s="201" t="s">
        <v>3459</v>
      </c>
      <c r="C245" s="201" t="s">
        <v>4377</v>
      </c>
      <c r="D245" s="201" t="s">
        <v>4378</v>
      </c>
      <c r="E245" s="201" t="s">
        <v>4377</v>
      </c>
      <c r="F245" s="201" t="s">
        <v>3472</v>
      </c>
      <c r="G245" s="201" t="s">
        <v>123</v>
      </c>
      <c r="H245" s="201" t="s">
        <v>123</v>
      </c>
      <c r="I245" s="201" t="s">
        <v>4377</v>
      </c>
      <c r="J245" s="215" t="s">
        <v>4379</v>
      </c>
      <c r="K245" s="215"/>
      <c r="L245" s="215"/>
      <c r="M245" s="215"/>
      <c r="N245" s="201"/>
      <c r="O245" s="201"/>
      <c r="P245" s="229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</row>
    <row r="246" ht="24.75" customHeight="1">
      <c r="A246" s="201" t="s">
        <v>4380</v>
      </c>
      <c r="B246" s="201" t="s">
        <v>3459</v>
      </c>
      <c r="C246" s="201" t="s">
        <v>4380</v>
      </c>
      <c r="D246" s="201" t="s">
        <v>122</v>
      </c>
      <c r="E246" s="201" t="s">
        <v>4380</v>
      </c>
      <c r="F246" s="201">
        <v>88.0</v>
      </c>
      <c r="G246" s="201" t="s">
        <v>123</v>
      </c>
      <c r="H246" s="201" t="s">
        <v>123</v>
      </c>
      <c r="I246" s="201" t="s">
        <v>4380</v>
      </c>
      <c r="J246" s="215" t="s">
        <v>4381</v>
      </c>
      <c r="K246" s="215"/>
      <c r="L246" s="215"/>
      <c r="M246" s="215"/>
      <c r="N246" s="201"/>
      <c r="O246" s="201"/>
      <c r="P246" s="229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</row>
    <row r="247" ht="24.75" customHeight="1">
      <c r="A247" s="201" t="s">
        <v>4382</v>
      </c>
      <c r="B247" s="201" t="s">
        <v>3459</v>
      </c>
      <c r="C247" s="201" t="s">
        <v>4382</v>
      </c>
      <c r="D247" s="201" t="s">
        <v>122</v>
      </c>
      <c r="E247" s="201" t="s">
        <v>4382</v>
      </c>
      <c r="F247" s="201" t="s">
        <v>123</v>
      </c>
      <c r="G247" s="201" t="s">
        <v>4214</v>
      </c>
      <c r="H247" s="201" t="s">
        <v>123</v>
      </c>
      <c r="I247" s="201" t="s">
        <v>4382</v>
      </c>
      <c r="J247" s="215" t="s">
        <v>4383</v>
      </c>
      <c r="K247" s="215"/>
      <c r="L247" s="215"/>
      <c r="M247" s="215"/>
      <c r="N247" s="201"/>
      <c r="O247" s="201"/>
      <c r="P247" s="229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</row>
    <row r="248" ht="24.75" customHeight="1">
      <c r="A248" s="201" t="s">
        <v>4384</v>
      </c>
      <c r="B248" s="201" t="s">
        <v>3459</v>
      </c>
      <c r="C248" s="201" t="s">
        <v>4384</v>
      </c>
      <c r="D248" s="201" t="s">
        <v>122</v>
      </c>
      <c r="E248" s="201" t="s">
        <v>4384</v>
      </c>
      <c r="F248" s="201">
        <v>22.0</v>
      </c>
      <c r="G248" s="201" t="s">
        <v>123</v>
      </c>
      <c r="H248" s="201" t="s">
        <v>123</v>
      </c>
      <c r="I248" s="201" t="s">
        <v>4384</v>
      </c>
      <c r="J248" s="215" t="s">
        <v>149</v>
      </c>
      <c r="K248" s="215"/>
      <c r="L248" s="215"/>
      <c r="M248" s="215"/>
      <c r="N248" s="201"/>
      <c r="O248" s="201"/>
      <c r="P248" s="229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</row>
    <row r="249" ht="24.75" customHeight="1">
      <c r="A249" s="201" t="s">
        <v>4385</v>
      </c>
      <c r="B249" s="201" t="s">
        <v>3459</v>
      </c>
      <c r="C249" s="201" t="s">
        <v>4385</v>
      </c>
      <c r="D249" s="201" t="s">
        <v>122</v>
      </c>
      <c r="E249" s="201" t="s">
        <v>4385</v>
      </c>
      <c r="F249" s="201" t="s">
        <v>3579</v>
      </c>
      <c r="G249" s="201" t="s">
        <v>123</v>
      </c>
      <c r="H249" s="201">
        <v>4.0</v>
      </c>
      <c r="I249" s="201" t="s">
        <v>4385</v>
      </c>
      <c r="J249" s="215" t="s">
        <v>4386</v>
      </c>
      <c r="K249" s="215"/>
      <c r="L249" s="215"/>
      <c r="M249" s="215"/>
      <c r="N249" s="201"/>
      <c r="O249" s="201"/>
      <c r="P249" s="229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</row>
    <row r="250" ht="24.75" customHeight="1">
      <c r="A250" s="201" t="s">
        <v>4387</v>
      </c>
      <c r="B250" s="201" t="s">
        <v>3459</v>
      </c>
      <c r="C250" s="201" t="s">
        <v>4387</v>
      </c>
      <c r="D250" s="201" t="s">
        <v>122</v>
      </c>
      <c r="E250" s="201" t="s">
        <v>4387</v>
      </c>
      <c r="F250" s="201" t="s">
        <v>3616</v>
      </c>
      <c r="G250" s="201" t="s">
        <v>123</v>
      </c>
      <c r="H250" s="201" t="s">
        <v>123</v>
      </c>
      <c r="I250" s="201" t="s">
        <v>4387</v>
      </c>
      <c r="J250" s="215" t="s">
        <v>967</v>
      </c>
      <c r="K250" s="215"/>
      <c r="L250" s="215"/>
      <c r="M250" s="215"/>
      <c r="N250" s="201"/>
      <c r="O250" s="201"/>
      <c r="P250" s="229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</row>
    <row r="251" ht="24.75" customHeight="1">
      <c r="A251" s="201" t="s">
        <v>4388</v>
      </c>
      <c r="B251" s="201" t="s">
        <v>3459</v>
      </c>
      <c r="C251" s="201" t="s">
        <v>4388</v>
      </c>
      <c r="D251" s="201" t="s">
        <v>122</v>
      </c>
      <c r="E251" s="201" t="s">
        <v>4388</v>
      </c>
      <c r="F251" s="201" t="s">
        <v>3472</v>
      </c>
      <c r="G251" s="201" t="s">
        <v>123</v>
      </c>
      <c r="H251" s="201" t="s">
        <v>123</v>
      </c>
      <c r="I251" s="201" t="s">
        <v>4388</v>
      </c>
      <c r="J251" s="215" t="s">
        <v>4389</v>
      </c>
      <c r="K251" s="215"/>
      <c r="L251" s="215"/>
      <c r="M251" s="215"/>
      <c r="N251" s="201"/>
      <c r="O251" s="201"/>
      <c r="P251" s="229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</row>
    <row r="252" ht="24.75" customHeight="1">
      <c r="A252" s="201" t="s">
        <v>4390</v>
      </c>
      <c r="B252" s="201" t="s">
        <v>3459</v>
      </c>
      <c r="C252" s="201" t="s">
        <v>4390</v>
      </c>
      <c r="D252" s="201" t="s">
        <v>122</v>
      </c>
      <c r="E252" s="201" t="s">
        <v>4390</v>
      </c>
      <c r="F252" s="201" t="s">
        <v>3579</v>
      </c>
      <c r="G252" s="201" t="s">
        <v>3560</v>
      </c>
      <c r="H252" s="201">
        <v>8.0</v>
      </c>
      <c r="I252" s="201" t="s">
        <v>4390</v>
      </c>
      <c r="J252" s="215" t="s">
        <v>4391</v>
      </c>
      <c r="K252" s="215"/>
      <c r="L252" s="215"/>
      <c r="M252" s="215"/>
      <c r="N252" s="201"/>
      <c r="O252" s="201"/>
      <c r="P252" s="229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</row>
    <row r="253" ht="24.75" customHeight="1">
      <c r="A253" s="201" t="s">
        <v>4392</v>
      </c>
      <c r="B253" s="201" t="s">
        <v>3459</v>
      </c>
      <c r="C253" s="201" t="s">
        <v>4392</v>
      </c>
      <c r="D253" s="201" t="s">
        <v>122</v>
      </c>
      <c r="E253" s="201" t="s">
        <v>4392</v>
      </c>
      <c r="F253" s="201" t="s">
        <v>3668</v>
      </c>
      <c r="G253" s="201" t="s">
        <v>4158</v>
      </c>
      <c r="H253" s="201" t="s">
        <v>123</v>
      </c>
      <c r="I253" s="201" t="s">
        <v>4392</v>
      </c>
      <c r="J253" s="215" t="s">
        <v>4393</v>
      </c>
      <c r="K253" s="215"/>
      <c r="L253" s="215"/>
      <c r="M253" s="215"/>
      <c r="N253" s="201"/>
      <c r="O253" s="201"/>
      <c r="P253" s="229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</row>
    <row r="254" ht="24.75" customHeight="1">
      <c r="A254" s="201" t="s">
        <v>2851</v>
      </c>
      <c r="B254" s="201" t="s">
        <v>3459</v>
      </c>
      <c r="C254" s="201" t="s">
        <v>2851</v>
      </c>
      <c r="D254" s="201" t="s">
        <v>122</v>
      </c>
      <c r="E254" s="201" t="s">
        <v>2851</v>
      </c>
      <c r="F254" s="201" t="s">
        <v>3472</v>
      </c>
      <c r="G254" s="201" t="s">
        <v>123</v>
      </c>
      <c r="H254" s="201">
        <v>8.0</v>
      </c>
      <c r="I254" s="201" t="s">
        <v>2851</v>
      </c>
      <c r="J254" s="215" t="s">
        <v>124</v>
      </c>
      <c r="K254" s="215"/>
      <c r="L254" s="215"/>
      <c r="M254" s="215"/>
      <c r="N254" s="201"/>
      <c r="O254" s="201"/>
      <c r="P254" s="229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</row>
    <row r="255" ht="24.75" customHeight="1">
      <c r="A255" s="201" t="s">
        <v>4394</v>
      </c>
      <c r="B255" s="201" t="s">
        <v>3459</v>
      </c>
      <c r="C255" s="201" t="s">
        <v>4394</v>
      </c>
      <c r="D255" s="201" t="s">
        <v>4395</v>
      </c>
      <c r="E255" s="201" t="s">
        <v>4394</v>
      </c>
      <c r="F255" s="201" t="s">
        <v>3579</v>
      </c>
      <c r="G255" s="201" t="s">
        <v>123</v>
      </c>
      <c r="H255" s="201" t="s">
        <v>123</v>
      </c>
      <c r="I255" s="201" t="s">
        <v>4394</v>
      </c>
      <c r="J255" s="215" t="s">
        <v>4396</v>
      </c>
      <c r="K255" s="215"/>
      <c r="L255" s="215"/>
      <c r="M255" s="215"/>
      <c r="N255" s="201"/>
      <c r="O255" s="201"/>
      <c r="P255" s="229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</row>
    <row r="256" ht="24.75" customHeight="1">
      <c r="A256" s="201" t="s">
        <v>4397</v>
      </c>
      <c r="B256" s="201" t="s">
        <v>3459</v>
      </c>
      <c r="C256" s="201" t="s">
        <v>4397</v>
      </c>
      <c r="D256" s="201" t="s">
        <v>122</v>
      </c>
      <c r="E256" s="201" t="s">
        <v>4397</v>
      </c>
      <c r="F256" s="201" t="s">
        <v>3972</v>
      </c>
      <c r="G256" s="201" t="s">
        <v>123</v>
      </c>
      <c r="H256" s="201" t="s">
        <v>4103</v>
      </c>
      <c r="I256" s="201" t="s">
        <v>4397</v>
      </c>
      <c r="J256" s="215" t="s">
        <v>4398</v>
      </c>
      <c r="K256" s="215"/>
      <c r="L256" s="215"/>
      <c r="M256" s="215"/>
      <c r="N256" s="201"/>
      <c r="O256" s="201"/>
      <c r="P256" s="229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</row>
    <row r="257" ht="24.75" customHeight="1">
      <c r="A257" s="201" t="s">
        <v>4399</v>
      </c>
      <c r="B257" s="201" t="s">
        <v>3459</v>
      </c>
      <c r="C257" s="201" t="s">
        <v>4399</v>
      </c>
      <c r="D257" s="201" t="s">
        <v>122</v>
      </c>
      <c r="E257" s="201" t="s">
        <v>4399</v>
      </c>
      <c r="F257" s="201" t="s">
        <v>4214</v>
      </c>
      <c r="G257" s="201" t="s">
        <v>123</v>
      </c>
      <c r="H257" s="201" t="s">
        <v>123</v>
      </c>
      <c r="I257" s="201" t="s">
        <v>4399</v>
      </c>
      <c r="J257" s="215" t="s">
        <v>4400</v>
      </c>
      <c r="K257" s="215"/>
      <c r="L257" s="215"/>
      <c r="M257" s="215"/>
      <c r="N257" s="201"/>
      <c r="O257" s="201"/>
      <c r="P257" s="229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</row>
    <row r="258" ht="24.75" customHeight="1">
      <c r="A258" s="201" t="s">
        <v>4401</v>
      </c>
      <c r="B258" s="201" t="s">
        <v>3459</v>
      </c>
      <c r="C258" s="201" t="s">
        <v>4401</v>
      </c>
      <c r="D258" s="201" t="s">
        <v>122</v>
      </c>
      <c r="E258" s="201" t="s">
        <v>4401</v>
      </c>
      <c r="F258" s="201" t="s">
        <v>4214</v>
      </c>
      <c r="G258" s="201" t="s">
        <v>123</v>
      </c>
      <c r="H258" s="201" t="s">
        <v>123</v>
      </c>
      <c r="I258" s="201" t="s">
        <v>4401</v>
      </c>
      <c r="J258" s="215" t="s">
        <v>4402</v>
      </c>
      <c r="K258" s="215"/>
      <c r="L258" s="215"/>
      <c r="M258" s="215"/>
      <c r="N258" s="201"/>
      <c r="O258" s="201"/>
      <c r="P258" s="229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</row>
    <row r="259" ht="24.75" customHeight="1">
      <c r="A259" s="201" t="s">
        <v>4403</v>
      </c>
      <c r="B259" s="201" t="s">
        <v>3459</v>
      </c>
      <c r="C259" s="201" t="s">
        <v>4403</v>
      </c>
      <c r="D259" s="201" t="s">
        <v>122</v>
      </c>
      <c r="E259" s="201" t="s">
        <v>4403</v>
      </c>
      <c r="F259" s="201" t="s">
        <v>4215</v>
      </c>
      <c r="G259" s="201" t="s">
        <v>123</v>
      </c>
      <c r="H259" s="201" t="s">
        <v>123</v>
      </c>
      <c r="I259" s="201" t="s">
        <v>4403</v>
      </c>
      <c r="J259" s="215" t="s">
        <v>4404</v>
      </c>
      <c r="K259" s="215"/>
      <c r="L259" s="215"/>
      <c r="M259" s="215"/>
      <c r="N259" s="201"/>
      <c r="O259" s="201"/>
      <c r="P259" s="229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</row>
    <row r="260" ht="24.75" customHeight="1">
      <c r="A260" s="201" t="s">
        <v>4405</v>
      </c>
      <c r="B260" s="201" t="s">
        <v>3459</v>
      </c>
      <c r="C260" s="201" t="s">
        <v>4405</v>
      </c>
      <c r="D260" s="201" t="s">
        <v>4406</v>
      </c>
      <c r="E260" s="201" t="s">
        <v>4405</v>
      </c>
      <c r="F260" s="201" t="s">
        <v>3819</v>
      </c>
      <c r="G260" s="201" t="s">
        <v>123</v>
      </c>
      <c r="H260" s="201" t="s">
        <v>123</v>
      </c>
      <c r="I260" s="201" t="s">
        <v>4405</v>
      </c>
      <c r="J260" s="215" t="s">
        <v>4407</v>
      </c>
      <c r="K260" s="215"/>
      <c r="L260" s="215"/>
      <c r="M260" s="215"/>
      <c r="N260" s="201"/>
      <c r="O260" s="201"/>
      <c r="P260" s="229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</row>
    <row r="261" ht="24.75" customHeight="1">
      <c r="A261" s="201" t="s">
        <v>4408</v>
      </c>
      <c r="B261" s="201" t="s">
        <v>3459</v>
      </c>
      <c r="C261" s="201" t="s">
        <v>4408</v>
      </c>
      <c r="D261" s="201" t="s">
        <v>4409</v>
      </c>
      <c r="E261" s="201" t="s">
        <v>4408</v>
      </c>
      <c r="F261" s="201" t="s">
        <v>3729</v>
      </c>
      <c r="G261" s="201" t="s">
        <v>123</v>
      </c>
      <c r="H261" s="201" t="s">
        <v>123</v>
      </c>
      <c r="I261" s="201" t="s">
        <v>4408</v>
      </c>
      <c r="J261" s="215" t="s">
        <v>124</v>
      </c>
      <c r="K261" s="215"/>
      <c r="L261" s="215"/>
      <c r="M261" s="215"/>
      <c r="N261" s="201"/>
      <c r="O261" s="201"/>
      <c r="P261" s="229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</row>
    <row r="262" ht="24.75" customHeight="1">
      <c r="A262" s="201" t="s">
        <v>4410</v>
      </c>
      <c r="B262" s="201" t="s">
        <v>3459</v>
      </c>
      <c r="C262" s="201" t="s">
        <v>4410</v>
      </c>
      <c r="D262" s="201" t="s">
        <v>122</v>
      </c>
      <c r="E262" s="201" t="s">
        <v>4410</v>
      </c>
      <c r="F262" s="201" t="s">
        <v>3501</v>
      </c>
      <c r="G262" s="201" t="s">
        <v>123</v>
      </c>
      <c r="H262" s="201" t="s">
        <v>123</v>
      </c>
      <c r="I262" s="201" t="s">
        <v>4410</v>
      </c>
      <c r="J262" s="215" t="s">
        <v>124</v>
      </c>
      <c r="K262" s="215"/>
      <c r="L262" s="215"/>
      <c r="M262" s="215"/>
      <c r="N262" s="201"/>
      <c r="O262" s="201"/>
      <c r="P262" s="229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</row>
    <row r="263" ht="24.75" customHeight="1">
      <c r="A263" s="201" t="s">
        <v>4411</v>
      </c>
      <c r="B263" s="201" t="s">
        <v>3459</v>
      </c>
      <c r="C263" s="201" t="s">
        <v>4411</v>
      </c>
      <c r="D263" s="201" t="s">
        <v>4412</v>
      </c>
      <c r="E263" s="201" t="s">
        <v>4411</v>
      </c>
      <c r="F263" s="201" t="s">
        <v>3662</v>
      </c>
      <c r="G263" s="201" t="s">
        <v>123</v>
      </c>
      <c r="H263" s="201" t="s">
        <v>123</v>
      </c>
      <c r="I263" s="201" t="s">
        <v>4411</v>
      </c>
      <c r="J263" s="215" t="s">
        <v>3619</v>
      </c>
      <c r="K263" s="215"/>
      <c r="L263" s="215"/>
      <c r="M263" s="215"/>
      <c r="N263" s="201"/>
      <c r="O263" s="201"/>
      <c r="P263" s="229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</row>
    <row r="264" ht="39.75" customHeight="1">
      <c r="A264" s="215" t="s">
        <v>2884</v>
      </c>
      <c r="B264" s="201" t="s">
        <v>3459</v>
      </c>
      <c r="C264" s="215" t="s">
        <v>2884</v>
      </c>
      <c r="D264" s="201" t="s">
        <v>122</v>
      </c>
      <c r="E264" s="215" t="s">
        <v>2884</v>
      </c>
      <c r="F264" s="234">
        <v>4400.0</v>
      </c>
      <c r="G264" s="234">
        <v>26400.0</v>
      </c>
      <c r="H264" s="201">
        <v>3900.0</v>
      </c>
      <c r="I264" s="215" t="s">
        <v>2884</v>
      </c>
      <c r="J264" s="215" t="s">
        <v>2894</v>
      </c>
      <c r="K264" s="215" t="s">
        <v>4413</v>
      </c>
      <c r="L264" s="215"/>
      <c r="M264" s="215" t="s">
        <v>4414</v>
      </c>
      <c r="N264" s="215" t="s">
        <v>3734</v>
      </c>
      <c r="O264" s="215" t="s">
        <v>4415</v>
      </c>
      <c r="P264" s="230" t="s">
        <v>4416</v>
      </c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</row>
    <row r="265" ht="24.75" customHeight="1">
      <c r="A265" s="201" t="s">
        <v>4417</v>
      </c>
      <c r="B265" s="201" t="s">
        <v>3459</v>
      </c>
      <c r="C265" s="201" t="s">
        <v>4417</v>
      </c>
      <c r="D265" s="201" t="s">
        <v>122</v>
      </c>
      <c r="E265" s="201" t="s">
        <v>4417</v>
      </c>
      <c r="F265" s="201" t="s">
        <v>123</v>
      </c>
      <c r="G265" s="201">
        <v>0.09</v>
      </c>
      <c r="H265" s="201" t="s">
        <v>4100</v>
      </c>
      <c r="I265" s="201" t="s">
        <v>4417</v>
      </c>
      <c r="J265" s="215" t="s">
        <v>4418</v>
      </c>
      <c r="K265" s="215"/>
      <c r="L265" s="215"/>
      <c r="M265" s="215"/>
      <c r="N265" s="215"/>
      <c r="O265" s="215"/>
      <c r="P265" s="230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</row>
    <row r="266" ht="39.75" customHeight="1">
      <c r="A266" s="215" t="s">
        <v>2917</v>
      </c>
      <c r="B266" s="201" t="s">
        <v>3459</v>
      </c>
      <c r="C266" s="215" t="s">
        <v>2917</v>
      </c>
      <c r="D266" s="201" t="s">
        <v>122</v>
      </c>
      <c r="E266" s="215" t="s">
        <v>2917</v>
      </c>
      <c r="F266" s="201" t="s">
        <v>123</v>
      </c>
      <c r="G266" s="201">
        <v>0.22</v>
      </c>
      <c r="H266" s="201">
        <v>4.0</v>
      </c>
      <c r="I266" s="215" t="s">
        <v>2917</v>
      </c>
      <c r="J266" s="215" t="s">
        <v>4419</v>
      </c>
      <c r="K266" s="215" t="s">
        <v>3755</v>
      </c>
      <c r="L266" s="215"/>
      <c r="M266" s="215" t="s">
        <v>4420</v>
      </c>
      <c r="N266" s="215" t="s">
        <v>3734</v>
      </c>
      <c r="O266" s="215" t="s">
        <v>4421</v>
      </c>
      <c r="P266" s="230" t="s">
        <v>4422</v>
      </c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</row>
    <row r="267" ht="24.75" customHeight="1">
      <c r="A267" s="201" t="s">
        <v>4423</v>
      </c>
      <c r="B267" s="201" t="s">
        <v>3459</v>
      </c>
      <c r="C267" s="201" t="s">
        <v>4423</v>
      </c>
      <c r="D267" s="201" t="s">
        <v>122</v>
      </c>
      <c r="E267" s="201" t="s">
        <v>4423</v>
      </c>
      <c r="F267" s="201" t="s">
        <v>3501</v>
      </c>
      <c r="G267" s="201" t="s">
        <v>123</v>
      </c>
      <c r="H267" s="201" t="s">
        <v>123</v>
      </c>
      <c r="I267" s="201" t="s">
        <v>4423</v>
      </c>
      <c r="J267" s="215" t="s">
        <v>4424</v>
      </c>
      <c r="K267" s="215"/>
      <c r="L267" s="215"/>
      <c r="M267" s="215"/>
      <c r="N267" s="201"/>
      <c r="O267" s="201"/>
      <c r="P267" s="229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</row>
    <row r="268" ht="39.75" customHeight="1">
      <c r="A268" s="215" t="s">
        <v>2948</v>
      </c>
      <c r="B268" s="201" t="s">
        <v>3459</v>
      </c>
      <c r="C268" s="215" t="s">
        <v>2948</v>
      </c>
      <c r="D268" s="201" t="s">
        <v>122</v>
      </c>
      <c r="E268" s="215" t="s">
        <v>2948</v>
      </c>
      <c r="F268" s="201">
        <v>0.18</v>
      </c>
      <c r="G268" s="201" t="s">
        <v>123</v>
      </c>
      <c r="H268" s="201">
        <v>4.0</v>
      </c>
      <c r="I268" s="215" t="s">
        <v>2948</v>
      </c>
      <c r="J268" s="215" t="s">
        <v>2955</v>
      </c>
      <c r="K268" s="215" t="s">
        <v>4425</v>
      </c>
      <c r="L268" s="215"/>
      <c r="M268" s="215" t="s">
        <v>4426</v>
      </c>
      <c r="N268" s="215" t="s">
        <v>4427</v>
      </c>
      <c r="O268" s="215">
        <v>0.1</v>
      </c>
      <c r="P268" s="230" t="s">
        <v>4428</v>
      </c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</row>
    <row r="269" ht="24.75" customHeight="1">
      <c r="A269" s="201" t="s">
        <v>4429</v>
      </c>
      <c r="B269" s="201" t="s">
        <v>3459</v>
      </c>
      <c r="C269" s="201" t="s">
        <v>4429</v>
      </c>
      <c r="D269" s="201" t="s">
        <v>4430</v>
      </c>
      <c r="E269" s="201" t="s">
        <v>4429</v>
      </c>
      <c r="F269" s="201" t="s">
        <v>3472</v>
      </c>
      <c r="G269" s="201" t="s">
        <v>123</v>
      </c>
      <c r="H269" s="201" t="s">
        <v>123</v>
      </c>
      <c r="I269" s="201" t="s">
        <v>4429</v>
      </c>
      <c r="J269" s="215" t="s">
        <v>2955</v>
      </c>
      <c r="K269" s="215"/>
      <c r="L269" s="215"/>
      <c r="M269" s="215"/>
      <c r="N269" s="201"/>
      <c r="O269" s="201"/>
      <c r="P269" s="229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</row>
    <row r="270" ht="24.75" customHeight="1">
      <c r="A270" s="201" t="s">
        <v>4431</v>
      </c>
      <c r="B270" s="201" t="s">
        <v>3459</v>
      </c>
      <c r="C270" s="201" t="s">
        <v>4431</v>
      </c>
      <c r="D270" s="201" t="s">
        <v>122</v>
      </c>
      <c r="E270" s="201" t="s">
        <v>4431</v>
      </c>
      <c r="F270" s="201" t="s">
        <v>3662</v>
      </c>
      <c r="G270" s="201" t="s">
        <v>123</v>
      </c>
      <c r="H270" s="201" t="s">
        <v>123</v>
      </c>
      <c r="I270" s="201" t="s">
        <v>4431</v>
      </c>
      <c r="J270" s="215" t="s">
        <v>4432</v>
      </c>
      <c r="K270" s="215"/>
      <c r="L270" s="215"/>
      <c r="M270" s="215"/>
      <c r="N270" s="201"/>
      <c r="O270" s="201"/>
      <c r="P270" s="229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</row>
    <row r="271" ht="24.75" customHeight="1">
      <c r="A271" s="201" t="s">
        <v>4433</v>
      </c>
      <c r="B271" s="201" t="s">
        <v>3459</v>
      </c>
      <c r="C271" s="201" t="s">
        <v>4433</v>
      </c>
      <c r="D271" s="201" t="s">
        <v>122</v>
      </c>
      <c r="E271" s="201" t="s">
        <v>4433</v>
      </c>
      <c r="F271" s="201">
        <v>44.0</v>
      </c>
      <c r="G271" s="201" t="s">
        <v>123</v>
      </c>
      <c r="H271" s="201" t="s">
        <v>123</v>
      </c>
      <c r="I271" s="201" t="s">
        <v>4433</v>
      </c>
      <c r="J271" s="215" t="s">
        <v>967</v>
      </c>
      <c r="K271" s="215"/>
      <c r="L271" s="215"/>
      <c r="M271" s="215"/>
      <c r="N271" s="201"/>
      <c r="O271" s="201"/>
      <c r="P271" s="229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</row>
    <row r="272" ht="24.75" customHeight="1">
      <c r="A272" s="201" t="s">
        <v>4434</v>
      </c>
      <c r="B272" s="201" t="s">
        <v>3459</v>
      </c>
      <c r="C272" s="201" t="s">
        <v>4434</v>
      </c>
      <c r="D272" s="201" t="s">
        <v>4435</v>
      </c>
      <c r="E272" s="201" t="s">
        <v>4434</v>
      </c>
      <c r="F272" s="201" t="s">
        <v>3668</v>
      </c>
      <c r="G272" s="201" t="s">
        <v>123</v>
      </c>
      <c r="H272" s="201" t="s">
        <v>123</v>
      </c>
      <c r="I272" s="201" t="s">
        <v>4434</v>
      </c>
      <c r="J272" s="215" t="s">
        <v>4436</v>
      </c>
      <c r="K272" s="215"/>
      <c r="L272" s="215"/>
      <c r="M272" s="215"/>
      <c r="N272" s="201"/>
      <c r="O272" s="201"/>
      <c r="P272" s="229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</row>
    <row r="273" ht="24.75" customHeight="1">
      <c r="A273" s="201" t="s">
        <v>4437</v>
      </c>
      <c r="B273" s="201" t="s">
        <v>3459</v>
      </c>
      <c r="C273" s="201" t="s">
        <v>4437</v>
      </c>
      <c r="D273" s="201" t="s">
        <v>122</v>
      </c>
      <c r="E273" s="201" t="s">
        <v>4437</v>
      </c>
      <c r="F273" s="201" t="s">
        <v>3668</v>
      </c>
      <c r="G273" s="201" t="s">
        <v>123</v>
      </c>
      <c r="H273" s="201" t="s">
        <v>123</v>
      </c>
      <c r="I273" s="201" t="s">
        <v>4437</v>
      </c>
      <c r="J273" s="215" t="s">
        <v>3829</v>
      </c>
      <c r="K273" s="215"/>
      <c r="L273" s="215"/>
      <c r="M273" s="215"/>
      <c r="N273" s="201"/>
      <c r="O273" s="201"/>
      <c r="P273" s="229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</row>
    <row r="274" ht="24.75" customHeight="1">
      <c r="A274" s="201" t="s">
        <v>4438</v>
      </c>
      <c r="B274" s="201" t="s">
        <v>3459</v>
      </c>
      <c r="C274" s="201" t="s">
        <v>4438</v>
      </c>
      <c r="D274" s="201" t="s">
        <v>122</v>
      </c>
      <c r="E274" s="201" t="s">
        <v>4438</v>
      </c>
      <c r="F274" s="201" t="s">
        <v>3729</v>
      </c>
      <c r="G274" s="201" t="s">
        <v>123</v>
      </c>
      <c r="H274" s="201">
        <v>16.0</v>
      </c>
      <c r="I274" s="201" t="s">
        <v>4438</v>
      </c>
      <c r="J274" s="215" t="s">
        <v>4439</v>
      </c>
      <c r="K274" s="215"/>
      <c r="L274" s="215"/>
      <c r="M274" s="215"/>
      <c r="N274" s="201"/>
      <c r="O274" s="201"/>
      <c r="P274" s="229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</row>
    <row r="275" ht="24.75" customHeight="1">
      <c r="A275" s="201" t="s">
        <v>4440</v>
      </c>
      <c r="B275" s="201" t="s">
        <v>3459</v>
      </c>
      <c r="C275" s="201" t="s">
        <v>4440</v>
      </c>
      <c r="D275" s="201" t="s">
        <v>122</v>
      </c>
      <c r="E275" s="201" t="s">
        <v>4440</v>
      </c>
      <c r="F275" s="201" t="s">
        <v>3668</v>
      </c>
      <c r="G275" s="201" t="s">
        <v>123</v>
      </c>
      <c r="H275" s="201" t="s">
        <v>123</v>
      </c>
      <c r="I275" s="201" t="s">
        <v>4440</v>
      </c>
      <c r="J275" s="215" t="s">
        <v>4441</v>
      </c>
      <c r="K275" s="215"/>
      <c r="L275" s="215"/>
      <c r="M275" s="215"/>
      <c r="N275" s="201"/>
      <c r="O275" s="201"/>
      <c r="P275" s="229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</row>
    <row r="276" ht="24.75" customHeight="1">
      <c r="A276" s="201" t="s">
        <v>4442</v>
      </c>
      <c r="B276" s="201" t="s">
        <v>3459</v>
      </c>
      <c r="C276" s="201" t="s">
        <v>4442</v>
      </c>
      <c r="D276" s="201" t="s">
        <v>4443</v>
      </c>
      <c r="E276" s="201" t="s">
        <v>4442</v>
      </c>
      <c r="F276" s="201" t="s">
        <v>3616</v>
      </c>
      <c r="G276" s="201" t="s">
        <v>123</v>
      </c>
      <c r="H276" s="201" t="s">
        <v>123</v>
      </c>
      <c r="I276" s="201" t="s">
        <v>4442</v>
      </c>
      <c r="J276" s="215" t="s">
        <v>4444</v>
      </c>
      <c r="K276" s="215"/>
      <c r="L276" s="215"/>
      <c r="M276" s="215"/>
      <c r="N276" s="201"/>
      <c r="O276" s="201"/>
      <c r="P276" s="229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</row>
    <row r="277" ht="24.75" customHeight="1">
      <c r="A277" s="201" t="s">
        <v>4445</v>
      </c>
      <c r="B277" s="201" t="s">
        <v>3459</v>
      </c>
      <c r="C277" s="201" t="s">
        <v>4445</v>
      </c>
      <c r="D277" s="201" t="s">
        <v>4446</v>
      </c>
      <c r="E277" s="201" t="s">
        <v>4445</v>
      </c>
      <c r="F277" s="201" t="s">
        <v>4214</v>
      </c>
      <c r="G277" s="201" t="s">
        <v>123</v>
      </c>
      <c r="H277" s="201" t="s">
        <v>123</v>
      </c>
      <c r="I277" s="201" t="s">
        <v>4445</v>
      </c>
      <c r="J277" s="215" t="s">
        <v>3619</v>
      </c>
      <c r="K277" s="215"/>
      <c r="L277" s="215"/>
      <c r="M277" s="215"/>
      <c r="N277" s="201"/>
      <c r="O277" s="201"/>
      <c r="P277" s="229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</row>
    <row r="278" ht="24.75" customHeight="1">
      <c r="A278" s="201" t="s">
        <v>4447</v>
      </c>
      <c r="B278" s="201" t="s">
        <v>3459</v>
      </c>
      <c r="C278" s="201" t="s">
        <v>4447</v>
      </c>
      <c r="D278" s="201" t="s">
        <v>4448</v>
      </c>
      <c r="E278" s="201" t="s">
        <v>4447</v>
      </c>
      <c r="F278" s="201" t="s">
        <v>3472</v>
      </c>
      <c r="G278" s="201" t="s">
        <v>123</v>
      </c>
      <c r="H278" s="201" t="s">
        <v>123</v>
      </c>
      <c r="I278" s="201" t="s">
        <v>4447</v>
      </c>
      <c r="J278" s="215" t="s">
        <v>967</v>
      </c>
      <c r="K278" s="215"/>
      <c r="L278" s="215"/>
      <c r="M278" s="215"/>
      <c r="N278" s="201"/>
      <c r="O278" s="201"/>
      <c r="P278" s="229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</row>
    <row r="279" ht="24.75" customHeight="1">
      <c r="A279" s="201" t="s">
        <v>4449</v>
      </c>
      <c r="B279" s="201" t="s">
        <v>3459</v>
      </c>
      <c r="C279" s="201" t="s">
        <v>4449</v>
      </c>
      <c r="D279" s="201" t="s">
        <v>122</v>
      </c>
      <c r="E279" s="201" t="s">
        <v>4449</v>
      </c>
      <c r="F279" s="201" t="s">
        <v>3472</v>
      </c>
      <c r="G279" s="201" t="s">
        <v>123</v>
      </c>
      <c r="H279" s="201" t="s">
        <v>123</v>
      </c>
      <c r="I279" s="201" t="s">
        <v>4449</v>
      </c>
      <c r="J279" s="215" t="s">
        <v>967</v>
      </c>
      <c r="K279" s="215"/>
      <c r="L279" s="215"/>
      <c r="M279" s="215"/>
      <c r="N279" s="201"/>
      <c r="O279" s="201"/>
      <c r="P279" s="229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</row>
    <row r="280" ht="24.75" customHeight="1">
      <c r="A280" s="201" t="s">
        <v>4450</v>
      </c>
      <c r="B280" s="201" t="s">
        <v>3459</v>
      </c>
      <c r="C280" s="201" t="s">
        <v>4450</v>
      </c>
      <c r="D280" s="201" t="s">
        <v>122</v>
      </c>
      <c r="E280" s="201" t="s">
        <v>4450</v>
      </c>
      <c r="F280" s="201" t="s">
        <v>3662</v>
      </c>
      <c r="G280" s="201" t="s">
        <v>123</v>
      </c>
      <c r="H280" s="201" t="s">
        <v>123</v>
      </c>
      <c r="I280" s="201" t="s">
        <v>4450</v>
      </c>
      <c r="J280" s="215" t="s">
        <v>967</v>
      </c>
      <c r="K280" s="215"/>
      <c r="L280" s="215"/>
      <c r="M280" s="215"/>
      <c r="N280" s="201"/>
      <c r="O280" s="201"/>
      <c r="P280" s="229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</row>
    <row r="281" ht="24.75" customHeight="1">
      <c r="A281" s="201" t="s">
        <v>4451</v>
      </c>
      <c r="B281" s="201" t="s">
        <v>3459</v>
      </c>
      <c r="C281" s="201" t="s">
        <v>4451</v>
      </c>
      <c r="D281" s="201" t="s">
        <v>4452</v>
      </c>
      <c r="E281" s="201" t="s">
        <v>4451</v>
      </c>
      <c r="F281" s="201" t="s">
        <v>3662</v>
      </c>
      <c r="G281" s="201" t="s">
        <v>123</v>
      </c>
      <c r="H281" s="201" t="s">
        <v>123</v>
      </c>
      <c r="I281" s="201" t="s">
        <v>4451</v>
      </c>
      <c r="J281" s="215" t="s">
        <v>4453</v>
      </c>
      <c r="K281" s="215"/>
      <c r="L281" s="215"/>
      <c r="M281" s="215"/>
      <c r="N281" s="201"/>
      <c r="O281" s="201"/>
      <c r="P281" s="229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</row>
    <row r="282" ht="24.75" customHeight="1">
      <c r="A282" s="201" t="s">
        <v>4454</v>
      </c>
      <c r="B282" s="201" t="s">
        <v>3459</v>
      </c>
      <c r="C282" s="201" t="s">
        <v>4454</v>
      </c>
      <c r="D282" s="201" t="s">
        <v>4455</v>
      </c>
      <c r="E282" s="201" t="s">
        <v>4454</v>
      </c>
      <c r="F282" s="201" t="s">
        <v>3662</v>
      </c>
      <c r="G282" s="201" t="s">
        <v>123</v>
      </c>
      <c r="H282" s="201" t="s">
        <v>123</v>
      </c>
      <c r="I282" s="201" t="s">
        <v>4454</v>
      </c>
      <c r="J282" s="215" t="s">
        <v>4456</v>
      </c>
      <c r="K282" s="215"/>
      <c r="L282" s="215"/>
      <c r="M282" s="215"/>
      <c r="N282" s="201"/>
      <c r="O282" s="201"/>
      <c r="P282" s="229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</row>
    <row r="283" ht="24.75" customHeight="1">
      <c r="A283" s="201" t="s">
        <v>4457</v>
      </c>
      <c r="B283" s="201" t="s">
        <v>3459</v>
      </c>
      <c r="C283" s="201" t="s">
        <v>4457</v>
      </c>
      <c r="D283" s="201" t="s">
        <v>122</v>
      </c>
      <c r="E283" s="201" t="s">
        <v>4457</v>
      </c>
      <c r="F283" s="201">
        <v>66.0</v>
      </c>
      <c r="G283" s="201" t="s">
        <v>123</v>
      </c>
      <c r="H283" s="201" t="s">
        <v>123</v>
      </c>
      <c r="I283" s="201" t="s">
        <v>4457</v>
      </c>
      <c r="J283" s="215" t="s">
        <v>4458</v>
      </c>
      <c r="K283" s="215"/>
      <c r="L283" s="215"/>
      <c r="M283" s="215"/>
      <c r="N283" s="201"/>
      <c r="O283" s="201"/>
      <c r="P283" s="229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</row>
    <row r="284" ht="24.75" customHeight="1">
      <c r="A284" s="201" t="s">
        <v>4459</v>
      </c>
      <c r="B284" s="201" t="s">
        <v>3459</v>
      </c>
      <c r="C284" s="201" t="s">
        <v>4459</v>
      </c>
      <c r="D284" s="201" t="s">
        <v>122</v>
      </c>
      <c r="E284" s="201" t="s">
        <v>4459</v>
      </c>
      <c r="F284" s="201" t="s">
        <v>3668</v>
      </c>
      <c r="G284" s="201" t="s">
        <v>123</v>
      </c>
      <c r="H284" s="201" t="s">
        <v>123</v>
      </c>
      <c r="I284" s="201" t="s">
        <v>4459</v>
      </c>
      <c r="J284" s="215" t="s">
        <v>4460</v>
      </c>
      <c r="K284" s="215"/>
      <c r="L284" s="215"/>
      <c r="M284" s="215"/>
      <c r="N284" s="201"/>
      <c r="O284" s="201"/>
      <c r="P284" s="229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</row>
    <row r="285" ht="24.75" customHeight="1">
      <c r="A285" s="201" t="s">
        <v>4461</v>
      </c>
      <c r="B285" s="201" t="s">
        <v>3459</v>
      </c>
      <c r="C285" s="201" t="s">
        <v>4461</v>
      </c>
      <c r="D285" s="201" t="s">
        <v>4462</v>
      </c>
      <c r="E285" s="201" t="s">
        <v>4461</v>
      </c>
      <c r="F285" s="201" t="s">
        <v>3662</v>
      </c>
      <c r="G285" s="201" t="s">
        <v>123</v>
      </c>
      <c r="H285" s="201" t="s">
        <v>123</v>
      </c>
      <c r="I285" s="201" t="s">
        <v>4461</v>
      </c>
      <c r="J285" s="215" t="s">
        <v>3619</v>
      </c>
      <c r="K285" s="215"/>
      <c r="L285" s="215"/>
      <c r="M285" s="215"/>
      <c r="N285" s="201"/>
      <c r="O285" s="201"/>
      <c r="P285" s="229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</row>
    <row r="286" ht="24.75" customHeight="1">
      <c r="A286" s="215" t="s">
        <v>558</v>
      </c>
      <c r="B286" s="201" t="s">
        <v>3459</v>
      </c>
      <c r="C286" s="215" t="s">
        <v>558</v>
      </c>
      <c r="D286" s="201" t="s">
        <v>4463</v>
      </c>
      <c r="E286" s="215" t="s">
        <v>558</v>
      </c>
      <c r="F286" s="201">
        <v>1.76</v>
      </c>
      <c r="G286" s="201" t="s">
        <v>123</v>
      </c>
      <c r="H286" s="201" t="s">
        <v>123</v>
      </c>
      <c r="I286" s="215" t="s">
        <v>558</v>
      </c>
      <c r="J286" s="215" t="s">
        <v>4464</v>
      </c>
      <c r="K286" s="215" t="s">
        <v>3755</v>
      </c>
      <c r="L286" s="215" t="s">
        <v>4163</v>
      </c>
      <c r="M286" s="215" t="s">
        <v>4164</v>
      </c>
      <c r="N286" s="215" t="s">
        <v>4165</v>
      </c>
      <c r="O286" s="215" t="s">
        <v>4166</v>
      </c>
      <c r="P286" s="230" t="s">
        <v>4465</v>
      </c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</row>
    <row r="287" ht="24.75" customHeight="1">
      <c r="A287" s="201" t="s">
        <v>4466</v>
      </c>
      <c r="B287" s="201" t="s">
        <v>3459</v>
      </c>
      <c r="C287" s="201" t="s">
        <v>4466</v>
      </c>
      <c r="D287" s="201" t="s">
        <v>4467</v>
      </c>
      <c r="E287" s="201" t="s">
        <v>4466</v>
      </c>
      <c r="F287" s="201" t="s">
        <v>3472</v>
      </c>
      <c r="G287" s="201" t="s">
        <v>123</v>
      </c>
      <c r="H287" s="201" t="s">
        <v>123</v>
      </c>
      <c r="I287" s="201" t="s">
        <v>4466</v>
      </c>
      <c r="J287" s="215" t="s">
        <v>1199</v>
      </c>
      <c r="K287" s="215"/>
      <c r="L287" s="215"/>
      <c r="M287" s="215"/>
      <c r="N287" s="201"/>
      <c r="O287" s="201"/>
      <c r="P287" s="229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</row>
    <row r="288" ht="24.75" customHeight="1">
      <c r="A288" s="215" t="s">
        <v>69</v>
      </c>
      <c r="B288" s="215" t="s">
        <v>4468</v>
      </c>
      <c r="C288" s="215" t="s">
        <v>69</v>
      </c>
      <c r="D288" s="201" t="s">
        <v>122</v>
      </c>
      <c r="E288" s="215" t="s">
        <v>69</v>
      </c>
      <c r="F288" s="201">
        <v>8.88</v>
      </c>
      <c r="G288" s="201">
        <v>17.6</v>
      </c>
      <c r="H288" s="201">
        <v>78.0</v>
      </c>
      <c r="I288" s="215" t="s">
        <v>69</v>
      </c>
      <c r="J288" s="215" t="s">
        <v>4469</v>
      </c>
      <c r="K288" s="215" t="s">
        <v>4049</v>
      </c>
      <c r="L288" s="215" t="s">
        <v>4470</v>
      </c>
      <c r="M288" s="215" t="s">
        <v>4302</v>
      </c>
      <c r="N288" s="215" t="s">
        <v>4179</v>
      </c>
      <c r="O288" s="215" t="s">
        <v>4471</v>
      </c>
      <c r="P288" s="230" t="s">
        <v>4472</v>
      </c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</row>
    <row r="289" ht="24.75" customHeight="1">
      <c r="A289" s="201" t="s">
        <v>4473</v>
      </c>
      <c r="B289" s="201" t="s">
        <v>3459</v>
      </c>
      <c r="C289" s="201" t="s">
        <v>4473</v>
      </c>
      <c r="D289" s="201" t="s">
        <v>4474</v>
      </c>
      <c r="E289" s="201" t="s">
        <v>4473</v>
      </c>
      <c r="F289" s="201" t="s">
        <v>4215</v>
      </c>
      <c r="G289" s="201" t="s">
        <v>123</v>
      </c>
      <c r="H289" s="201" t="s">
        <v>123</v>
      </c>
      <c r="I289" s="201" t="s">
        <v>4473</v>
      </c>
      <c r="J289" s="215" t="s">
        <v>3632</v>
      </c>
      <c r="K289" s="215"/>
      <c r="L289" s="215"/>
      <c r="M289" s="215"/>
      <c r="N289" s="201"/>
      <c r="O289" s="201"/>
      <c r="P289" s="229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</row>
    <row r="290" ht="24.75" customHeight="1">
      <c r="A290" s="215" t="s">
        <v>3106</v>
      </c>
      <c r="B290" s="201" t="s">
        <v>3459</v>
      </c>
      <c r="C290" s="215" t="s">
        <v>3106</v>
      </c>
      <c r="D290" s="201" t="s">
        <v>122</v>
      </c>
      <c r="E290" s="215" t="s">
        <v>3106</v>
      </c>
      <c r="F290" s="201" t="s">
        <v>123</v>
      </c>
      <c r="G290" s="201">
        <v>880.0</v>
      </c>
      <c r="H290" s="201" t="s">
        <v>123</v>
      </c>
      <c r="I290" s="215" t="s">
        <v>3106</v>
      </c>
      <c r="J290" s="215" t="s">
        <v>967</v>
      </c>
      <c r="K290" s="215" t="s">
        <v>4049</v>
      </c>
      <c r="L290" s="215" t="s">
        <v>4475</v>
      </c>
      <c r="M290" s="215" t="s">
        <v>3897</v>
      </c>
      <c r="N290" s="215" t="s">
        <v>4179</v>
      </c>
      <c r="O290" s="215" t="s">
        <v>4476</v>
      </c>
      <c r="P290" s="230" t="s">
        <v>4477</v>
      </c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</row>
    <row r="291" ht="24.75" customHeight="1">
      <c r="A291" s="201" t="s">
        <v>3122</v>
      </c>
      <c r="B291" s="201" t="s">
        <v>3459</v>
      </c>
      <c r="C291" s="201" t="s">
        <v>3122</v>
      </c>
      <c r="D291" s="201" t="s">
        <v>122</v>
      </c>
      <c r="E291" s="201" t="s">
        <v>3122</v>
      </c>
      <c r="F291" s="201" t="s">
        <v>3954</v>
      </c>
      <c r="G291" s="201" t="s">
        <v>4083</v>
      </c>
      <c r="H291" s="201" t="s">
        <v>123</v>
      </c>
      <c r="I291" s="201" t="s">
        <v>3122</v>
      </c>
      <c r="J291" s="215" t="s">
        <v>4478</v>
      </c>
      <c r="K291" s="215"/>
      <c r="L291" s="215"/>
      <c r="M291" s="215"/>
      <c r="N291" s="201"/>
      <c r="O291" s="201"/>
      <c r="P291" s="229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</row>
    <row r="292" ht="24.75" customHeight="1">
      <c r="A292" s="201" t="s">
        <v>4479</v>
      </c>
      <c r="B292" s="201" t="s">
        <v>3459</v>
      </c>
      <c r="C292" s="201" t="s">
        <v>4479</v>
      </c>
      <c r="D292" s="201" t="s">
        <v>122</v>
      </c>
      <c r="E292" s="201" t="s">
        <v>4479</v>
      </c>
      <c r="F292" s="201" t="s">
        <v>3729</v>
      </c>
      <c r="G292" s="201" t="s">
        <v>123</v>
      </c>
      <c r="H292" s="201" t="s">
        <v>123</v>
      </c>
      <c r="I292" s="201" t="s">
        <v>4479</v>
      </c>
      <c r="J292" s="215" t="s">
        <v>4480</v>
      </c>
      <c r="K292" s="215"/>
      <c r="L292" s="215"/>
      <c r="M292" s="215"/>
      <c r="N292" s="201"/>
      <c r="O292" s="201"/>
      <c r="P292" s="229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</row>
    <row r="293" ht="24.75" customHeight="1">
      <c r="A293" s="201" t="s">
        <v>4481</v>
      </c>
      <c r="B293" s="201" t="s">
        <v>3459</v>
      </c>
      <c r="C293" s="201" t="s">
        <v>4481</v>
      </c>
      <c r="D293" s="201" t="s">
        <v>122</v>
      </c>
      <c r="E293" s="201" t="s">
        <v>4481</v>
      </c>
      <c r="F293" s="201" t="s">
        <v>3954</v>
      </c>
      <c r="G293" s="201" t="s">
        <v>123</v>
      </c>
      <c r="H293" s="201" t="s">
        <v>123</v>
      </c>
      <c r="I293" s="201" t="s">
        <v>4481</v>
      </c>
      <c r="J293" s="215" t="s">
        <v>4482</v>
      </c>
      <c r="K293" s="215"/>
      <c r="L293" s="215"/>
      <c r="M293" s="215"/>
      <c r="N293" s="201"/>
      <c r="O293" s="201"/>
      <c r="P293" s="229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</row>
    <row r="294" ht="24.75" customHeight="1">
      <c r="A294" s="201" t="s">
        <v>4483</v>
      </c>
      <c r="B294" s="201" t="s">
        <v>3459</v>
      </c>
      <c r="C294" s="201" t="s">
        <v>4483</v>
      </c>
      <c r="D294" s="201" t="s">
        <v>122</v>
      </c>
      <c r="E294" s="201" t="s">
        <v>4483</v>
      </c>
      <c r="F294" s="201" t="s">
        <v>4283</v>
      </c>
      <c r="G294" s="201" t="s">
        <v>123</v>
      </c>
      <c r="H294" s="201" t="s">
        <v>123</v>
      </c>
      <c r="I294" s="201" t="s">
        <v>4483</v>
      </c>
      <c r="J294" s="215" t="s">
        <v>4284</v>
      </c>
      <c r="K294" s="215"/>
      <c r="L294" s="215"/>
      <c r="M294" s="215"/>
      <c r="N294" s="201"/>
      <c r="O294" s="201"/>
      <c r="P294" s="229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</row>
    <row r="295" ht="24.75" customHeight="1">
      <c r="A295" s="215" t="s">
        <v>4484</v>
      </c>
      <c r="B295" s="201" t="s">
        <v>3459</v>
      </c>
      <c r="C295" s="215" t="s">
        <v>4484</v>
      </c>
      <c r="D295" s="201" t="s">
        <v>122</v>
      </c>
      <c r="E295" s="215" t="s">
        <v>4484</v>
      </c>
      <c r="F295" s="201" t="s">
        <v>4214</v>
      </c>
      <c r="G295" s="201" t="s">
        <v>4215</v>
      </c>
      <c r="H295" s="201" t="s">
        <v>123</v>
      </c>
      <c r="I295" s="215" t="s">
        <v>4484</v>
      </c>
      <c r="J295" s="215" t="s">
        <v>1199</v>
      </c>
      <c r="K295" s="215"/>
      <c r="L295" s="215"/>
      <c r="M295" s="215"/>
      <c r="N295" s="201"/>
      <c r="O295" s="201"/>
      <c r="P295" s="229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</row>
    <row r="296" ht="24.75" customHeight="1">
      <c r="A296" s="201" t="s">
        <v>4485</v>
      </c>
      <c r="B296" s="201" t="s">
        <v>3459</v>
      </c>
      <c r="C296" s="201" t="s">
        <v>4485</v>
      </c>
      <c r="D296" s="201" t="s">
        <v>122</v>
      </c>
      <c r="E296" s="201" t="s">
        <v>4485</v>
      </c>
      <c r="F296" s="201" t="s">
        <v>3579</v>
      </c>
      <c r="G296" s="201" t="s">
        <v>3472</v>
      </c>
      <c r="H296" s="201">
        <v>4.0</v>
      </c>
      <c r="I296" s="201" t="s">
        <v>4485</v>
      </c>
      <c r="J296" s="215" t="s">
        <v>4486</v>
      </c>
      <c r="K296" s="215"/>
      <c r="L296" s="215"/>
      <c r="M296" s="215"/>
      <c r="N296" s="201"/>
      <c r="O296" s="201"/>
      <c r="P296" s="229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</row>
    <row r="297" ht="24.75" customHeight="1">
      <c r="A297" s="201" t="s">
        <v>4487</v>
      </c>
      <c r="B297" s="201" t="s">
        <v>3459</v>
      </c>
      <c r="C297" s="201" t="s">
        <v>4487</v>
      </c>
      <c r="D297" s="201" t="s">
        <v>122</v>
      </c>
      <c r="E297" s="201" t="s">
        <v>4487</v>
      </c>
      <c r="F297" s="201" t="s">
        <v>3972</v>
      </c>
      <c r="G297" s="201" t="s">
        <v>123</v>
      </c>
      <c r="H297" s="201" t="s">
        <v>123</v>
      </c>
      <c r="I297" s="201" t="s">
        <v>4487</v>
      </c>
      <c r="J297" s="215" t="s">
        <v>4488</v>
      </c>
      <c r="K297" s="215"/>
      <c r="L297" s="215"/>
      <c r="M297" s="215"/>
      <c r="N297" s="201"/>
      <c r="O297" s="201"/>
      <c r="P297" s="229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</row>
    <row r="298" ht="24.75" customHeight="1">
      <c r="A298" s="201" t="s">
        <v>4489</v>
      </c>
      <c r="B298" s="201" t="s">
        <v>3459</v>
      </c>
      <c r="C298" s="201" t="s">
        <v>4489</v>
      </c>
      <c r="D298" s="201" t="s">
        <v>122</v>
      </c>
      <c r="E298" s="201" t="s">
        <v>4489</v>
      </c>
      <c r="F298" s="201">
        <v>22.0</v>
      </c>
      <c r="G298" s="201" t="s">
        <v>123</v>
      </c>
      <c r="H298" s="201" t="s">
        <v>123</v>
      </c>
      <c r="I298" s="201" t="s">
        <v>4489</v>
      </c>
      <c r="J298" s="215" t="s">
        <v>4490</v>
      </c>
      <c r="K298" s="215"/>
      <c r="L298" s="215"/>
      <c r="M298" s="215"/>
      <c r="N298" s="201"/>
      <c r="O298" s="201"/>
      <c r="P298" s="229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</row>
    <row r="299" ht="24.75" customHeight="1">
      <c r="A299" s="201" t="s">
        <v>4491</v>
      </c>
      <c r="B299" s="201" t="s">
        <v>3459</v>
      </c>
      <c r="C299" s="201" t="s">
        <v>4491</v>
      </c>
      <c r="D299" s="201" t="s">
        <v>122</v>
      </c>
      <c r="E299" s="201" t="s">
        <v>4491</v>
      </c>
      <c r="F299" s="201">
        <v>352.0</v>
      </c>
      <c r="G299" s="201">
        <v>440.0</v>
      </c>
      <c r="H299" s="201">
        <v>310.0</v>
      </c>
      <c r="I299" s="201" t="s">
        <v>4491</v>
      </c>
      <c r="J299" s="215" t="s">
        <v>3526</v>
      </c>
      <c r="K299" s="215"/>
      <c r="L299" s="215"/>
      <c r="M299" s="215"/>
      <c r="N299" s="201"/>
      <c r="O299" s="201"/>
      <c r="P299" s="229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</row>
    <row r="300" ht="24.75" customHeight="1">
      <c r="A300" s="201" t="s">
        <v>4492</v>
      </c>
      <c r="B300" s="201" t="s">
        <v>3459</v>
      </c>
      <c r="C300" s="201" t="s">
        <v>4492</v>
      </c>
      <c r="D300" s="201" t="s">
        <v>122</v>
      </c>
      <c r="E300" s="201" t="s">
        <v>4492</v>
      </c>
      <c r="F300" s="201" t="s">
        <v>3729</v>
      </c>
      <c r="G300" s="201" t="s">
        <v>3616</v>
      </c>
      <c r="H300" s="201" t="s">
        <v>123</v>
      </c>
      <c r="I300" s="201" t="s">
        <v>4492</v>
      </c>
      <c r="J300" s="215" t="s">
        <v>4486</v>
      </c>
      <c r="K300" s="215"/>
      <c r="L300" s="215"/>
      <c r="M300" s="215"/>
      <c r="N300" s="201"/>
      <c r="O300" s="201"/>
      <c r="P300" s="229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</row>
    <row r="301" ht="24.75" customHeight="1">
      <c r="A301" s="201" t="s">
        <v>4493</v>
      </c>
      <c r="B301" s="201" t="s">
        <v>3459</v>
      </c>
      <c r="C301" s="201" t="s">
        <v>4493</v>
      </c>
      <c r="D301" s="201" t="s">
        <v>122</v>
      </c>
      <c r="E301" s="201" t="s">
        <v>4493</v>
      </c>
      <c r="F301" s="201" t="s">
        <v>3662</v>
      </c>
      <c r="G301" s="201" t="s">
        <v>123</v>
      </c>
      <c r="H301" s="201" t="s">
        <v>123</v>
      </c>
      <c r="I301" s="201" t="s">
        <v>4493</v>
      </c>
      <c r="J301" s="215" t="s">
        <v>4494</v>
      </c>
      <c r="K301" s="215"/>
      <c r="L301" s="215"/>
      <c r="M301" s="215"/>
      <c r="N301" s="201"/>
      <c r="O301" s="201"/>
      <c r="P301" s="229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</row>
    <row r="302" ht="24.75" customHeight="1">
      <c r="A302" s="201" t="s">
        <v>4495</v>
      </c>
      <c r="B302" s="201" t="s">
        <v>3459</v>
      </c>
      <c r="C302" s="201" t="s">
        <v>4495</v>
      </c>
      <c r="D302" s="201" t="s">
        <v>122</v>
      </c>
      <c r="E302" s="201" t="s">
        <v>4495</v>
      </c>
      <c r="F302" s="201">
        <v>44.0</v>
      </c>
      <c r="G302" s="201">
        <v>66.0</v>
      </c>
      <c r="H302" s="201" t="s">
        <v>123</v>
      </c>
      <c r="I302" s="201" t="s">
        <v>4495</v>
      </c>
      <c r="J302" s="215" t="s">
        <v>4150</v>
      </c>
      <c r="K302" s="215"/>
      <c r="L302" s="215"/>
      <c r="M302" s="215"/>
      <c r="N302" s="201"/>
      <c r="O302" s="201"/>
      <c r="P302" s="229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4.75" customHeight="1">
      <c r="A303" s="201" t="s">
        <v>4496</v>
      </c>
      <c r="B303" s="201" t="s">
        <v>3459</v>
      </c>
      <c r="C303" s="201" t="s">
        <v>4496</v>
      </c>
      <c r="D303" s="201" t="s">
        <v>122</v>
      </c>
      <c r="E303" s="201" t="s">
        <v>4496</v>
      </c>
      <c r="F303" s="201">
        <v>220.0</v>
      </c>
      <c r="G303" s="201" t="s">
        <v>4497</v>
      </c>
      <c r="H303" s="201" t="s">
        <v>123</v>
      </c>
      <c r="I303" s="201" t="s">
        <v>4496</v>
      </c>
      <c r="J303" s="215" t="s">
        <v>149</v>
      </c>
      <c r="K303" s="215"/>
      <c r="L303" s="215"/>
      <c r="M303" s="215"/>
      <c r="N303" s="201"/>
      <c r="O303" s="201"/>
      <c r="P303" s="229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4.75" customHeight="1">
      <c r="A304" s="215" t="s">
        <v>4498</v>
      </c>
      <c r="B304" s="201" t="s">
        <v>3459</v>
      </c>
      <c r="C304" s="215" t="s">
        <v>4498</v>
      </c>
      <c r="D304" s="201" t="s">
        <v>4499</v>
      </c>
      <c r="E304" s="215" t="s">
        <v>4498</v>
      </c>
      <c r="F304" s="201">
        <v>22.0</v>
      </c>
      <c r="G304" s="201" t="s">
        <v>123</v>
      </c>
      <c r="H304" s="201" t="s">
        <v>123</v>
      </c>
      <c r="I304" s="215" t="s">
        <v>4498</v>
      </c>
      <c r="J304" s="215" t="s">
        <v>4424</v>
      </c>
      <c r="K304" s="215"/>
      <c r="L304" s="215"/>
      <c r="M304" s="215"/>
      <c r="N304" s="201"/>
      <c r="O304" s="201"/>
      <c r="P304" s="229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</row>
    <row r="305" ht="24.75" customHeight="1">
      <c r="A305" s="201" t="s">
        <v>4500</v>
      </c>
      <c r="B305" s="201" t="s">
        <v>3459</v>
      </c>
      <c r="C305" s="201" t="s">
        <v>4500</v>
      </c>
      <c r="D305" s="201" t="s">
        <v>122</v>
      </c>
      <c r="E305" s="201" t="s">
        <v>4500</v>
      </c>
      <c r="F305" s="201" t="s">
        <v>3501</v>
      </c>
      <c r="G305" s="201" t="s">
        <v>123</v>
      </c>
      <c r="H305" s="201" t="s">
        <v>123</v>
      </c>
      <c r="I305" s="201" t="s">
        <v>4500</v>
      </c>
      <c r="J305" s="215" t="s">
        <v>4501</v>
      </c>
      <c r="K305" s="215"/>
      <c r="L305" s="215"/>
      <c r="M305" s="215"/>
      <c r="N305" s="201"/>
      <c r="O305" s="201"/>
      <c r="P305" s="229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</row>
    <row r="306" ht="24.75" customHeight="1">
      <c r="A306" s="201" t="s">
        <v>4502</v>
      </c>
      <c r="B306" s="201" t="s">
        <v>3459</v>
      </c>
      <c r="C306" s="201" t="s">
        <v>4502</v>
      </c>
      <c r="D306" s="201" t="s">
        <v>122</v>
      </c>
      <c r="E306" s="201" t="s">
        <v>4502</v>
      </c>
      <c r="F306" s="201">
        <v>44.0</v>
      </c>
      <c r="G306" s="201" t="s">
        <v>123</v>
      </c>
      <c r="H306" s="201" t="s">
        <v>123</v>
      </c>
      <c r="I306" s="201" t="s">
        <v>4502</v>
      </c>
      <c r="J306" s="215" t="s">
        <v>4503</v>
      </c>
      <c r="K306" s="215"/>
      <c r="L306" s="215"/>
      <c r="M306" s="215"/>
      <c r="N306" s="201"/>
      <c r="O306" s="201"/>
      <c r="P306" s="229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ht="24.75" customHeight="1">
      <c r="A307" s="201" t="s">
        <v>4504</v>
      </c>
      <c r="B307" s="201" t="s">
        <v>3459</v>
      </c>
      <c r="C307" s="201" t="s">
        <v>4504</v>
      </c>
      <c r="D307" s="201" t="s">
        <v>123</v>
      </c>
      <c r="E307" s="201" t="s">
        <v>4504</v>
      </c>
      <c r="F307" s="201" t="s">
        <v>123</v>
      </c>
      <c r="G307" s="201" t="s">
        <v>123</v>
      </c>
      <c r="H307" s="201" t="s">
        <v>123</v>
      </c>
      <c r="I307" s="201" t="s">
        <v>4504</v>
      </c>
      <c r="J307" s="215" t="s">
        <v>4284</v>
      </c>
      <c r="K307" s="215"/>
      <c r="L307" s="215"/>
      <c r="M307" s="215"/>
      <c r="N307" s="201"/>
      <c r="O307" s="201"/>
      <c r="P307" s="229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ht="24.75" customHeight="1">
      <c r="A308" s="215" t="s">
        <v>4505</v>
      </c>
      <c r="B308" s="201" t="s">
        <v>3459</v>
      </c>
      <c r="C308" s="215" t="s">
        <v>4505</v>
      </c>
      <c r="D308" s="201" t="s">
        <v>122</v>
      </c>
      <c r="E308" s="215" t="s">
        <v>4505</v>
      </c>
      <c r="F308" s="201">
        <v>88.0</v>
      </c>
      <c r="G308" s="201">
        <v>132.0</v>
      </c>
      <c r="H308" s="201" t="s">
        <v>123</v>
      </c>
      <c r="I308" s="215" t="s">
        <v>4505</v>
      </c>
      <c r="J308" s="215" t="s">
        <v>3520</v>
      </c>
      <c r="K308" s="215"/>
      <c r="L308" s="215"/>
      <c r="M308" s="215"/>
      <c r="N308" s="201"/>
      <c r="O308" s="201"/>
      <c r="P308" s="229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</row>
    <row r="309" ht="24.75" customHeight="1">
      <c r="A309" s="215" t="s">
        <v>3264</v>
      </c>
      <c r="B309" s="201" t="s">
        <v>3459</v>
      </c>
      <c r="C309" s="215" t="s">
        <v>3264</v>
      </c>
      <c r="D309" s="201" t="s">
        <v>122</v>
      </c>
      <c r="E309" s="215" t="s">
        <v>3264</v>
      </c>
      <c r="F309" s="201" t="s">
        <v>3472</v>
      </c>
      <c r="G309" s="201" t="s">
        <v>123</v>
      </c>
      <c r="H309" s="201" t="s">
        <v>123</v>
      </c>
      <c r="I309" s="215" t="s">
        <v>3264</v>
      </c>
      <c r="J309" s="215" t="s">
        <v>4506</v>
      </c>
      <c r="K309" s="215"/>
      <c r="L309" s="215"/>
      <c r="M309" s="215"/>
      <c r="N309" s="201"/>
      <c r="O309" s="201"/>
      <c r="P309" s="229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</row>
    <row r="310" ht="24.75" customHeight="1">
      <c r="A310" s="201" t="s">
        <v>4507</v>
      </c>
      <c r="B310" s="201" t="s">
        <v>3459</v>
      </c>
      <c r="C310" s="201" t="s">
        <v>4507</v>
      </c>
      <c r="D310" s="201" t="s">
        <v>122</v>
      </c>
      <c r="E310" s="201" t="s">
        <v>4507</v>
      </c>
      <c r="F310" s="201" t="s">
        <v>3472</v>
      </c>
      <c r="G310" s="201" t="s">
        <v>123</v>
      </c>
      <c r="H310" s="201" t="s">
        <v>123</v>
      </c>
      <c r="I310" s="201" t="s">
        <v>4507</v>
      </c>
      <c r="J310" s="215" t="s">
        <v>4508</v>
      </c>
      <c r="K310" s="215"/>
      <c r="L310" s="215"/>
      <c r="M310" s="215"/>
      <c r="N310" s="201"/>
      <c r="O310" s="201"/>
      <c r="P310" s="229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</row>
    <row r="311" ht="24.75" customHeight="1">
      <c r="A311" s="201" t="s">
        <v>4509</v>
      </c>
      <c r="B311" s="201" t="s">
        <v>3459</v>
      </c>
      <c r="C311" s="201" t="s">
        <v>4509</v>
      </c>
      <c r="D311" s="201" t="s">
        <v>122</v>
      </c>
      <c r="E311" s="201" t="s">
        <v>4509</v>
      </c>
      <c r="F311" s="201">
        <v>44.0</v>
      </c>
      <c r="G311" s="201">
        <v>66.0</v>
      </c>
      <c r="H311" s="201" t="s">
        <v>123</v>
      </c>
      <c r="I311" s="201" t="s">
        <v>4509</v>
      </c>
      <c r="J311" s="215" t="s">
        <v>4510</v>
      </c>
      <c r="K311" s="215"/>
      <c r="L311" s="215"/>
      <c r="M311" s="215"/>
      <c r="N311" s="201"/>
      <c r="O311" s="201"/>
      <c r="P311" s="229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</row>
    <row r="312" ht="24.75" customHeight="1">
      <c r="A312" s="201" t="s">
        <v>4511</v>
      </c>
      <c r="B312" s="201" t="s">
        <v>3459</v>
      </c>
      <c r="C312" s="201" t="s">
        <v>4511</v>
      </c>
      <c r="D312" s="201" t="s">
        <v>122</v>
      </c>
      <c r="E312" s="201" t="s">
        <v>4511</v>
      </c>
      <c r="F312" s="201" t="s">
        <v>3668</v>
      </c>
      <c r="G312" s="201" t="s">
        <v>123</v>
      </c>
      <c r="H312" s="201" t="s">
        <v>123</v>
      </c>
      <c r="I312" s="201" t="s">
        <v>4511</v>
      </c>
      <c r="J312" s="215" t="s">
        <v>3865</v>
      </c>
      <c r="K312" s="215"/>
      <c r="L312" s="215"/>
      <c r="M312" s="215"/>
      <c r="N312" s="201"/>
      <c r="O312" s="201"/>
      <c r="P312" s="229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</row>
    <row r="313" ht="24.75" customHeight="1">
      <c r="A313" s="201" t="s">
        <v>4512</v>
      </c>
      <c r="B313" s="201" t="s">
        <v>3459</v>
      </c>
      <c r="C313" s="201" t="s">
        <v>4512</v>
      </c>
      <c r="D313" s="201" t="s">
        <v>122</v>
      </c>
      <c r="E313" s="201" t="s">
        <v>4512</v>
      </c>
      <c r="F313" s="201" t="s">
        <v>3579</v>
      </c>
      <c r="G313" s="201" t="s">
        <v>123</v>
      </c>
      <c r="H313" s="201" t="s">
        <v>123</v>
      </c>
      <c r="I313" s="201" t="s">
        <v>4512</v>
      </c>
      <c r="J313" s="215" t="s">
        <v>4386</v>
      </c>
      <c r="K313" s="215"/>
      <c r="L313" s="215"/>
      <c r="M313" s="215"/>
      <c r="N313" s="201"/>
      <c r="O313" s="201"/>
      <c r="P313" s="229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</row>
    <row r="314" ht="0.75" customHeight="1">
      <c r="A314" s="201" t="s">
        <v>4513</v>
      </c>
      <c r="B314" s="201" t="s">
        <v>3459</v>
      </c>
      <c r="C314" s="201" t="s">
        <v>4513</v>
      </c>
      <c r="D314" s="201" t="s">
        <v>122</v>
      </c>
      <c r="E314" s="201" t="s">
        <v>4513</v>
      </c>
      <c r="F314" s="201" t="s">
        <v>3579</v>
      </c>
      <c r="G314" s="201" t="s">
        <v>3560</v>
      </c>
      <c r="H314" s="201">
        <v>8.0</v>
      </c>
      <c r="I314" s="201" t="s">
        <v>4513</v>
      </c>
      <c r="J314" s="215" t="s">
        <v>967</v>
      </c>
      <c r="K314" s="215"/>
      <c r="L314" s="215"/>
      <c r="M314" s="215"/>
      <c r="N314" s="201"/>
      <c r="O314" s="201"/>
      <c r="P314" s="229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</row>
    <row r="315" ht="24.75" customHeight="1">
      <c r="A315" s="215" t="s">
        <v>73</v>
      </c>
      <c r="B315" s="215" t="s">
        <v>4300</v>
      </c>
      <c r="C315" s="215" t="s">
        <v>73</v>
      </c>
      <c r="D315" s="201" t="s">
        <v>122</v>
      </c>
      <c r="E315" s="215" t="s">
        <v>73</v>
      </c>
      <c r="F315" s="201">
        <v>17.6</v>
      </c>
      <c r="G315" s="201" t="s">
        <v>123</v>
      </c>
      <c r="H315" s="201">
        <v>78.0</v>
      </c>
      <c r="I315" s="215" t="s">
        <v>73</v>
      </c>
      <c r="J315" s="215" t="s">
        <v>4514</v>
      </c>
      <c r="K315" s="215" t="s">
        <v>4049</v>
      </c>
      <c r="L315" s="215" t="s">
        <v>4470</v>
      </c>
      <c r="M315" s="215" t="s">
        <v>4302</v>
      </c>
      <c r="N315" s="215" t="s">
        <v>4179</v>
      </c>
      <c r="O315" s="201" t="s">
        <v>4303</v>
      </c>
      <c r="P315" s="229" t="s">
        <v>4515</v>
      </c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</row>
    <row r="316" ht="24.75" customHeight="1">
      <c r="A316" s="201" t="s">
        <v>3461</v>
      </c>
      <c r="B316" s="201" t="s">
        <v>3459</v>
      </c>
      <c r="C316" s="201" t="s">
        <v>3461</v>
      </c>
      <c r="D316" s="201" t="s">
        <v>122</v>
      </c>
      <c r="E316" s="201" t="s">
        <v>3461</v>
      </c>
      <c r="F316" s="201">
        <v>176.0</v>
      </c>
      <c r="G316" s="201" t="s">
        <v>123</v>
      </c>
      <c r="H316" s="201" t="s">
        <v>123</v>
      </c>
      <c r="I316" s="201" t="s">
        <v>3461</v>
      </c>
      <c r="J316" s="215" t="s">
        <v>2894</v>
      </c>
      <c r="K316" s="215"/>
      <c r="L316" s="215"/>
      <c r="M316" s="215"/>
      <c r="N316" s="201"/>
      <c r="O316" s="201"/>
      <c r="P316" s="229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</row>
    <row r="317" ht="24.75" customHeight="1">
      <c r="A317" s="201" t="s">
        <v>4516</v>
      </c>
      <c r="B317" s="201" t="s">
        <v>3459</v>
      </c>
      <c r="C317" s="201" t="s">
        <v>4516</v>
      </c>
      <c r="D317" s="201" t="s">
        <v>122</v>
      </c>
      <c r="E317" s="201" t="s">
        <v>4516</v>
      </c>
      <c r="F317" s="201" t="s">
        <v>123</v>
      </c>
      <c r="G317" s="201" t="s">
        <v>3729</v>
      </c>
      <c r="H317" s="201" t="s">
        <v>123</v>
      </c>
      <c r="I317" s="201" t="s">
        <v>4516</v>
      </c>
      <c r="J317" s="215" t="s">
        <v>3912</v>
      </c>
      <c r="K317" s="215"/>
      <c r="L317" s="215"/>
      <c r="M317" s="215"/>
      <c r="N317" s="201"/>
      <c r="O317" s="201"/>
      <c r="P317" s="229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</row>
    <row r="318" ht="24.75" customHeight="1">
      <c r="A318" s="201" t="s">
        <v>4517</v>
      </c>
      <c r="B318" s="201" t="s">
        <v>3459</v>
      </c>
      <c r="C318" s="201" t="s">
        <v>4517</v>
      </c>
      <c r="D318" s="201" t="s">
        <v>122</v>
      </c>
      <c r="E318" s="201" t="s">
        <v>4517</v>
      </c>
      <c r="F318" s="201" t="s">
        <v>3472</v>
      </c>
      <c r="G318" s="201" t="s">
        <v>123</v>
      </c>
      <c r="H318" s="201" t="s">
        <v>123</v>
      </c>
      <c r="I318" s="201" t="s">
        <v>4517</v>
      </c>
      <c r="J318" s="215" t="s">
        <v>123</v>
      </c>
      <c r="K318" s="215"/>
      <c r="L318" s="215"/>
      <c r="M318" s="215"/>
      <c r="N318" s="201"/>
      <c r="O318" s="201"/>
      <c r="P318" s="229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</row>
    <row r="319" ht="24.75" customHeight="1">
      <c r="A319" s="201" t="s">
        <v>4518</v>
      </c>
      <c r="B319" s="201" t="s">
        <v>3459</v>
      </c>
      <c r="C319" s="201" t="s">
        <v>4518</v>
      </c>
      <c r="D319" s="201" t="s">
        <v>122</v>
      </c>
      <c r="E319" s="201" t="s">
        <v>4518</v>
      </c>
      <c r="F319" s="201">
        <v>22.0</v>
      </c>
      <c r="G319" s="201">
        <v>44.0</v>
      </c>
      <c r="H319" s="201" t="s">
        <v>123</v>
      </c>
      <c r="I319" s="201" t="s">
        <v>4518</v>
      </c>
      <c r="J319" s="215" t="s">
        <v>149</v>
      </c>
      <c r="K319" s="215"/>
      <c r="L319" s="215"/>
      <c r="M319" s="215"/>
      <c r="N319" s="201"/>
      <c r="O319" s="201"/>
      <c r="P319" s="229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</row>
    <row r="320" ht="24.75" customHeight="1">
      <c r="A320" s="201" t="s">
        <v>4519</v>
      </c>
      <c r="B320" s="201" t="s">
        <v>3459</v>
      </c>
      <c r="C320" s="201" t="s">
        <v>4519</v>
      </c>
      <c r="D320" s="201" t="s">
        <v>122</v>
      </c>
      <c r="E320" s="201" t="s">
        <v>4519</v>
      </c>
      <c r="F320" s="201" t="s">
        <v>3616</v>
      </c>
      <c r="G320" s="201" t="s">
        <v>4155</v>
      </c>
      <c r="H320" s="201" t="s">
        <v>123</v>
      </c>
      <c r="I320" s="201" t="s">
        <v>4519</v>
      </c>
      <c r="J320" s="215" t="s">
        <v>149</v>
      </c>
      <c r="K320" s="215"/>
      <c r="L320" s="215"/>
      <c r="M320" s="215"/>
      <c r="N320" s="201"/>
      <c r="O320" s="201"/>
      <c r="P320" s="201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</row>
    <row r="321" ht="24.75" customHeight="1">
      <c r="A321" s="201" t="s">
        <v>4520</v>
      </c>
      <c r="B321" s="201" t="s">
        <v>3459</v>
      </c>
      <c r="C321" s="201" t="s">
        <v>4520</v>
      </c>
      <c r="D321" s="201" t="s">
        <v>122</v>
      </c>
      <c r="E321" s="201" t="s">
        <v>4520</v>
      </c>
      <c r="F321" s="201" t="s">
        <v>4315</v>
      </c>
      <c r="G321" s="201" t="s">
        <v>4521</v>
      </c>
      <c r="H321" s="201" t="s">
        <v>123</v>
      </c>
      <c r="I321" s="201" t="s">
        <v>4520</v>
      </c>
      <c r="J321" s="215" t="s">
        <v>149</v>
      </c>
      <c r="K321" s="215"/>
      <c r="L321" s="215"/>
      <c r="M321" s="215"/>
      <c r="N321" s="201"/>
      <c r="O321" s="201"/>
      <c r="P321" s="201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</row>
    <row r="322" ht="24.75" customHeight="1">
      <c r="A322" s="201" t="s">
        <v>4522</v>
      </c>
      <c r="B322" s="201" t="s">
        <v>3459</v>
      </c>
      <c r="C322" s="201" t="s">
        <v>4522</v>
      </c>
      <c r="D322" s="201" t="s">
        <v>122</v>
      </c>
      <c r="E322" s="201" t="s">
        <v>4522</v>
      </c>
      <c r="F322" s="201" t="s">
        <v>4214</v>
      </c>
      <c r="G322" s="201" t="s">
        <v>3662</v>
      </c>
      <c r="H322" s="201" t="s">
        <v>4103</v>
      </c>
      <c r="I322" s="201" t="s">
        <v>4522</v>
      </c>
      <c r="J322" s="215" t="s">
        <v>4523</v>
      </c>
      <c r="K322" s="215"/>
      <c r="L322" s="215"/>
      <c r="M322" s="215"/>
      <c r="N322" s="201"/>
      <c r="O322" s="201"/>
      <c r="P322" s="201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</row>
    <row r="323" ht="24.75" customHeight="1">
      <c r="A323" s="201" t="s">
        <v>4524</v>
      </c>
      <c r="B323" s="201" t="s">
        <v>3459</v>
      </c>
      <c r="C323" s="201" t="s">
        <v>4524</v>
      </c>
      <c r="D323" s="201" t="s">
        <v>122</v>
      </c>
      <c r="E323" s="201" t="s">
        <v>4524</v>
      </c>
      <c r="F323" s="201" t="s">
        <v>4214</v>
      </c>
      <c r="G323" s="201" t="s">
        <v>123</v>
      </c>
      <c r="H323" s="201" t="s">
        <v>123</v>
      </c>
      <c r="I323" s="201" t="s">
        <v>4524</v>
      </c>
      <c r="J323" s="215" t="s">
        <v>3619</v>
      </c>
      <c r="K323" s="215"/>
      <c r="L323" s="215"/>
      <c r="M323" s="215"/>
      <c r="N323" s="201"/>
      <c r="O323" s="201"/>
      <c r="P323" s="201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</row>
    <row r="324" ht="24.75" customHeight="1">
      <c r="A324" s="201" t="s">
        <v>162</v>
      </c>
      <c r="B324" s="201" t="s">
        <v>3459</v>
      </c>
      <c r="C324" s="201" t="s">
        <v>162</v>
      </c>
      <c r="D324" s="201" t="s">
        <v>122</v>
      </c>
      <c r="E324" s="201" t="s">
        <v>162</v>
      </c>
      <c r="F324" s="201" t="s">
        <v>3579</v>
      </c>
      <c r="G324" s="201" t="s">
        <v>123</v>
      </c>
      <c r="H324" s="201">
        <v>78.0</v>
      </c>
      <c r="I324" s="201" t="s">
        <v>162</v>
      </c>
      <c r="J324" s="215" t="s">
        <v>4525</v>
      </c>
      <c r="K324" s="215"/>
      <c r="L324" s="215"/>
      <c r="M324" s="215"/>
      <c r="N324" s="201"/>
      <c r="O324" s="201"/>
      <c r="P324" s="201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</row>
    <row r="325" ht="24.75" customHeight="1">
      <c r="A325" s="201" t="s">
        <v>4526</v>
      </c>
      <c r="B325" s="201" t="s">
        <v>3459</v>
      </c>
      <c r="C325" s="201" t="s">
        <v>4526</v>
      </c>
      <c r="D325" s="201" t="s">
        <v>4527</v>
      </c>
      <c r="E325" s="201" t="s">
        <v>4526</v>
      </c>
      <c r="F325" s="201" t="s">
        <v>3668</v>
      </c>
      <c r="G325" s="201" t="s">
        <v>123</v>
      </c>
      <c r="H325" s="201" t="s">
        <v>123</v>
      </c>
      <c r="I325" s="201" t="s">
        <v>4526</v>
      </c>
      <c r="J325" s="215" t="s">
        <v>4528</v>
      </c>
      <c r="K325" s="215"/>
      <c r="L325" s="215"/>
      <c r="M325" s="215"/>
      <c r="N325" s="201"/>
      <c r="O325" s="201"/>
      <c r="P325" s="201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</row>
    <row r="326" ht="24.75" customHeight="1">
      <c r="A326" s="201" t="s">
        <v>4529</v>
      </c>
      <c r="B326" s="201" t="s">
        <v>3459</v>
      </c>
      <c r="C326" s="201" t="s">
        <v>4529</v>
      </c>
      <c r="D326" s="201" t="s">
        <v>4530</v>
      </c>
      <c r="E326" s="201" t="s">
        <v>4529</v>
      </c>
      <c r="F326" s="201" t="s">
        <v>4214</v>
      </c>
      <c r="G326" s="201" t="s">
        <v>123</v>
      </c>
      <c r="H326" s="201" t="s">
        <v>123</v>
      </c>
      <c r="I326" s="201" t="s">
        <v>4529</v>
      </c>
      <c r="J326" s="215" t="s">
        <v>3619</v>
      </c>
      <c r="K326" s="215"/>
      <c r="L326" s="215"/>
      <c r="M326" s="215"/>
      <c r="N326" s="201"/>
      <c r="O326" s="201"/>
      <c r="P326" s="201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</row>
    <row r="327" ht="24.75" customHeight="1">
      <c r="A327" s="201" t="s">
        <v>4531</v>
      </c>
      <c r="B327" s="201" t="s">
        <v>3459</v>
      </c>
      <c r="C327" s="201" t="s">
        <v>4531</v>
      </c>
      <c r="D327" s="201" t="s">
        <v>123</v>
      </c>
      <c r="E327" s="201" t="s">
        <v>4531</v>
      </c>
      <c r="F327" s="201" t="s">
        <v>123</v>
      </c>
      <c r="G327" s="201" t="s">
        <v>123</v>
      </c>
      <c r="H327" s="201" t="s">
        <v>123</v>
      </c>
      <c r="I327" s="201" t="s">
        <v>4531</v>
      </c>
      <c r="J327" s="215" t="s">
        <v>133</v>
      </c>
      <c r="K327" s="215"/>
      <c r="L327" s="215"/>
      <c r="M327" s="215"/>
      <c r="N327" s="201"/>
      <c r="O327" s="201"/>
      <c r="P327" s="201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</row>
    <row r="328" ht="24.75" customHeight="1">
      <c r="A328" s="201" t="s">
        <v>4532</v>
      </c>
      <c r="B328" s="201" t="s">
        <v>3459</v>
      </c>
      <c r="C328" s="201" t="s">
        <v>4532</v>
      </c>
      <c r="D328" s="201" t="s">
        <v>4533</v>
      </c>
      <c r="E328" s="201" t="s">
        <v>4532</v>
      </c>
      <c r="F328" s="201" t="s">
        <v>3662</v>
      </c>
      <c r="G328" s="201" t="s">
        <v>123</v>
      </c>
      <c r="H328" s="201" t="s">
        <v>123</v>
      </c>
      <c r="I328" s="201" t="s">
        <v>4532</v>
      </c>
      <c r="J328" s="215" t="s">
        <v>4534</v>
      </c>
      <c r="K328" s="215"/>
      <c r="L328" s="215"/>
      <c r="M328" s="215"/>
      <c r="N328" s="201"/>
      <c r="O328" s="201"/>
      <c r="P328" s="201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</row>
    <row r="329" ht="24.75" customHeight="1">
      <c r="A329" s="201" t="s">
        <v>4535</v>
      </c>
      <c r="B329" s="201" t="s">
        <v>3459</v>
      </c>
      <c r="C329" s="201" t="s">
        <v>4535</v>
      </c>
      <c r="D329" s="201" t="s">
        <v>4536</v>
      </c>
      <c r="E329" s="201" t="s">
        <v>4535</v>
      </c>
      <c r="F329" s="201" t="s">
        <v>3662</v>
      </c>
      <c r="G329" s="201" t="s">
        <v>123</v>
      </c>
      <c r="H329" s="201" t="s">
        <v>123</v>
      </c>
      <c r="I329" s="201" t="s">
        <v>4535</v>
      </c>
      <c r="J329" s="215" t="s">
        <v>4537</v>
      </c>
      <c r="K329" s="215"/>
      <c r="L329" s="215"/>
      <c r="M329" s="215"/>
      <c r="N329" s="201"/>
      <c r="O329" s="201"/>
      <c r="P329" s="201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</row>
    <row r="330" ht="24.75" customHeight="1">
      <c r="A330" s="201" t="s">
        <v>4538</v>
      </c>
      <c r="B330" s="201" t="s">
        <v>3459</v>
      </c>
      <c r="C330" s="201" t="s">
        <v>4538</v>
      </c>
      <c r="D330" s="201" t="s">
        <v>4539</v>
      </c>
      <c r="E330" s="201" t="s">
        <v>4538</v>
      </c>
      <c r="F330" s="201" t="s">
        <v>3662</v>
      </c>
      <c r="G330" s="201" t="s">
        <v>123</v>
      </c>
      <c r="H330" s="201" t="s">
        <v>123</v>
      </c>
      <c r="I330" s="201" t="s">
        <v>4538</v>
      </c>
      <c r="J330" s="215" t="s">
        <v>4540</v>
      </c>
      <c r="K330" s="215"/>
      <c r="L330" s="215"/>
      <c r="M330" s="215"/>
      <c r="N330" s="201"/>
      <c r="O330" s="201"/>
      <c r="P330" s="201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</row>
    <row r="331" ht="24.75" customHeight="1">
      <c r="A331" s="201" t="s">
        <v>4541</v>
      </c>
      <c r="B331" s="201" t="s">
        <v>3459</v>
      </c>
      <c r="C331" s="201" t="s">
        <v>4541</v>
      </c>
      <c r="D331" s="201" t="s">
        <v>122</v>
      </c>
      <c r="E331" s="201" t="s">
        <v>4541</v>
      </c>
      <c r="F331" s="201" t="s">
        <v>123</v>
      </c>
      <c r="G331" s="201" t="s">
        <v>4214</v>
      </c>
      <c r="H331" s="201" t="s">
        <v>123</v>
      </c>
      <c r="I331" s="201" t="s">
        <v>4541</v>
      </c>
      <c r="J331" s="215" t="s">
        <v>4542</v>
      </c>
      <c r="K331" s="215"/>
      <c r="L331" s="215"/>
      <c r="M331" s="215"/>
      <c r="N331" s="201"/>
      <c r="O331" s="201"/>
      <c r="P331" s="201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</row>
    <row r="332" ht="24.75" customHeight="1">
      <c r="A332" s="201" t="s">
        <v>4543</v>
      </c>
      <c r="B332" s="201" t="s">
        <v>3459</v>
      </c>
      <c r="C332" s="201" t="s">
        <v>4543</v>
      </c>
      <c r="D332" s="201" t="s">
        <v>122</v>
      </c>
      <c r="E332" s="201" t="s">
        <v>4543</v>
      </c>
      <c r="F332" s="201" t="s">
        <v>3662</v>
      </c>
      <c r="G332" s="201" t="s">
        <v>123</v>
      </c>
      <c r="H332" s="201" t="s">
        <v>123</v>
      </c>
      <c r="I332" s="201" t="s">
        <v>4543</v>
      </c>
      <c r="J332" s="215" t="s">
        <v>4544</v>
      </c>
      <c r="K332" s="215"/>
      <c r="L332" s="215"/>
      <c r="M332" s="215"/>
      <c r="N332" s="201"/>
      <c r="O332" s="201"/>
      <c r="P332" s="201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</row>
    <row r="333" ht="24.75" customHeight="1">
      <c r="A333" s="201" t="s">
        <v>4545</v>
      </c>
      <c r="B333" s="201" t="s">
        <v>3459</v>
      </c>
      <c r="C333" s="201" t="s">
        <v>4545</v>
      </c>
      <c r="D333" s="201" t="s">
        <v>122</v>
      </c>
      <c r="E333" s="201" t="s">
        <v>4545</v>
      </c>
      <c r="F333" s="201" t="s">
        <v>3662</v>
      </c>
      <c r="G333" s="201" t="s">
        <v>123</v>
      </c>
      <c r="H333" s="201" t="s">
        <v>123</v>
      </c>
      <c r="I333" s="201" t="s">
        <v>4545</v>
      </c>
      <c r="J333" s="215" t="s">
        <v>4510</v>
      </c>
      <c r="K333" s="215"/>
      <c r="L333" s="215"/>
      <c r="M333" s="215"/>
      <c r="N333" s="201"/>
      <c r="O333" s="201"/>
      <c r="P333" s="201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</row>
    <row r="334" ht="24.75" customHeight="1">
      <c r="A334" s="215" t="s">
        <v>3477</v>
      </c>
      <c r="B334" s="215" t="s">
        <v>4546</v>
      </c>
      <c r="C334" s="215" t="s">
        <v>3477</v>
      </c>
      <c r="D334" s="201" t="s">
        <v>122</v>
      </c>
      <c r="E334" s="215" t="s">
        <v>3477</v>
      </c>
      <c r="F334" s="201">
        <v>4.4</v>
      </c>
      <c r="G334" s="201" t="s">
        <v>123</v>
      </c>
      <c r="H334" s="201">
        <v>4.0</v>
      </c>
      <c r="I334" s="215" t="s">
        <v>3477</v>
      </c>
      <c r="J334" s="215" t="s">
        <v>4547</v>
      </c>
      <c r="K334" s="215" t="s">
        <v>4548</v>
      </c>
      <c r="L334" s="215" t="s">
        <v>4549</v>
      </c>
      <c r="M334" s="215" t="s">
        <v>4550</v>
      </c>
      <c r="N334" s="215" t="s">
        <v>4179</v>
      </c>
      <c r="O334" s="215" t="s">
        <v>3852</v>
      </c>
      <c r="P334" s="215" t="s">
        <v>4551</v>
      </c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</row>
    <row r="335" ht="24.75" customHeight="1">
      <c r="A335" s="201" t="s">
        <v>4552</v>
      </c>
      <c r="B335" s="201" t="s">
        <v>3459</v>
      </c>
      <c r="C335" s="201" t="s">
        <v>4552</v>
      </c>
      <c r="D335" s="201" t="s">
        <v>4553</v>
      </c>
      <c r="E335" s="201" t="s">
        <v>4552</v>
      </c>
      <c r="F335" s="201" t="s">
        <v>3579</v>
      </c>
      <c r="G335" s="201" t="s">
        <v>123</v>
      </c>
      <c r="H335" s="201" t="s">
        <v>123</v>
      </c>
      <c r="I335" s="201" t="s">
        <v>4552</v>
      </c>
      <c r="J335" s="215" t="s">
        <v>4554</v>
      </c>
      <c r="K335" s="215"/>
      <c r="L335" s="215"/>
      <c r="M335" s="215"/>
      <c r="N335" s="201"/>
      <c r="O335" s="201"/>
      <c r="P335" s="201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</row>
    <row r="336" ht="24.75" customHeight="1">
      <c r="A336" s="201" t="s">
        <v>4555</v>
      </c>
      <c r="B336" s="201" t="s">
        <v>3459</v>
      </c>
      <c r="C336" s="201" t="s">
        <v>4555</v>
      </c>
      <c r="D336" s="201" t="s">
        <v>4556</v>
      </c>
      <c r="E336" s="201" t="s">
        <v>4555</v>
      </c>
      <c r="F336" s="201" t="s">
        <v>3972</v>
      </c>
      <c r="G336" s="201" t="s">
        <v>123</v>
      </c>
      <c r="H336" s="201" t="s">
        <v>123</v>
      </c>
      <c r="I336" s="201" t="s">
        <v>4555</v>
      </c>
      <c r="J336" s="215" t="s">
        <v>3619</v>
      </c>
      <c r="K336" s="215"/>
      <c r="L336" s="215"/>
      <c r="M336" s="215"/>
      <c r="N336" s="201"/>
      <c r="O336" s="201"/>
      <c r="P336" s="201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</row>
    <row r="337" ht="24.75" customHeight="1">
      <c r="A337" s="201" t="s">
        <v>4557</v>
      </c>
      <c r="B337" s="201" t="s">
        <v>3459</v>
      </c>
      <c r="C337" s="201" t="s">
        <v>4557</v>
      </c>
      <c r="D337" s="201" t="s">
        <v>4558</v>
      </c>
      <c r="E337" s="201" t="s">
        <v>4557</v>
      </c>
      <c r="F337" s="201" t="s">
        <v>4214</v>
      </c>
      <c r="G337" s="201" t="s">
        <v>123</v>
      </c>
      <c r="H337" s="201" t="s">
        <v>123</v>
      </c>
      <c r="I337" s="201" t="s">
        <v>4557</v>
      </c>
      <c r="J337" s="215" t="s">
        <v>3619</v>
      </c>
      <c r="K337" s="215"/>
      <c r="L337" s="215"/>
      <c r="M337" s="215"/>
      <c r="N337" s="201"/>
      <c r="O337" s="201"/>
      <c r="P337" s="201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</row>
    <row r="338" ht="24.75" customHeight="1">
      <c r="A338" s="201" t="s">
        <v>4559</v>
      </c>
      <c r="B338" s="201" t="s">
        <v>3459</v>
      </c>
      <c r="C338" s="201" t="s">
        <v>4559</v>
      </c>
      <c r="D338" s="201" t="s">
        <v>4560</v>
      </c>
      <c r="E338" s="201" t="s">
        <v>4559</v>
      </c>
      <c r="F338" s="201" t="s">
        <v>3579</v>
      </c>
      <c r="G338" s="201" t="s">
        <v>123</v>
      </c>
      <c r="H338" s="201" t="s">
        <v>123</v>
      </c>
      <c r="I338" s="201" t="s">
        <v>4559</v>
      </c>
      <c r="J338" s="215" t="s">
        <v>4561</v>
      </c>
      <c r="K338" s="215"/>
      <c r="L338" s="215"/>
      <c r="M338" s="215"/>
      <c r="N338" s="201"/>
      <c r="O338" s="201"/>
      <c r="P338" s="201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</row>
    <row r="339" ht="24.75" customHeight="1">
      <c r="A339" s="201" t="s">
        <v>4562</v>
      </c>
      <c r="B339" s="201" t="s">
        <v>3459</v>
      </c>
      <c r="C339" s="201" t="s">
        <v>4562</v>
      </c>
      <c r="D339" s="201" t="s">
        <v>4563</v>
      </c>
      <c r="E339" s="201" t="s">
        <v>4562</v>
      </c>
      <c r="F339" s="201" t="s">
        <v>3472</v>
      </c>
      <c r="G339" s="201" t="s">
        <v>123</v>
      </c>
      <c r="H339" s="201" t="s">
        <v>123</v>
      </c>
      <c r="I339" s="201" t="s">
        <v>4562</v>
      </c>
      <c r="J339" s="215" t="s">
        <v>124</v>
      </c>
      <c r="K339" s="215"/>
      <c r="L339" s="215"/>
      <c r="M339" s="215"/>
      <c r="N339" s="201"/>
      <c r="O339" s="201"/>
      <c r="P339" s="201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</row>
    <row r="340" ht="24.75" customHeight="1">
      <c r="A340" s="215" t="s">
        <v>600</v>
      </c>
      <c r="B340" s="201" t="s">
        <v>3459</v>
      </c>
      <c r="C340" s="215" t="s">
        <v>600</v>
      </c>
      <c r="D340" s="201" t="s">
        <v>4564</v>
      </c>
      <c r="E340" s="215" t="s">
        <v>600</v>
      </c>
      <c r="F340" s="201">
        <v>0.88</v>
      </c>
      <c r="G340" s="201" t="s">
        <v>123</v>
      </c>
      <c r="H340" s="201" t="s">
        <v>123</v>
      </c>
      <c r="I340" s="215" t="s">
        <v>600</v>
      </c>
      <c r="J340" s="215" t="s">
        <v>3009</v>
      </c>
      <c r="K340" s="215" t="s">
        <v>3755</v>
      </c>
      <c r="L340" s="215" t="s">
        <v>4163</v>
      </c>
      <c r="M340" s="216" t="s">
        <v>4164</v>
      </c>
      <c r="N340" s="215" t="s">
        <v>4165</v>
      </c>
      <c r="O340" s="215"/>
      <c r="P340" s="215" t="s">
        <v>4565</v>
      </c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</row>
    <row r="341" ht="24.75" customHeight="1">
      <c r="A341" s="201" t="s">
        <v>4566</v>
      </c>
      <c r="B341" s="201" t="s">
        <v>3459</v>
      </c>
      <c r="C341" s="201" t="s">
        <v>4566</v>
      </c>
      <c r="D341" s="201" t="s">
        <v>122</v>
      </c>
      <c r="E341" s="201" t="s">
        <v>4566</v>
      </c>
      <c r="F341" s="201" t="s">
        <v>3662</v>
      </c>
      <c r="G341" s="201" t="s">
        <v>3819</v>
      </c>
      <c r="H341" s="201" t="s">
        <v>123</v>
      </c>
      <c r="I341" s="201" t="s">
        <v>4566</v>
      </c>
      <c r="J341" s="215" t="s">
        <v>4567</v>
      </c>
      <c r="K341" s="215"/>
      <c r="L341" s="215"/>
      <c r="M341" s="215"/>
      <c r="N341" s="201"/>
      <c r="O341" s="201"/>
      <c r="P341" s="201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</row>
    <row r="342" ht="24.75" customHeight="1">
      <c r="A342" s="201" t="s">
        <v>4568</v>
      </c>
      <c r="B342" s="201" t="s">
        <v>3459</v>
      </c>
      <c r="C342" s="201" t="s">
        <v>4568</v>
      </c>
      <c r="D342" s="201" t="s">
        <v>4569</v>
      </c>
      <c r="E342" s="201" t="s">
        <v>4568</v>
      </c>
      <c r="F342" s="201" t="s">
        <v>3729</v>
      </c>
      <c r="G342" s="201" t="s">
        <v>3954</v>
      </c>
      <c r="H342" s="201" t="s">
        <v>123</v>
      </c>
      <c r="I342" s="201" t="s">
        <v>4568</v>
      </c>
      <c r="J342" s="215" t="s">
        <v>4570</v>
      </c>
      <c r="K342" s="215"/>
      <c r="L342" s="215"/>
      <c r="M342" s="215"/>
      <c r="N342" s="201"/>
      <c r="O342" s="201"/>
      <c r="P342" s="201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</row>
    <row r="343" ht="24.75" customHeight="1">
      <c r="A343" s="215" t="s">
        <v>4571</v>
      </c>
      <c r="B343" s="201" t="s">
        <v>3459</v>
      </c>
      <c r="C343" s="215" t="s">
        <v>4571</v>
      </c>
      <c r="D343" s="201" t="s">
        <v>1534</v>
      </c>
      <c r="E343" s="215" t="s">
        <v>4571</v>
      </c>
      <c r="F343" s="201" t="s">
        <v>3729</v>
      </c>
      <c r="G343" s="201" t="s">
        <v>123</v>
      </c>
      <c r="H343" s="201" t="s">
        <v>123</v>
      </c>
      <c r="I343" s="215" t="s">
        <v>4571</v>
      </c>
      <c r="J343" s="215" t="s">
        <v>967</v>
      </c>
      <c r="K343" s="215"/>
      <c r="L343" s="215"/>
      <c r="M343" s="215"/>
      <c r="N343" s="201"/>
      <c r="O343" s="201"/>
      <c r="P343" s="201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</row>
    <row r="344" ht="24.75" customHeight="1">
      <c r="A344" s="215" t="s">
        <v>4571</v>
      </c>
      <c r="B344" s="201" t="s">
        <v>3459</v>
      </c>
      <c r="C344" s="215" t="s">
        <v>4571</v>
      </c>
      <c r="D344" s="201" t="s">
        <v>4572</v>
      </c>
      <c r="E344" s="215" t="s">
        <v>4571</v>
      </c>
      <c r="F344" s="201" t="s">
        <v>3579</v>
      </c>
      <c r="G344" s="201" t="s">
        <v>123</v>
      </c>
      <c r="H344" s="201" t="s">
        <v>123</v>
      </c>
      <c r="I344" s="215" t="s">
        <v>4571</v>
      </c>
      <c r="J344" s="215" t="s">
        <v>967</v>
      </c>
      <c r="K344" s="215"/>
      <c r="L344" s="215"/>
      <c r="M344" s="215"/>
      <c r="N344" s="201"/>
      <c r="O344" s="201"/>
      <c r="P344" s="201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</row>
    <row r="345" ht="24.75" customHeight="1">
      <c r="A345" s="201" t="s">
        <v>4573</v>
      </c>
      <c r="B345" s="201" t="s">
        <v>3459</v>
      </c>
      <c r="C345" s="201" t="s">
        <v>4573</v>
      </c>
      <c r="D345" s="201" t="s">
        <v>1534</v>
      </c>
      <c r="E345" s="201" t="s">
        <v>4573</v>
      </c>
      <c r="F345" s="201" t="s">
        <v>3729</v>
      </c>
      <c r="G345" s="201" t="s">
        <v>123</v>
      </c>
      <c r="H345" s="201" t="s">
        <v>123</v>
      </c>
      <c r="I345" s="201" t="s">
        <v>4573</v>
      </c>
      <c r="J345" s="215" t="s">
        <v>123</v>
      </c>
      <c r="K345" s="215"/>
      <c r="L345" s="215"/>
      <c r="M345" s="215"/>
      <c r="N345" s="201"/>
      <c r="O345" s="201"/>
      <c r="P345" s="201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</row>
    <row r="346" ht="24.75" customHeight="1">
      <c r="A346" s="201" t="s">
        <v>4574</v>
      </c>
      <c r="B346" s="201" t="s">
        <v>3459</v>
      </c>
      <c r="C346" s="201" t="s">
        <v>4574</v>
      </c>
      <c r="D346" s="201" t="s">
        <v>1534</v>
      </c>
      <c r="E346" s="201" t="s">
        <v>4574</v>
      </c>
      <c r="F346" s="201" t="s">
        <v>3729</v>
      </c>
      <c r="G346" s="201" t="s">
        <v>123</v>
      </c>
      <c r="H346" s="201" t="s">
        <v>123</v>
      </c>
      <c r="I346" s="201" t="s">
        <v>4574</v>
      </c>
      <c r="J346" s="215" t="s">
        <v>123</v>
      </c>
      <c r="K346" s="215"/>
      <c r="L346" s="215"/>
      <c r="M346" s="215"/>
      <c r="N346" s="201"/>
      <c r="O346" s="201"/>
      <c r="P346" s="201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</row>
    <row r="347" ht="24.75" customHeight="1">
      <c r="A347" s="201" t="s">
        <v>4575</v>
      </c>
      <c r="B347" s="201" t="s">
        <v>3459</v>
      </c>
      <c r="C347" s="201" t="s">
        <v>4575</v>
      </c>
      <c r="D347" s="201" t="s">
        <v>1534</v>
      </c>
      <c r="E347" s="201" t="s">
        <v>4575</v>
      </c>
      <c r="F347" s="201" t="s">
        <v>3729</v>
      </c>
      <c r="G347" s="201" t="s">
        <v>123</v>
      </c>
      <c r="H347" s="201" t="s">
        <v>123</v>
      </c>
      <c r="I347" s="201" t="s">
        <v>4575</v>
      </c>
      <c r="J347" s="215" t="s">
        <v>123</v>
      </c>
      <c r="K347" s="215"/>
      <c r="L347" s="215"/>
      <c r="M347" s="215"/>
      <c r="N347" s="201"/>
      <c r="O347" s="201"/>
      <c r="P347" s="201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</row>
    <row r="348" ht="24.75" customHeight="1">
      <c r="A348" s="215" t="s">
        <v>4576</v>
      </c>
      <c r="B348" s="201" t="s">
        <v>3459</v>
      </c>
      <c r="C348" s="215" t="s">
        <v>4576</v>
      </c>
      <c r="D348" s="201" t="s">
        <v>1534</v>
      </c>
      <c r="E348" s="215" t="s">
        <v>4576</v>
      </c>
      <c r="F348" s="201" t="s">
        <v>3729</v>
      </c>
      <c r="G348" s="201" t="s">
        <v>123</v>
      </c>
      <c r="H348" s="201" t="s">
        <v>123</v>
      </c>
      <c r="I348" s="215" t="s">
        <v>4576</v>
      </c>
      <c r="J348" s="215" t="s">
        <v>123</v>
      </c>
      <c r="K348" s="215"/>
      <c r="L348" s="215"/>
      <c r="M348" s="215"/>
      <c r="N348" s="201"/>
      <c r="O348" s="201"/>
      <c r="P348" s="201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</row>
    <row r="349" ht="24.75" customHeight="1">
      <c r="A349" s="201" t="s">
        <v>4577</v>
      </c>
      <c r="B349" s="201" t="s">
        <v>3459</v>
      </c>
      <c r="C349" s="201" t="s">
        <v>4577</v>
      </c>
      <c r="D349" s="201" t="s">
        <v>1534</v>
      </c>
      <c r="E349" s="201" t="s">
        <v>4577</v>
      </c>
      <c r="F349" s="201" t="s">
        <v>3819</v>
      </c>
      <c r="G349" s="201" t="s">
        <v>123</v>
      </c>
      <c r="H349" s="201" t="s">
        <v>123</v>
      </c>
      <c r="I349" s="201" t="s">
        <v>4577</v>
      </c>
      <c r="J349" s="215" t="s">
        <v>4578</v>
      </c>
      <c r="K349" s="215"/>
      <c r="L349" s="215"/>
      <c r="M349" s="215"/>
      <c r="N349" s="201"/>
      <c r="O349" s="201"/>
      <c r="P349" s="201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</row>
    <row r="350" ht="24.75" customHeight="1">
      <c r="A350" s="201" t="s">
        <v>4579</v>
      </c>
      <c r="B350" s="201" t="s">
        <v>3459</v>
      </c>
      <c r="C350" s="201" t="s">
        <v>4579</v>
      </c>
      <c r="D350" s="201" t="s">
        <v>122</v>
      </c>
      <c r="E350" s="201" t="s">
        <v>4579</v>
      </c>
      <c r="F350" s="201" t="s">
        <v>3729</v>
      </c>
      <c r="G350" s="201" t="s">
        <v>3616</v>
      </c>
      <c r="H350" s="201" t="s">
        <v>123</v>
      </c>
      <c r="I350" s="201" t="s">
        <v>4579</v>
      </c>
      <c r="J350" s="215" t="s">
        <v>1199</v>
      </c>
      <c r="K350" s="215"/>
      <c r="L350" s="215"/>
      <c r="M350" s="215"/>
      <c r="N350" s="215"/>
      <c r="O350" s="215"/>
      <c r="P350" s="215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</row>
    <row r="351" ht="24.75" customHeight="1">
      <c r="A351" s="201" t="s">
        <v>4580</v>
      </c>
      <c r="B351" s="201" t="s">
        <v>3459</v>
      </c>
      <c r="C351" s="201" t="s">
        <v>4580</v>
      </c>
      <c r="D351" s="201" t="s">
        <v>4581</v>
      </c>
      <c r="E351" s="201" t="s">
        <v>4580</v>
      </c>
      <c r="F351" s="201" t="s">
        <v>4214</v>
      </c>
      <c r="G351" s="201" t="s">
        <v>123</v>
      </c>
      <c r="H351" s="201" t="s">
        <v>123</v>
      </c>
      <c r="I351" s="201" t="s">
        <v>4580</v>
      </c>
      <c r="J351" s="215" t="s">
        <v>4582</v>
      </c>
      <c r="K351" s="215"/>
      <c r="L351" s="215"/>
      <c r="M351" s="215"/>
      <c r="N351" s="201"/>
      <c r="O351" s="201"/>
      <c r="P351" s="201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</row>
    <row r="352" ht="24.75" customHeight="1">
      <c r="A352" s="201" t="s">
        <v>3488</v>
      </c>
      <c r="B352" s="201" t="s">
        <v>3459</v>
      </c>
      <c r="C352" s="201" t="s">
        <v>3488</v>
      </c>
      <c r="D352" s="201" t="s">
        <v>4583</v>
      </c>
      <c r="E352" s="201" t="s">
        <v>3488</v>
      </c>
      <c r="F352" s="201" t="s">
        <v>4584</v>
      </c>
      <c r="G352" s="201" t="s">
        <v>123</v>
      </c>
      <c r="H352" s="201" t="s">
        <v>123</v>
      </c>
      <c r="I352" s="201" t="s">
        <v>3488</v>
      </c>
      <c r="J352" s="215" t="s">
        <v>3490</v>
      </c>
      <c r="K352" s="215"/>
      <c r="L352" s="215"/>
      <c r="M352" s="215"/>
      <c r="N352" s="201"/>
      <c r="O352" s="201"/>
      <c r="P352" s="201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</row>
    <row r="353" ht="24.75" customHeight="1">
      <c r="A353" s="201" t="s">
        <v>4585</v>
      </c>
      <c r="B353" s="201" t="s">
        <v>3459</v>
      </c>
      <c r="C353" s="201" t="s">
        <v>4585</v>
      </c>
      <c r="D353" s="201" t="s">
        <v>122</v>
      </c>
      <c r="E353" s="201" t="s">
        <v>4585</v>
      </c>
      <c r="F353" s="201" t="s">
        <v>3616</v>
      </c>
      <c r="G353" s="201" t="s">
        <v>3579</v>
      </c>
      <c r="H353" s="201" t="s">
        <v>123</v>
      </c>
      <c r="I353" s="201" t="s">
        <v>4585</v>
      </c>
      <c r="J353" s="215" t="s">
        <v>4586</v>
      </c>
      <c r="K353" s="215"/>
      <c r="L353" s="215"/>
      <c r="M353" s="215"/>
      <c r="N353" s="201"/>
      <c r="O353" s="201"/>
      <c r="P353" s="201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</row>
    <row r="354" ht="24.75" customHeight="1">
      <c r="A354" s="201" t="s">
        <v>4587</v>
      </c>
      <c r="B354" s="201" t="s">
        <v>3459</v>
      </c>
      <c r="C354" s="201" t="s">
        <v>4587</v>
      </c>
      <c r="D354" s="201" t="s">
        <v>122</v>
      </c>
      <c r="E354" s="201" t="s">
        <v>4587</v>
      </c>
      <c r="F354" s="201" t="s">
        <v>3668</v>
      </c>
      <c r="G354" s="201" t="s">
        <v>3616</v>
      </c>
      <c r="H354" s="201" t="s">
        <v>123</v>
      </c>
      <c r="I354" s="201" t="s">
        <v>4587</v>
      </c>
      <c r="J354" s="215" t="s">
        <v>4588</v>
      </c>
      <c r="K354" s="215"/>
      <c r="L354" s="215"/>
      <c r="M354" s="215"/>
      <c r="N354" s="201"/>
      <c r="O354" s="201"/>
      <c r="P354" s="201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</row>
    <row r="355" ht="24.75" customHeight="1">
      <c r="A355" s="201" t="s">
        <v>4589</v>
      </c>
      <c r="B355" s="201" t="s">
        <v>3459</v>
      </c>
      <c r="C355" s="201" t="s">
        <v>4589</v>
      </c>
      <c r="D355" s="201" t="s">
        <v>122</v>
      </c>
      <c r="E355" s="201" t="s">
        <v>4589</v>
      </c>
      <c r="F355" s="201" t="s">
        <v>3954</v>
      </c>
      <c r="G355" s="201" t="s">
        <v>4083</v>
      </c>
      <c r="H355" s="201" t="s">
        <v>123</v>
      </c>
      <c r="I355" s="201" t="s">
        <v>4589</v>
      </c>
      <c r="J355" s="215" t="s">
        <v>4590</v>
      </c>
      <c r="K355" s="215"/>
      <c r="L355" s="215"/>
      <c r="M355" s="215"/>
      <c r="N355" s="201"/>
      <c r="O355" s="201"/>
      <c r="P355" s="201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</row>
    <row r="356" ht="24.75" customHeight="1">
      <c r="A356" s="201" t="s">
        <v>4591</v>
      </c>
      <c r="B356" s="201" t="s">
        <v>3459</v>
      </c>
      <c r="C356" s="201" t="s">
        <v>4591</v>
      </c>
      <c r="D356" s="201" t="s">
        <v>122</v>
      </c>
      <c r="E356" s="201" t="s">
        <v>4591</v>
      </c>
      <c r="F356" s="201" t="s">
        <v>3579</v>
      </c>
      <c r="G356" s="201" t="s">
        <v>3472</v>
      </c>
      <c r="H356" s="201" t="s">
        <v>123</v>
      </c>
      <c r="I356" s="201" t="s">
        <v>4591</v>
      </c>
      <c r="J356" s="215" t="s">
        <v>3632</v>
      </c>
      <c r="K356" s="215"/>
      <c r="L356" s="215"/>
      <c r="M356" s="215"/>
      <c r="N356" s="201"/>
      <c r="O356" s="201"/>
      <c r="P356" s="201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</row>
    <row r="357" ht="24.75" customHeight="1">
      <c r="A357" s="201" t="s">
        <v>4592</v>
      </c>
      <c r="B357" s="201" t="s">
        <v>3459</v>
      </c>
      <c r="C357" s="201" t="s">
        <v>4592</v>
      </c>
      <c r="D357" s="201" t="s">
        <v>122</v>
      </c>
      <c r="E357" s="201" t="s">
        <v>4592</v>
      </c>
      <c r="F357" s="201" t="s">
        <v>3729</v>
      </c>
      <c r="G357" s="201" t="s">
        <v>123</v>
      </c>
      <c r="H357" s="201" t="s">
        <v>123</v>
      </c>
      <c r="I357" s="201" t="s">
        <v>4592</v>
      </c>
      <c r="J357" s="215" t="s">
        <v>4593</v>
      </c>
      <c r="K357" s="215"/>
      <c r="L357" s="215"/>
      <c r="M357" s="215"/>
      <c r="N357" s="201"/>
      <c r="O357" s="201"/>
      <c r="P357" s="201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</row>
    <row r="358" ht="24.75" customHeight="1">
      <c r="A358" s="201" t="s">
        <v>4594</v>
      </c>
      <c r="B358" s="201" t="s">
        <v>3459</v>
      </c>
      <c r="C358" s="201" t="s">
        <v>4594</v>
      </c>
      <c r="D358" s="201" t="s">
        <v>122</v>
      </c>
      <c r="E358" s="201" t="s">
        <v>4594</v>
      </c>
      <c r="F358" s="201">
        <v>440.0</v>
      </c>
      <c r="G358" s="201" t="s">
        <v>123</v>
      </c>
      <c r="H358" s="201" t="s">
        <v>123</v>
      </c>
      <c r="I358" s="201" t="s">
        <v>4594</v>
      </c>
      <c r="J358" s="215" t="s">
        <v>124</v>
      </c>
      <c r="K358" s="215"/>
      <c r="L358" s="215"/>
      <c r="M358" s="215"/>
      <c r="N358" s="201"/>
      <c r="O358" s="201"/>
      <c r="P358" s="201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</row>
    <row r="359" ht="24.75" customHeight="1">
      <c r="A359" s="201" t="s">
        <v>4595</v>
      </c>
      <c r="B359" s="201" t="s">
        <v>3459</v>
      </c>
      <c r="C359" s="201" t="s">
        <v>4595</v>
      </c>
      <c r="D359" s="201" t="s">
        <v>4596</v>
      </c>
      <c r="E359" s="201" t="s">
        <v>4595</v>
      </c>
      <c r="F359" s="201" t="s">
        <v>3662</v>
      </c>
      <c r="G359" s="201" t="s">
        <v>123</v>
      </c>
      <c r="H359" s="201" t="s">
        <v>123</v>
      </c>
      <c r="I359" s="201" t="s">
        <v>4595</v>
      </c>
      <c r="J359" s="215" t="s">
        <v>3619</v>
      </c>
      <c r="K359" s="215"/>
      <c r="L359" s="215"/>
      <c r="M359" s="215"/>
      <c r="N359" s="201"/>
      <c r="O359" s="201"/>
      <c r="P359" s="201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</row>
    <row r="360" ht="24.75" customHeight="1">
      <c r="A360" s="201" t="s">
        <v>4597</v>
      </c>
      <c r="B360" s="201" t="s">
        <v>3459</v>
      </c>
      <c r="C360" s="201" t="s">
        <v>4597</v>
      </c>
      <c r="D360" s="201" t="s">
        <v>4598</v>
      </c>
      <c r="E360" s="201" t="s">
        <v>4597</v>
      </c>
      <c r="F360" s="201" t="s">
        <v>4214</v>
      </c>
      <c r="G360" s="201" t="s">
        <v>123</v>
      </c>
      <c r="H360" s="201" t="s">
        <v>123</v>
      </c>
      <c r="I360" s="201" t="s">
        <v>4597</v>
      </c>
      <c r="J360" s="215" t="s">
        <v>3619</v>
      </c>
      <c r="K360" s="215"/>
      <c r="L360" s="215"/>
      <c r="M360" s="215"/>
      <c r="N360" s="201"/>
      <c r="O360" s="201"/>
      <c r="P360" s="201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</row>
    <row r="361" ht="24.75" customHeight="1">
      <c r="A361" s="215" t="s">
        <v>3494</v>
      </c>
      <c r="B361" s="201" t="s">
        <v>3459</v>
      </c>
      <c r="C361" s="215" t="s">
        <v>3494</v>
      </c>
      <c r="D361" s="201" t="s">
        <v>122</v>
      </c>
      <c r="E361" s="215" t="s">
        <v>3494</v>
      </c>
      <c r="F361" s="201">
        <v>0.09</v>
      </c>
      <c r="G361" s="201">
        <v>0.26</v>
      </c>
      <c r="H361" s="201">
        <v>1.6</v>
      </c>
      <c r="I361" s="215" t="s">
        <v>3494</v>
      </c>
      <c r="J361" s="215" t="s">
        <v>149</v>
      </c>
      <c r="K361" s="215" t="s">
        <v>3462</v>
      </c>
      <c r="L361" s="215"/>
      <c r="M361" s="215" t="s">
        <v>4599</v>
      </c>
      <c r="N361" s="215" t="s">
        <v>4600</v>
      </c>
      <c r="O361" s="201" t="s">
        <v>4601</v>
      </c>
      <c r="P361" s="201" t="s">
        <v>3499</v>
      </c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</row>
    <row r="362" ht="24.75" customHeight="1">
      <c r="A362" s="201" t="s">
        <v>4602</v>
      </c>
      <c r="B362" s="201" t="s">
        <v>3459</v>
      </c>
      <c r="C362" s="201" t="s">
        <v>4602</v>
      </c>
      <c r="D362" s="201" t="s">
        <v>122</v>
      </c>
      <c r="E362" s="201" t="s">
        <v>4602</v>
      </c>
      <c r="F362" s="201" t="s">
        <v>3472</v>
      </c>
      <c r="G362" s="201" t="s">
        <v>123</v>
      </c>
      <c r="H362" s="201" t="s">
        <v>123</v>
      </c>
      <c r="I362" s="201" t="s">
        <v>4602</v>
      </c>
      <c r="J362" s="215" t="s">
        <v>4603</v>
      </c>
      <c r="K362" s="215"/>
      <c r="L362" s="215"/>
      <c r="M362" s="215"/>
      <c r="N362" s="201"/>
      <c r="O362" s="201"/>
      <c r="P362" s="201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</row>
    <row r="363" ht="24.75" customHeight="1">
      <c r="A363" s="201" t="s">
        <v>4604</v>
      </c>
      <c r="B363" s="201" t="s">
        <v>3459</v>
      </c>
      <c r="C363" s="201" t="s">
        <v>4604</v>
      </c>
      <c r="D363" s="201" t="s">
        <v>122</v>
      </c>
      <c r="E363" s="201" t="s">
        <v>4604</v>
      </c>
      <c r="F363" s="201" t="s">
        <v>123</v>
      </c>
      <c r="G363" s="201">
        <v>88.0</v>
      </c>
      <c r="H363" s="201" t="s">
        <v>123</v>
      </c>
      <c r="I363" s="201" t="s">
        <v>4604</v>
      </c>
      <c r="J363" s="215" t="s">
        <v>967</v>
      </c>
      <c r="K363" s="215"/>
      <c r="L363" s="215"/>
      <c r="M363" s="215"/>
      <c r="N363" s="201"/>
      <c r="O363" s="201"/>
      <c r="P363" s="201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</row>
    <row r="364" ht="24.75" customHeight="1">
      <c r="A364" s="201" t="s">
        <v>4605</v>
      </c>
      <c r="B364" s="201" t="s">
        <v>3459</v>
      </c>
      <c r="C364" s="201" t="s">
        <v>4605</v>
      </c>
      <c r="D364" s="201" t="s">
        <v>122</v>
      </c>
      <c r="E364" s="201" t="s">
        <v>4605</v>
      </c>
      <c r="F364" s="201">
        <v>44.0</v>
      </c>
      <c r="G364" s="201">
        <v>88.0</v>
      </c>
      <c r="H364" s="201" t="s">
        <v>123</v>
      </c>
      <c r="I364" s="201" t="s">
        <v>4605</v>
      </c>
      <c r="J364" s="215" t="s">
        <v>4606</v>
      </c>
      <c r="K364" s="215"/>
      <c r="L364" s="215"/>
      <c r="M364" s="215"/>
      <c r="N364" s="201"/>
      <c r="O364" s="201"/>
      <c r="P364" s="201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</row>
    <row r="365" ht="24.75" customHeight="1">
      <c r="A365" s="201" t="s">
        <v>4607</v>
      </c>
      <c r="B365" s="201" t="s">
        <v>3459</v>
      </c>
      <c r="C365" s="201" t="s">
        <v>4607</v>
      </c>
      <c r="D365" s="201" t="s">
        <v>4608</v>
      </c>
      <c r="E365" s="201" t="s">
        <v>4607</v>
      </c>
      <c r="F365" s="201" t="s">
        <v>3579</v>
      </c>
      <c r="G365" s="201" t="s">
        <v>123</v>
      </c>
      <c r="H365" s="201" t="s">
        <v>123</v>
      </c>
      <c r="I365" s="201" t="s">
        <v>4607</v>
      </c>
      <c r="J365" s="215" t="s">
        <v>4609</v>
      </c>
      <c r="K365" s="215"/>
      <c r="L365" s="215"/>
      <c r="M365" s="215"/>
      <c r="N365" s="201"/>
      <c r="O365" s="201"/>
      <c r="P365" s="201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</row>
    <row r="366" ht="24.75" customHeight="1">
      <c r="A366" s="201" t="s">
        <v>4610</v>
      </c>
      <c r="B366" s="201" t="s">
        <v>3459</v>
      </c>
      <c r="C366" s="201" t="s">
        <v>4610</v>
      </c>
      <c r="D366" s="201" t="s">
        <v>122</v>
      </c>
      <c r="E366" s="201" t="s">
        <v>4610</v>
      </c>
      <c r="F366" s="201" t="s">
        <v>3995</v>
      </c>
      <c r="G366" s="201" t="s">
        <v>123</v>
      </c>
      <c r="H366" s="201" t="s">
        <v>123</v>
      </c>
      <c r="I366" s="201" t="s">
        <v>4610</v>
      </c>
      <c r="J366" s="215" t="s">
        <v>4611</v>
      </c>
      <c r="K366" s="215"/>
      <c r="L366" s="215"/>
      <c r="M366" s="215"/>
      <c r="N366" s="201"/>
      <c r="O366" s="201"/>
      <c r="P366" s="201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</row>
    <row r="367" ht="24.75" customHeight="1">
      <c r="A367" s="201" t="s">
        <v>4612</v>
      </c>
      <c r="B367" s="201" t="s">
        <v>3459</v>
      </c>
      <c r="C367" s="201" t="s">
        <v>4612</v>
      </c>
      <c r="D367" s="201" t="s">
        <v>4613</v>
      </c>
      <c r="E367" s="201" t="s">
        <v>4612</v>
      </c>
      <c r="F367" s="201" t="s">
        <v>3579</v>
      </c>
      <c r="G367" s="201" t="s">
        <v>123</v>
      </c>
      <c r="H367" s="201" t="s">
        <v>123</v>
      </c>
      <c r="I367" s="201" t="s">
        <v>4612</v>
      </c>
      <c r="J367" s="215" t="s">
        <v>4614</v>
      </c>
      <c r="K367" s="215"/>
      <c r="L367" s="215"/>
      <c r="M367" s="215"/>
      <c r="N367" s="201"/>
      <c r="O367" s="201"/>
      <c r="P367" s="201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</row>
    <row r="368" ht="24.75" customHeight="1">
      <c r="A368" s="201" t="s">
        <v>4615</v>
      </c>
      <c r="B368" s="201" t="s">
        <v>3459</v>
      </c>
      <c r="C368" s="201" t="s">
        <v>4615</v>
      </c>
      <c r="D368" s="201" t="s">
        <v>4616</v>
      </c>
      <c r="E368" s="201" t="s">
        <v>4615</v>
      </c>
      <c r="F368" s="201" t="s">
        <v>3954</v>
      </c>
      <c r="G368" s="201" t="s">
        <v>123</v>
      </c>
      <c r="H368" s="201" t="s">
        <v>123</v>
      </c>
      <c r="I368" s="201" t="s">
        <v>4615</v>
      </c>
      <c r="J368" s="215" t="s">
        <v>3619</v>
      </c>
      <c r="K368" s="215"/>
      <c r="L368" s="215"/>
      <c r="M368" s="215"/>
      <c r="N368" s="201"/>
      <c r="O368" s="201"/>
      <c r="P368" s="201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</row>
    <row r="369" ht="24.75" customHeight="1">
      <c r="A369" s="201" t="s">
        <v>4617</v>
      </c>
      <c r="B369" s="201" t="s">
        <v>3459</v>
      </c>
      <c r="C369" s="201" t="s">
        <v>4617</v>
      </c>
      <c r="D369" s="201" t="s">
        <v>4618</v>
      </c>
      <c r="E369" s="201" t="s">
        <v>4617</v>
      </c>
      <c r="F369" s="201">
        <v>0.044</v>
      </c>
      <c r="G369" s="201" t="s">
        <v>123</v>
      </c>
      <c r="H369" s="201" t="s">
        <v>123</v>
      </c>
      <c r="I369" s="201" t="s">
        <v>4617</v>
      </c>
      <c r="J369" s="215" t="s">
        <v>3619</v>
      </c>
      <c r="K369" s="215"/>
      <c r="L369" s="215"/>
      <c r="M369" s="215"/>
      <c r="N369" s="201"/>
      <c r="O369" s="201"/>
      <c r="P369" s="201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</row>
    <row r="370" ht="24.75" customHeight="1">
      <c r="A370" s="201" t="s">
        <v>3502</v>
      </c>
      <c r="B370" s="201" t="s">
        <v>3459</v>
      </c>
      <c r="C370" s="201" t="s">
        <v>3502</v>
      </c>
      <c r="D370" s="201" t="s">
        <v>122</v>
      </c>
      <c r="E370" s="201" t="s">
        <v>3502</v>
      </c>
      <c r="F370" s="201" t="s">
        <v>3995</v>
      </c>
      <c r="G370" s="201" t="s">
        <v>3729</v>
      </c>
      <c r="H370" s="201" t="s">
        <v>4619</v>
      </c>
      <c r="I370" s="201" t="s">
        <v>3502</v>
      </c>
      <c r="J370" s="215" t="s">
        <v>4620</v>
      </c>
      <c r="K370" s="215"/>
      <c r="L370" s="215"/>
      <c r="M370" s="215"/>
      <c r="N370" s="215"/>
      <c r="O370" s="215"/>
      <c r="P370" s="215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</row>
    <row r="371" ht="24.75" customHeight="1">
      <c r="A371" s="201" t="s">
        <v>4621</v>
      </c>
      <c r="B371" s="201" t="s">
        <v>3459</v>
      </c>
      <c r="C371" s="201" t="s">
        <v>4621</v>
      </c>
      <c r="D371" s="201" t="s">
        <v>122</v>
      </c>
      <c r="E371" s="201" t="s">
        <v>4621</v>
      </c>
      <c r="F371" s="201" t="s">
        <v>3616</v>
      </c>
      <c r="G371" s="201" t="s">
        <v>123</v>
      </c>
      <c r="H371" s="201" t="s">
        <v>123</v>
      </c>
      <c r="I371" s="201" t="s">
        <v>4621</v>
      </c>
      <c r="J371" s="215" t="s">
        <v>4622</v>
      </c>
      <c r="K371" s="215"/>
      <c r="L371" s="215"/>
      <c r="M371" s="215"/>
      <c r="N371" s="201"/>
      <c r="O371" s="201"/>
      <c r="P371" s="201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</row>
    <row r="372" ht="24.75" customHeight="1">
      <c r="A372" s="201" t="s">
        <v>3505</v>
      </c>
      <c r="B372" s="201" t="s">
        <v>3459</v>
      </c>
      <c r="C372" s="201" t="s">
        <v>3505</v>
      </c>
      <c r="D372" s="201" t="s">
        <v>4623</v>
      </c>
      <c r="E372" s="201" t="s">
        <v>3505</v>
      </c>
      <c r="F372" s="201" t="s">
        <v>3662</v>
      </c>
      <c r="G372" s="201" t="s">
        <v>123</v>
      </c>
      <c r="H372" s="201" t="s">
        <v>123</v>
      </c>
      <c r="I372" s="201" t="s">
        <v>3505</v>
      </c>
      <c r="J372" s="215" t="s">
        <v>3507</v>
      </c>
      <c r="K372" s="215"/>
      <c r="L372" s="215"/>
      <c r="M372" s="215"/>
      <c r="N372" s="215"/>
      <c r="O372" s="215"/>
      <c r="P372" s="215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</row>
    <row r="373" ht="24.75" customHeight="1">
      <c r="A373" s="201" t="s">
        <v>4624</v>
      </c>
      <c r="B373" s="201" t="s">
        <v>3459</v>
      </c>
      <c r="C373" s="201" t="s">
        <v>4624</v>
      </c>
      <c r="D373" s="201" t="s">
        <v>122</v>
      </c>
      <c r="E373" s="201" t="s">
        <v>4624</v>
      </c>
      <c r="F373" s="201" t="s">
        <v>3662</v>
      </c>
      <c r="G373" s="201" t="s">
        <v>123</v>
      </c>
      <c r="H373" s="201" t="s">
        <v>4100</v>
      </c>
      <c r="I373" s="201" t="s">
        <v>4624</v>
      </c>
      <c r="J373" s="215" t="s">
        <v>4625</v>
      </c>
      <c r="K373" s="215"/>
      <c r="L373" s="215"/>
      <c r="M373" s="215"/>
      <c r="N373" s="201"/>
      <c r="O373" s="201"/>
      <c r="P373" s="201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</row>
    <row r="374" ht="24.75" customHeight="1">
      <c r="A374" s="201" t="s">
        <v>4626</v>
      </c>
      <c r="B374" s="201" t="s">
        <v>3459</v>
      </c>
      <c r="C374" s="201" t="s">
        <v>4626</v>
      </c>
      <c r="D374" s="201" t="s">
        <v>4627</v>
      </c>
      <c r="E374" s="201" t="s">
        <v>4626</v>
      </c>
      <c r="F374" s="201" t="s">
        <v>3579</v>
      </c>
      <c r="G374" s="201" t="s">
        <v>123</v>
      </c>
      <c r="H374" s="201" t="s">
        <v>123</v>
      </c>
      <c r="I374" s="201" t="s">
        <v>4626</v>
      </c>
      <c r="J374" s="215" t="s">
        <v>2955</v>
      </c>
      <c r="K374" s="215"/>
      <c r="L374" s="215"/>
      <c r="M374" s="215"/>
      <c r="N374" s="201"/>
      <c r="O374" s="201"/>
      <c r="P374" s="201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</row>
    <row r="375" ht="24.75" customHeight="1">
      <c r="A375" s="201" t="s">
        <v>4628</v>
      </c>
      <c r="B375" s="201" t="s">
        <v>3459</v>
      </c>
      <c r="C375" s="201" t="s">
        <v>4628</v>
      </c>
      <c r="D375" s="201" t="s">
        <v>4629</v>
      </c>
      <c r="E375" s="201" t="s">
        <v>4628</v>
      </c>
      <c r="F375" s="201" t="s">
        <v>3579</v>
      </c>
      <c r="G375" s="201" t="s">
        <v>123</v>
      </c>
      <c r="H375" s="201" t="s">
        <v>123</v>
      </c>
      <c r="I375" s="201" t="s">
        <v>4628</v>
      </c>
      <c r="J375" s="215" t="s">
        <v>149</v>
      </c>
      <c r="K375" s="215"/>
      <c r="L375" s="215"/>
      <c r="M375" s="215"/>
      <c r="N375" s="201"/>
      <c r="O375" s="201"/>
      <c r="P375" s="201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</row>
    <row r="376" ht="42.75" customHeight="1">
      <c r="A376" s="201" t="s">
        <v>4630</v>
      </c>
      <c r="B376" s="201" t="s">
        <v>3459</v>
      </c>
      <c r="C376" s="201" t="s">
        <v>4630</v>
      </c>
      <c r="D376" s="201" t="s">
        <v>4631</v>
      </c>
      <c r="E376" s="201" t="s">
        <v>4630</v>
      </c>
      <c r="F376" s="201" t="s">
        <v>3729</v>
      </c>
      <c r="G376" s="201" t="s">
        <v>123</v>
      </c>
      <c r="H376" s="201" t="s">
        <v>123</v>
      </c>
      <c r="I376" s="201" t="s">
        <v>4630</v>
      </c>
      <c r="J376" s="215" t="s">
        <v>4632</v>
      </c>
      <c r="K376" s="215"/>
      <c r="L376" s="215"/>
      <c r="M376" s="215"/>
      <c r="N376" s="201"/>
      <c r="O376" s="201"/>
      <c r="P376" s="201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</row>
    <row r="377" ht="24.75" customHeight="1">
      <c r="A377" s="201" t="s">
        <v>4633</v>
      </c>
      <c r="B377" s="201" t="s">
        <v>3459</v>
      </c>
      <c r="C377" s="201" t="s">
        <v>4633</v>
      </c>
      <c r="D377" s="201" t="s">
        <v>122</v>
      </c>
      <c r="E377" s="201" t="s">
        <v>4633</v>
      </c>
      <c r="F377" s="201" t="s">
        <v>3616</v>
      </c>
      <c r="G377" s="201" t="s">
        <v>123</v>
      </c>
      <c r="H377" s="201" t="s">
        <v>123</v>
      </c>
      <c r="I377" s="201" t="s">
        <v>4633</v>
      </c>
      <c r="J377" s="215" t="s">
        <v>149</v>
      </c>
      <c r="K377" s="215"/>
      <c r="L377" s="215"/>
      <c r="M377" s="215"/>
      <c r="N377" s="201"/>
      <c r="O377" s="201"/>
      <c r="P377" s="201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</row>
    <row r="378" ht="24.75" customHeight="1">
      <c r="A378" s="201" t="s">
        <v>3518</v>
      </c>
      <c r="B378" s="201" t="s">
        <v>3459</v>
      </c>
      <c r="C378" s="201" t="s">
        <v>3518</v>
      </c>
      <c r="D378" s="201" t="s">
        <v>122</v>
      </c>
      <c r="E378" s="201" t="s">
        <v>3518</v>
      </c>
      <c r="F378" s="201">
        <v>264.0</v>
      </c>
      <c r="G378" s="201">
        <v>440.0</v>
      </c>
      <c r="H378" s="201" t="s">
        <v>123</v>
      </c>
      <c r="I378" s="201" t="s">
        <v>3518</v>
      </c>
      <c r="J378" s="215" t="s">
        <v>3520</v>
      </c>
      <c r="K378" s="215"/>
      <c r="L378" s="215"/>
      <c r="M378" s="215"/>
      <c r="N378" s="215"/>
      <c r="O378" s="215"/>
      <c r="P378" s="215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</row>
    <row r="379" ht="24.75" customHeight="1">
      <c r="A379" s="201" t="s">
        <v>4634</v>
      </c>
      <c r="B379" s="201" t="s">
        <v>3459</v>
      </c>
      <c r="C379" s="201" t="s">
        <v>4634</v>
      </c>
      <c r="D379" s="201" t="s">
        <v>122</v>
      </c>
      <c r="E379" s="201" t="s">
        <v>4634</v>
      </c>
      <c r="F379" s="201" t="s">
        <v>3616</v>
      </c>
      <c r="G379" s="201" t="s">
        <v>123</v>
      </c>
      <c r="H379" s="201" t="s">
        <v>123</v>
      </c>
      <c r="I379" s="201" t="s">
        <v>4634</v>
      </c>
      <c r="J379" s="215" t="s">
        <v>1199</v>
      </c>
      <c r="K379" s="215"/>
      <c r="L379" s="215"/>
      <c r="M379" s="215"/>
      <c r="N379" s="201"/>
      <c r="O379" s="201"/>
      <c r="P379" s="201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</row>
    <row r="380" ht="24.75" customHeight="1">
      <c r="A380" s="201" t="s">
        <v>4635</v>
      </c>
      <c r="B380" s="201" t="s">
        <v>3459</v>
      </c>
      <c r="C380" s="201" t="s">
        <v>4635</v>
      </c>
      <c r="D380" s="201" t="s">
        <v>4636</v>
      </c>
      <c r="E380" s="201" t="s">
        <v>4635</v>
      </c>
      <c r="F380" s="201" t="s">
        <v>3662</v>
      </c>
      <c r="G380" s="201" t="s">
        <v>123</v>
      </c>
      <c r="H380" s="201" t="s">
        <v>123</v>
      </c>
      <c r="I380" s="201" t="s">
        <v>4635</v>
      </c>
      <c r="J380" s="215" t="s">
        <v>4637</v>
      </c>
      <c r="K380" s="215"/>
      <c r="L380" s="215"/>
      <c r="M380" s="215"/>
      <c r="N380" s="201"/>
      <c r="O380" s="201"/>
      <c r="P380" s="201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</row>
    <row r="381" ht="24.75" customHeight="1">
      <c r="A381" s="201" t="s">
        <v>4638</v>
      </c>
      <c r="B381" s="201" t="s">
        <v>3459</v>
      </c>
      <c r="C381" s="201" t="s">
        <v>4638</v>
      </c>
      <c r="D381" s="201" t="s">
        <v>122</v>
      </c>
      <c r="E381" s="201" t="s">
        <v>4638</v>
      </c>
      <c r="F381" s="201" t="s">
        <v>123</v>
      </c>
      <c r="G381" s="201" t="s">
        <v>4214</v>
      </c>
      <c r="H381" s="201" t="s">
        <v>123</v>
      </c>
      <c r="I381" s="201" t="s">
        <v>4638</v>
      </c>
      <c r="J381" s="215" t="s">
        <v>4184</v>
      </c>
      <c r="K381" s="215"/>
      <c r="L381" s="215"/>
      <c r="M381" s="215"/>
      <c r="N381" s="201"/>
      <c r="O381" s="201"/>
      <c r="P381" s="201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</row>
    <row r="382" ht="24.75" customHeight="1">
      <c r="A382" s="201" t="s">
        <v>4639</v>
      </c>
      <c r="B382" s="201" t="s">
        <v>3459</v>
      </c>
      <c r="C382" s="201" t="s">
        <v>4639</v>
      </c>
      <c r="D382" s="201" t="s">
        <v>4640</v>
      </c>
      <c r="E382" s="201" t="s">
        <v>4639</v>
      </c>
      <c r="F382" s="201" t="s">
        <v>3616</v>
      </c>
      <c r="G382" s="201" t="s">
        <v>123</v>
      </c>
      <c r="H382" s="201" t="s">
        <v>123</v>
      </c>
      <c r="I382" s="201" t="s">
        <v>4639</v>
      </c>
      <c r="J382" s="215" t="s">
        <v>3009</v>
      </c>
      <c r="K382" s="215"/>
      <c r="L382" s="215"/>
      <c r="M382" s="215"/>
      <c r="N382" s="201"/>
      <c r="O382" s="201"/>
      <c r="P382" s="201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</row>
    <row r="383" ht="24.75" customHeight="1">
      <c r="A383" s="215" t="s">
        <v>4641</v>
      </c>
      <c r="B383" s="201" t="s">
        <v>3459</v>
      </c>
      <c r="C383" s="215" t="s">
        <v>4641</v>
      </c>
      <c r="D383" s="201" t="s">
        <v>4642</v>
      </c>
      <c r="E383" s="215" t="s">
        <v>4641</v>
      </c>
      <c r="F383" s="201" t="s">
        <v>4155</v>
      </c>
      <c r="G383" s="201" t="s">
        <v>123</v>
      </c>
      <c r="H383" s="201" t="s">
        <v>123</v>
      </c>
      <c r="I383" s="215" t="s">
        <v>4641</v>
      </c>
      <c r="J383" s="215" t="s">
        <v>4156</v>
      </c>
      <c r="K383" s="215"/>
      <c r="L383" s="215"/>
      <c r="M383" s="215"/>
      <c r="N383" s="201"/>
      <c r="O383" s="201"/>
      <c r="P383" s="201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</row>
    <row r="384" ht="24.75" customHeight="1">
      <c r="A384" s="201" t="s">
        <v>4643</v>
      </c>
      <c r="B384" s="201" t="s">
        <v>3459</v>
      </c>
      <c r="C384" s="201" t="s">
        <v>4643</v>
      </c>
      <c r="D384" s="201" t="s">
        <v>4644</v>
      </c>
      <c r="E384" s="201" t="s">
        <v>4643</v>
      </c>
      <c r="F384" s="201" t="s">
        <v>3668</v>
      </c>
      <c r="G384" s="201" t="s">
        <v>123</v>
      </c>
      <c r="H384" s="201" t="s">
        <v>123</v>
      </c>
      <c r="I384" s="201" t="s">
        <v>4643</v>
      </c>
      <c r="J384" s="215" t="s">
        <v>4645</v>
      </c>
      <c r="K384" s="215"/>
      <c r="L384" s="215"/>
      <c r="M384" s="215"/>
      <c r="N384" s="201"/>
      <c r="O384" s="201"/>
      <c r="P384" s="201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</row>
    <row r="385" ht="24.75" customHeight="1">
      <c r="A385" s="201" t="s">
        <v>4646</v>
      </c>
      <c r="B385" s="201" t="s">
        <v>3459</v>
      </c>
      <c r="C385" s="201" t="s">
        <v>4646</v>
      </c>
      <c r="D385" s="201" t="s">
        <v>122</v>
      </c>
      <c r="E385" s="201" t="s">
        <v>4646</v>
      </c>
      <c r="F385" s="201">
        <v>44.0</v>
      </c>
      <c r="G385" s="201" t="s">
        <v>123</v>
      </c>
      <c r="H385" s="201" t="s">
        <v>123</v>
      </c>
      <c r="I385" s="201" t="s">
        <v>4646</v>
      </c>
      <c r="J385" s="215" t="s">
        <v>4647</v>
      </c>
      <c r="K385" s="215"/>
      <c r="L385" s="215"/>
      <c r="M385" s="215"/>
      <c r="N385" s="201"/>
      <c r="O385" s="201"/>
      <c r="P385" s="201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</row>
    <row r="386" ht="24.75" customHeight="1">
      <c r="A386" s="201" t="s">
        <v>4648</v>
      </c>
      <c r="B386" s="201" t="s">
        <v>3459</v>
      </c>
      <c r="C386" s="201" t="s">
        <v>4648</v>
      </c>
      <c r="D386" s="201" t="s">
        <v>4649</v>
      </c>
      <c r="E386" s="201" t="s">
        <v>4648</v>
      </c>
      <c r="F386" s="201" t="s">
        <v>4214</v>
      </c>
      <c r="G386" s="201" t="s">
        <v>123</v>
      </c>
      <c r="H386" s="201" t="s">
        <v>123</v>
      </c>
      <c r="I386" s="201" t="s">
        <v>4648</v>
      </c>
      <c r="J386" s="215" t="s">
        <v>124</v>
      </c>
      <c r="K386" s="215"/>
      <c r="L386" s="215"/>
      <c r="M386" s="215"/>
      <c r="N386" s="201"/>
      <c r="O386" s="201"/>
      <c r="P386" s="201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</row>
    <row r="387" ht="24.75" customHeight="1">
      <c r="A387" s="201" t="s">
        <v>3525</v>
      </c>
      <c r="B387" s="201" t="s">
        <v>3459</v>
      </c>
      <c r="C387" s="201" t="s">
        <v>3525</v>
      </c>
      <c r="D387" s="201" t="s">
        <v>122</v>
      </c>
      <c r="E387" s="201" t="s">
        <v>3525</v>
      </c>
      <c r="F387" s="201">
        <v>352.0</v>
      </c>
      <c r="G387" s="201">
        <v>440.0</v>
      </c>
      <c r="H387" s="201" t="s">
        <v>123</v>
      </c>
      <c r="I387" s="201" t="s">
        <v>3525</v>
      </c>
      <c r="J387" s="215" t="s">
        <v>3526</v>
      </c>
      <c r="K387" s="215"/>
      <c r="L387" s="215"/>
      <c r="M387" s="215"/>
      <c r="N387" s="201"/>
      <c r="O387" s="201"/>
      <c r="P387" s="201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</row>
    <row r="388" ht="24.75" customHeight="1">
      <c r="A388" s="201" t="s">
        <v>4650</v>
      </c>
      <c r="B388" s="201" t="s">
        <v>3459</v>
      </c>
      <c r="C388" s="201" t="s">
        <v>4650</v>
      </c>
      <c r="D388" s="201" t="s">
        <v>4651</v>
      </c>
      <c r="E388" s="201" t="s">
        <v>4650</v>
      </c>
      <c r="F388" s="201" t="s">
        <v>3983</v>
      </c>
      <c r="G388" s="201" t="s">
        <v>123</v>
      </c>
      <c r="H388" s="201" t="s">
        <v>123</v>
      </c>
      <c r="I388" s="201" t="s">
        <v>4650</v>
      </c>
      <c r="J388" s="215" t="s">
        <v>4652</v>
      </c>
      <c r="K388" s="215"/>
      <c r="L388" s="215"/>
      <c r="M388" s="215"/>
      <c r="N388" s="201"/>
      <c r="O388" s="201"/>
      <c r="P388" s="201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</row>
    <row r="389" ht="24.75" customHeight="1">
      <c r="A389" s="201" t="s">
        <v>4653</v>
      </c>
      <c r="B389" s="201" t="s">
        <v>3459</v>
      </c>
      <c r="C389" s="201" t="s">
        <v>4653</v>
      </c>
      <c r="D389" s="201" t="s">
        <v>122</v>
      </c>
      <c r="E389" s="201" t="s">
        <v>4653</v>
      </c>
      <c r="F389" s="201" t="s">
        <v>4315</v>
      </c>
      <c r="G389" s="201" t="s">
        <v>123</v>
      </c>
      <c r="H389" s="201" t="s">
        <v>123</v>
      </c>
      <c r="I389" s="201" t="s">
        <v>4653</v>
      </c>
      <c r="J389" s="215" t="s">
        <v>1920</v>
      </c>
      <c r="K389" s="215"/>
      <c r="L389" s="215"/>
      <c r="M389" s="215"/>
      <c r="N389" s="201"/>
      <c r="O389" s="201"/>
      <c r="P389" s="201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</row>
    <row r="390" ht="24.75" customHeight="1">
      <c r="A390" s="201" t="s">
        <v>4654</v>
      </c>
      <c r="B390" s="201" t="s">
        <v>3459</v>
      </c>
      <c r="C390" s="201" t="s">
        <v>4654</v>
      </c>
      <c r="D390" s="201" t="s">
        <v>122</v>
      </c>
      <c r="E390" s="201" t="s">
        <v>4654</v>
      </c>
      <c r="F390" s="201" t="s">
        <v>3662</v>
      </c>
      <c r="G390" s="201" t="s">
        <v>123</v>
      </c>
      <c r="H390" s="201" t="s">
        <v>123</v>
      </c>
      <c r="I390" s="201" t="s">
        <v>4654</v>
      </c>
      <c r="J390" s="215" t="s">
        <v>967</v>
      </c>
      <c r="K390" s="215"/>
      <c r="L390" s="215"/>
      <c r="M390" s="215"/>
      <c r="N390" s="201"/>
      <c r="O390" s="201"/>
      <c r="P390" s="201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</row>
    <row r="391" ht="24.75" customHeight="1">
      <c r="A391" s="201" t="s">
        <v>4655</v>
      </c>
      <c r="B391" s="201" t="s">
        <v>3459</v>
      </c>
      <c r="C391" s="201" t="s">
        <v>4655</v>
      </c>
      <c r="D391" s="201" t="s">
        <v>122</v>
      </c>
      <c r="E391" s="201" t="s">
        <v>4655</v>
      </c>
      <c r="F391" s="201" t="s">
        <v>3729</v>
      </c>
      <c r="G391" s="201" t="s">
        <v>123</v>
      </c>
      <c r="H391" s="201" t="s">
        <v>123</v>
      </c>
      <c r="I391" s="201" t="s">
        <v>4655</v>
      </c>
      <c r="J391" s="215" t="s">
        <v>4237</v>
      </c>
      <c r="K391" s="215"/>
      <c r="L391" s="215"/>
      <c r="M391" s="215"/>
      <c r="N391" s="201"/>
      <c r="O391" s="201"/>
      <c r="P391" s="201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</row>
    <row r="392" ht="24.75" customHeight="1">
      <c r="A392" s="201" t="s">
        <v>4656</v>
      </c>
      <c r="B392" s="201" t="s">
        <v>3459</v>
      </c>
      <c r="C392" s="201" t="s">
        <v>4656</v>
      </c>
      <c r="D392" s="201" t="s">
        <v>4657</v>
      </c>
      <c r="E392" s="201" t="s">
        <v>4656</v>
      </c>
      <c r="F392" s="201" t="s">
        <v>3819</v>
      </c>
      <c r="G392" s="201" t="s">
        <v>123</v>
      </c>
      <c r="H392" s="201" t="s">
        <v>123</v>
      </c>
      <c r="I392" s="201" t="s">
        <v>4656</v>
      </c>
      <c r="J392" s="215" t="s">
        <v>4658</v>
      </c>
      <c r="K392" s="215"/>
      <c r="L392" s="215"/>
      <c r="M392" s="215"/>
      <c r="N392" s="201"/>
      <c r="O392" s="201"/>
      <c r="P392" s="201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</row>
    <row r="393" ht="24.75" customHeight="1">
      <c r="A393" s="201" t="s">
        <v>4659</v>
      </c>
      <c r="B393" s="201" t="s">
        <v>3459</v>
      </c>
      <c r="C393" s="201" t="s">
        <v>4659</v>
      </c>
      <c r="D393" s="201" t="s">
        <v>122</v>
      </c>
      <c r="E393" s="201" t="s">
        <v>4659</v>
      </c>
      <c r="F393" s="201" t="s">
        <v>3662</v>
      </c>
      <c r="G393" s="201" t="s">
        <v>123</v>
      </c>
      <c r="H393" s="201" t="s">
        <v>123</v>
      </c>
      <c r="I393" s="201" t="s">
        <v>4659</v>
      </c>
      <c r="J393" s="215" t="s">
        <v>4660</v>
      </c>
      <c r="K393" s="215"/>
      <c r="L393" s="215"/>
      <c r="M393" s="215"/>
      <c r="N393" s="201"/>
      <c r="O393" s="201"/>
      <c r="P393" s="201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</row>
    <row r="394" ht="24.75" customHeight="1">
      <c r="A394" s="201" t="s">
        <v>4661</v>
      </c>
      <c r="B394" s="201" t="s">
        <v>3459</v>
      </c>
      <c r="C394" s="201" t="s">
        <v>4661</v>
      </c>
      <c r="D394" s="201" t="s">
        <v>122</v>
      </c>
      <c r="E394" s="201" t="s">
        <v>4661</v>
      </c>
      <c r="F394" s="201" t="s">
        <v>3662</v>
      </c>
      <c r="G394" s="201" t="s">
        <v>123</v>
      </c>
      <c r="H394" s="201" t="s">
        <v>123</v>
      </c>
      <c r="I394" s="201" t="s">
        <v>4661</v>
      </c>
      <c r="J394" s="215" t="s">
        <v>4662</v>
      </c>
      <c r="K394" s="215"/>
      <c r="L394" s="215"/>
      <c r="M394" s="215"/>
      <c r="N394" s="201"/>
      <c r="O394" s="201"/>
      <c r="P394" s="201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</row>
    <row r="395" ht="24.75" customHeight="1">
      <c r="A395" s="201" t="s">
        <v>4663</v>
      </c>
      <c r="B395" s="201" t="s">
        <v>3459</v>
      </c>
      <c r="C395" s="201" t="s">
        <v>4663</v>
      </c>
      <c r="D395" s="201" t="s">
        <v>122</v>
      </c>
      <c r="E395" s="201" t="s">
        <v>4663</v>
      </c>
      <c r="F395" s="201">
        <v>880.0</v>
      </c>
      <c r="G395" s="201" t="s">
        <v>123</v>
      </c>
      <c r="H395" s="201" t="s">
        <v>123</v>
      </c>
      <c r="I395" s="201" t="s">
        <v>4663</v>
      </c>
      <c r="J395" s="215" t="s">
        <v>2894</v>
      </c>
      <c r="K395" s="215"/>
      <c r="L395" s="215"/>
      <c r="M395" s="215"/>
      <c r="N395" s="201"/>
      <c r="O395" s="201"/>
      <c r="P395" s="201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</row>
    <row r="396" ht="24.75" customHeight="1">
      <c r="A396" s="201" t="s">
        <v>4664</v>
      </c>
      <c r="B396" s="201" t="s">
        <v>3459</v>
      </c>
      <c r="C396" s="201" t="s">
        <v>4664</v>
      </c>
      <c r="D396" s="201" t="s">
        <v>122</v>
      </c>
      <c r="E396" s="201" t="s">
        <v>4664</v>
      </c>
      <c r="F396" s="201" t="s">
        <v>4214</v>
      </c>
      <c r="G396" s="201" t="s">
        <v>123</v>
      </c>
      <c r="H396" s="201" t="s">
        <v>123</v>
      </c>
      <c r="I396" s="201" t="s">
        <v>4664</v>
      </c>
      <c r="J396" s="215" t="s">
        <v>4665</v>
      </c>
      <c r="K396" s="215"/>
      <c r="L396" s="215"/>
      <c r="M396" s="215"/>
      <c r="N396" s="201"/>
      <c r="O396" s="201"/>
      <c r="P396" s="201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</row>
    <row r="397" ht="24.75" customHeight="1">
      <c r="A397" s="201" t="s">
        <v>4666</v>
      </c>
      <c r="B397" s="201" t="s">
        <v>3459</v>
      </c>
      <c r="C397" s="201" t="s">
        <v>4666</v>
      </c>
      <c r="D397" s="201" t="s">
        <v>122</v>
      </c>
      <c r="E397" s="201" t="s">
        <v>4666</v>
      </c>
      <c r="F397" s="201" t="s">
        <v>4315</v>
      </c>
      <c r="G397" s="201" t="s">
        <v>123</v>
      </c>
      <c r="H397" s="201" t="s">
        <v>123</v>
      </c>
      <c r="I397" s="201" t="s">
        <v>4666</v>
      </c>
      <c r="J397" s="215" t="s">
        <v>2955</v>
      </c>
      <c r="K397" s="215"/>
      <c r="L397" s="215"/>
      <c r="M397" s="215"/>
      <c r="N397" s="201"/>
      <c r="O397" s="201"/>
      <c r="P397" s="201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</row>
    <row r="398" ht="24.75" customHeight="1">
      <c r="A398" s="201" t="s">
        <v>4667</v>
      </c>
      <c r="B398" s="201" t="s">
        <v>3459</v>
      </c>
      <c r="C398" s="201" t="s">
        <v>4667</v>
      </c>
      <c r="D398" s="201" t="s">
        <v>123</v>
      </c>
      <c r="E398" s="201" t="s">
        <v>4667</v>
      </c>
      <c r="F398" s="201" t="s">
        <v>123</v>
      </c>
      <c r="G398" s="201" t="s">
        <v>123</v>
      </c>
      <c r="H398" s="201" t="s">
        <v>123</v>
      </c>
      <c r="I398" s="201" t="s">
        <v>4667</v>
      </c>
      <c r="J398" s="215" t="s">
        <v>4668</v>
      </c>
      <c r="K398" s="215"/>
      <c r="L398" s="215"/>
      <c r="M398" s="215"/>
      <c r="N398" s="201"/>
      <c r="O398" s="201"/>
      <c r="P398" s="201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</row>
    <row r="399" ht="24.75" customHeight="1">
      <c r="A399" s="215" t="s">
        <v>3746</v>
      </c>
      <c r="B399" s="215" t="s">
        <v>4669</v>
      </c>
      <c r="C399" s="215" t="s">
        <v>3746</v>
      </c>
      <c r="D399" s="201" t="s">
        <v>122</v>
      </c>
      <c r="E399" s="215" t="s">
        <v>3746</v>
      </c>
      <c r="F399" s="201">
        <v>44.0</v>
      </c>
      <c r="G399" s="201" t="s">
        <v>123</v>
      </c>
      <c r="H399" s="201" t="s">
        <v>123</v>
      </c>
      <c r="I399" s="215" t="s">
        <v>3746</v>
      </c>
      <c r="J399" s="215" t="s">
        <v>4670</v>
      </c>
      <c r="K399" s="215" t="s">
        <v>4049</v>
      </c>
      <c r="L399" s="215" t="s">
        <v>4671</v>
      </c>
      <c r="M399" s="215" t="s">
        <v>4672</v>
      </c>
      <c r="N399" s="215" t="s">
        <v>4179</v>
      </c>
      <c r="O399" s="201">
        <v>0.2</v>
      </c>
      <c r="P399" s="201">
        <v>4.0</v>
      </c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</row>
    <row r="400" ht="24.75" customHeight="1">
      <c r="A400" s="254" t="s">
        <v>3529</v>
      </c>
      <c r="B400" s="201" t="s">
        <v>3459</v>
      </c>
      <c r="C400" s="254" t="s">
        <v>3529</v>
      </c>
      <c r="D400" s="201" t="s">
        <v>122</v>
      </c>
      <c r="E400" s="254" t="s">
        <v>3529</v>
      </c>
      <c r="F400" s="201">
        <v>440.0</v>
      </c>
      <c r="G400" s="201">
        <v>880.0</v>
      </c>
      <c r="H400" s="201" t="s">
        <v>123</v>
      </c>
      <c r="I400" s="254" t="s">
        <v>3529</v>
      </c>
      <c r="J400" s="215" t="s">
        <v>4673</v>
      </c>
      <c r="K400" s="215" t="s">
        <v>4049</v>
      </c>
      <c r="L400" s="215"/>
      <c r="M400" s="215" t="s">
        <v>4672</v>
      </c>
      <c r="N400" s="215" t="s">
        <v>4179</v>
      </c>
      <c r="O400" s="201">
        <v>0.2</v>
      </c>
      <c r="P400" s="201">
        <v>4.0</v>
      </c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</row>
    <row r="401" ht="24.75" customHeight="1">
      <c r="A401" s="201" t="s">
        <v>4674</v>
      </c>
      <c r="B401" s="201" t="s">
        <v>3459</v>
      </c>
      <c r="C401" s="201" t="s">
        <v>4674</v>
      </c>
      <c r="D401" s="201" t="s">
        <v>122</v>
      </c>
      <c r="E401" s="201" t="s">
        <v>4674</v>
      </c>
      <c r="F401" s="201" t="s">
        <v>3668</v>
      </c>
      <c r="G401" s="201" t="s">
        <v>123</v>
      </c>
      <c r="H401" s="201" t="s">
        <v>123</v>
      </c>
      <c r="I401" s="201" t="s">
        <v>4674</v>
      </c>
      <c r="J401" s="215" t="s">
        <v>4096</v>
      </c>
      <c r="K401" s="215"/>
      <c r="L401" s="215"/>
      <c r="M401" s="215"/>
      <c r="N401" s="201"/>
      <c r="O401" s="201"/>
      <c r="P401" s="201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</row>
    <row r="402" ht="24.75" customHeight="1">
      <c r="A402" s="201" t="s">
        <v>4675</v>
      </c>
      <c r="B402" s="201" t="s">
        <v>3459</v>
      </c>
      <c r="C402" s="201" t="s">
        <v>4675</v>
      </c>
      <c r="D402" s="201" t="s">
        <v>122</v>
      </c>
      <c r="E402" s="201" t="s">
        <v>4675</v>
      </c>
      <c r="F402" s="201">
        <v>44.0</v>
      </c>
      <c r="G402" s="201" t="s">
        <v>123</v>
      </c>
      <c r="H402" s="201" t="s">
        <v>123</v>
      </c>
      <c r="I402" s="201" t="s">
        <v>4675</v>
      </c>
      <c r="J402" s="215" t="s">
        <v>3632</v>
      </c>
      <c r="K402" s="215"/>
      <c r="L402" s="215"/>
      <c r="M402" s="215"/>
      <c r="N402" s="201"/>
      <c r="O402" s="201"/>
      <c r="P402" s="201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</row>
    <row r="403" ht="24.75" customHeight="1">
      <c r="A403" s="201" t="s">
        <v>4676</v>
      </c>
      <c r="B403" s="201" t="s">
        <v>3459</v>
      </c>
      <c r="C403" s="201" t="s">
        <v>4676</v>
      </c>
      <c r="D403" s="201" t="s">
        <v>122</v>
      </c>
      <c r="E403" s="201" t="s">
        <v>4676</v>
      </c>
      <c r="F403" s="201">
        <v>22.0</v>
      </c>
      <c r="G403" s="201">
        <v>44.0</v>
      </c>
      <c r="H403" s="201" t="s">
        <v>123</v>
      </c>
      <c r="I403" s="201" t="s">
        <v>4676</v>
      </c>
      <c r="J403" s="215" t="s">
        <v>149</v>
      </c>
      <c r="K403" s="215"/>
      <c r="L403" s="215"/>
      <c r="M403" s="215"/>
      <c r="N403" s="201"/>
      <c r="O403" s="201"/>
      <c r="P403" s="201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</row>
    <row r="404" ht="24.75" customHeight="1">
      <c r="A404" s="201" t="s">
        <v>4677</v>
      </c>
      <c r="B404" s="201" t="s">
        <v>3459</v>
      </c>
      <c r="C404" s="201" t="s">
        <v>4677</v>
      </c>
      <c r="D404" s="201" t="s">
        <v>122</v>
      </c>
      <c r="E404" s="201" t="s">
        <v>4677</v>
      </c>
      <c r="F404" s="201" t="s">
        <v>3972</v>
      </c>
      <c r="G404" s="201" t="s">
        <v>123</v>
      </c>
      <c r="H404" s="201" t="s">
        <v>4100</v>
      </c>
      <c r="I404" s="201" t="s">
        <v>4677</v>
      </c>
      <c r="J404" s="215" t="s">
        <v>4668</v>
      </c>
      <c r="K404" s="215"/>
      <c r="L404" s="215"/>
      <c r="M404" s="215"/>
      <c r="N404" s="201"/>
      <c r="O404" s="201"/>
      <c r="P404" s="201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</row>
    <row r="405" ht="24.75" customHeight="1">
      <c r="A405" s="201" t="s">
        <v>4678</v>
      </c>
      <c r="B405" s="201" t="s">
        <v>3459</v>
      </c>
      <c r="C405" s="201" t="s">
        <v>4678</v>
      </c>
      <c r="D405" s="201" t="s">
        <v>122</v>
      </c>
      <c r="E405" s="201" t="s">
        <v>4678</v>
      </c>
      <c r="F405" s="201" t="s">
        <v>3662</v>
      </c>
      <c r="G405" s="201" t="s">
        <v>123</v>
      </c>
      <c r="H405" s="201" t="s">
        <v>123</v>
      </c>
      <c r="I405" s="201" t="s">
        <v>4678</v>
      </c>
      <c r="J405" s="215" t="s">
        <v>4679</v>
      </c>
      <c r="K405" s="215"/>
      <c r="L405" s="215"/>
      <c r="M405" s="215"/>
      <c r="N405" s="201"/>
      <c r="O405" s="201"/>
      <c r="P405" s="201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</row>
    <row r="406" ht="24.75" customHeight="1">
      <c r="A406" s="201" t="s">
        <v>4680</v>
      </c>
      <c r="B406" s="201" t="s">
        <v>3459</v>
      </c>
      <c r="C406" s="201" t="s">
        <v>4680</v>
      </c>
      <c r="D406" s="201" t="s">
        <v>4681</v>
      </c>
      <c r="E406" s="201" t="s">
        <v>4680</v>
      </c>
      <c r="F406" s="201" t="s">
        <v>123</v>
      </c>
      <c r="G406" s="201">
        <v>0.044</v>
      </c>
      <c r="H406" s="201" t="s">
        <v>123</v>
      </c>
      <c r="I406" s="201" t="s">
        <v>4680</v>
      </c>
      <c r="J406" s="215" t="s">
        <v>1199</v>
      </c>
      <c r="K406" s="215"/>
      <c r="L406" s="215"/>
      <c r="M406" s="215"/>
      <c r="N406" s="201"/>
      <c r="O406" s="201"/>
      <c r="P406" s="201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</row>
    <row r="407" ht="24.75" customHeight="1">
      <c r="A407" s="201" t="s">
        <v>3536</v>
      </c>
      <c r="B407" s="201" t="s">
        <v>3459</v>
      </c>
      <c r="C407" s="201" t="s">
        <v>3536</v>
      </c>
      <c r="D407" s="201" t="s">
        <v>4682</v>
      </c>
      <c r="E407" s="201" t="s">
        <v>3536</v>
      </c>
      <c r="F407" s="201" t="s">
        <v>3729</v>
      </c>
      <c r="G407" s="201" t="s">
        <v>123</v>
      </c>
      <c r="H407" s="201" t="s">
        <v>123</v>
      </c>
      <c r="I407" s="201" t="s">
        <v>3536</v>
      </c>
      <c r="J407" s="215" t="s">
        <v>3542</v>
      </c>
      <c r="K407" s="215"/>
      <c r="L407" s="215"/>
      <c r="M407" s="215"/>
      <c r="N407" s="201"/>
      <c r="O407" s="201"/>
      <c r="P407" s="201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</row>
    <row r="408" ht="24.75" customHeight="1">
      <c r="A408" s="201" t="s">
        <v>4683</v>
      </c>
      <c r="B408" s="201" t="s">
        <v>3459</v>
      </c>
      <c r="C408" s="201" t="s">
        <v>4683</v>
      </c>
      <c r="D408" s="201" t="s">
        <v>4684</v>
      </c>
      <c r="E408" s="201" t="s">
        <v>4683</v>
      </c>
      <c r="F408" s="201" t="s">
        <v>3579</v>
      </c>
      <c r="G408" s="201" t="s">
        <v>123</v>
      </c>
      <c r="H408" s="201" t="s">
        <v>123</v>
      </c>
      <c r="I408" s="201" t="s">
        <v>4683</v>
      </c>
      <c r="J408" s="215" t="s">
        <v>1199</v>
      </c>
      <c r="K408" s="215"/>
      <c r="L408" s="215"/>
      <c r="M408" s="215"/>
      <c r="N408" s="215"/>
      <c r="O408" s="215"/>
      <c r="P408" s="215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</row>
    <row r="409" ht="24.75" customHeight="1">
      <c r="A409" s="201" t="s">
        <v>4685</v>
      </c>
      <c r="B409" s="201" t="s">
        <v>3459</v>
      </c>
      <c r="C409" s="201" t="s">
        <v>4685</v>
      </c>
      <c r="D409" s="201" t="s">
        <v>4686</v>
      </c>
      <c r="E409" s="201" t="s">
        <v>4685</v>
      </c>
      <c r="F409" s="201" t="s">
        <v>3616</v>
      </c>
      <c r="G409" s="201" t="s">
        <v>123</v>
      </c>
      <c r="H409" s="201" t="s">
        <v>123</v>
      </c>
      <c r="I409" s="201" t="s">
        <v>4685</v>
      </c>
      <c r="J409" s="215" t="s">
        <v>1199</v>
      </c>
      <c r="K409" s="215"/>
      <c r="L409" s="215"/>
      <c r="M409" s="215"/>
      <c r="N409" s="201"/>
      <c r="O409" s="201"/>
      <c r="P409" s="201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</row>
    <row r="410" ht="30.0" customHeight="1">
      <c r="A410" s="215" t="s">
        <v>3553</v>
      </c>
      <c r="B410" s="201" t="s">
        <v>3459</v>
      </c>
      <c r="C410" s="215" t="s">
        <v>3553</v>
      </c>
      <c r="D410" s="201" t="s">
        <v>4687</v>
      </c>
      <c r="E410" s="215" t="s">
        <v>3553</v>
      </c>
      <c r="F410" s="201" t="s">
        <v>123</v>
      </c>
      <c r="G410" s="201">
        <v>1.76</v>
      </c>
      <c r="H410" s="201" t="s">
        <v>123</v>
      </c>
      <c r="I410" s="215" t="s">
        <v>3553</v>
      </c>
      <c r="J410" s="215" t="s">
        <v>1199</v>
      </c>
      <c r="K410" s="215" t="s">
        <v>3755</v>
      </c>
      <c r="L410" s="215" t="s">
        <v>4163</v>
      </c>
      <c r="M410" s="215" t="s">
        <v>4164</v>
      </c>
      <c r="N410" s="215" t="s">
        <v>4165</v>
      </c>
      <c r="O410" s="215" t="s">
        <v>4166</v>
      </c>
      <c r="P410" s="215" t="s">
        <v>4465</v>
      </c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</row>
    <row r="411" ht="30.0" customHeight="1">
      <c r="A411" s="215" t="s">
        <v>3558</v>
      </c>
      <c r="B411" s="201" t="s">
        <v>3459</v>
      </c>
      <c r="C411" s="215" t="s">
        <v>3558</v>
      </c>
      <c r="D411" s="201" t="s">
        <v>4688</v>
      </c>
      <c r="E411" s="215" t="s">
        <v>3558</v>
      </c>
      <c r="F411" s="201" t="s">
        <v>123</v>
      </c>
      <c r="G411" s="201">
        <v>1.76</v>
      </c>
      <c r="H411" s="201" t="s">
        <v>123</v>
      </c>
      <c r="I411" s="215" t="s">
        <v>3558</v>
      </c>
      <c r="J411" s="215" t="s">
        <v>1199</v>
      </c>
      <c r="K411" s="215" t="s">
        <v>3755</v>
      </c>
      <c r="L411" s="215" t="s">
        <v>4163</v>
      </c>
      <c r="M411" s="215" t="s">
        <v>4164</v>
      </c>
      <c r="N411" s="215" t="s">
        <v>4165</v>
      </c>
      <c r="O411" s="215" t="s">
        <v>4166</v>
      </c>
      <c r="P411" s="215" t="s">
        <v>4465</v>
      </c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</row>
    <row r="412" ht="24.75" customHeight="1">
      <c r="A412" s="201" t="s">
        <v>4689</v>
      </c>
      <c r="B412" s="201" t="s">
        <v>3459</v>
      </c>
      <c r="C412" s="201" t="s">
        <v>4689</v>
      </c>
      <c r="D412" s="201" t="s">
        <v>122</v>
      </c>
      <c r="E412" s="201" t="s">
        <v>4689</v>
      </c>
      <c r="F412" s="201" t="s">
        <v>3579</v>
      </c>
      <c r="G412" s="201" t="s">
        <v>123</v>
      </c>
      <c r="H412" s="201" t="s">
        <v>123</v>
      </c>
      <c r="I412" s="201" t="s">
        <v>4689</v>
      </c>
      <c r="J412" s="215" t="s">
        <v>124</v>
      </c>
      <c r="K412" s="215"/>
      <c r="L412" s="215"/>
      <c r="M412" s="215"/>
      <c r="N412" s="201"/>
      <c r="O412" s="201"/>
      <c r="P412" s="201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</row>
    <row r="413" ht="24.75" customHeight="1">
      <c r="A413" s="201" t="s">
        <v>4690</v>
      </c>
      <c r="B413" s="201" t="s">
        <v>3459</v>
      </c>
      <c r="C413" s="201" t="s">
        <v>4690</v>
      </c>
      <c r="D413" s="201" t="s">
        <v>122</v>
      </c>
      <c r="E413" s="201" t="s">
        <v>4690</v>
      </c>
      <c r="F413" s="201" t="s">
        <v>3616</v>
      </c>
      <c r="G413" s="201" t="s">
        <v>123</v>
      </c>
      <c r="H413" s="201" t="s">
        <v>123</v>
      </c>
      <c r="I413" s="201" t="s">
        <v>4690</v>
      </c>
      <c r="J413" s="215" t="s">
        <v>4691</v>
      </c>
      <c r="K413" s="215"/>
      <c r="L413" s="215"/>
      <c r="M413" s="215"/>
      <c r="N413" s="201"/>
      <c r="O413" s="201"/>
      <c r="P413" s="201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</row>
    <row r="414" ht="35.25" customHeight="1">
      <c r="A414" s="201" t="s">
        <v>4692</v>
      </c>
      <c r="B414" s="201" t="s">
        <v>3459</v>
      </c>
      <c r="C414" s="201" t="s">
        <v>4692</v>
      </c>
      <c r="D414" s="201" t="s">
        <v>4693</v>
      </c>
      <c r="E414" s="201" t="s">
        <v>4692</v>
      </c>
      <c r="F414" s="201" t="s">
        <v>3662</v>
      </c>
      <c r="G414" s="201" t="s">
        <v>123</v>
      </c>
      <c r="H414" s="201" t="s">
        <v>123</v>
      </c>
      <c r="I414" s="201" t="s">
        <v>4692</v>
      </c>
      <c r="J414" s="215" t="s">
        <v>4694</v>
      </c>
      <c r="K414" s="215"/>
      <c r="L414" s="215"/>
      <c r="M414" s="215"/>
      <c r="N414" s="201"/>
      <c r="O414" s="201"/>
      <c r="P414" s="201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</row>
    <row r="415" ht="24.75" customHeight="1">
      <c r="A415" s="201" t="s">
        <v>4695</v>
      </c>
      <c r="B415" s="201"/>
      <c r="C415" s="201" t="s">
        <v>4695</v>
      </c>
      <c r="D415" s="201" t="s">
        <v>122</v>
      </c>
      <c r="E415" s="201" t="s">
        <v>4695</v>
      </c>
      <c r="F415" s="201" t="s">
        <v>3972</v>
      </c>
      <c r="G415" s="201" t="s">
        <v>3662</v>
      </c>
      <c r="H415" s="201" t="s">
        <v>123</v>
      </c>
      <c r="I415" s="201" t="s">
        <v>4695</v>
      </c>
      <c r="J415" s="215" t="s">
        <v>4696</v>
      </c>
      <c r="K415" s="215"/>
      <c r="L415" s="215"/>
      <c r="M415" s="215"/>
      <c r="N415" s="201"/>
      <c r="O415" s="201"/>
      <c r="P415" s="201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</row>
    <row r="416" ht="24.75" customHeight="1">
      <c r="A416" s="201" t="s">
        <v>4697</v>
      </c>
      <c r="B416" s="201"/>
      <c r="C416" s="201" t="s">
        <v>4697</v>
      </c>
      <c r="D416" s="201" t="s">
        <v>122</v>
      </c>
      <c r="E416" s="201" t="s">
        <v>4697</v>
      </c>
      <c r="F416" s="201" t="s">
        <v>3662</v>
      </c>
      <c r="G416" s="201" t="s">
        <v>123</v>
      </c>
      <c r="H416" s="201" t="s">
        <v>123</v>
      </c>
      <c r="I416" s="201" t="s">
        <v>4697</v>
      </c>
      <c r="J416" s="215" t="s">
        <v>4696</v>
      </c>
      <c r="K416" s="215"/>
      <c r="L416" s="215"/>
      <c r="M416" s="215"/>
      <c r="N416" s="201"/>
      <c r="O416" s="201"/>
      <c r="P416" s="201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</row>
    <row r="417" ht="24.75" customHeight="1">
      <c r="A417" s="201" t="s">
        <v>4698</v>
      </c>
      <c r="B417" s="201" t="s">
        <v>3459</v>
      </c>
      <c r="C417" s="201" t="s">
        <v>4698</v>
      </c>
      <c r="D417" s="201" t="s">
        <v>122</v>
      </c>
      <c r="E417" s="201" t="s">
        <v>4698</v>
      </c>
      <c r="F417" s="201" t="s">
        <v>4699</v>
      </c>
      <c r="G417" s="201" t="s">
        <v>123</v>
      </c>
      <c r="H417" s="201" t="s">
        <v>123</v>
      </c>
      <c r="I417" s="201" t="s">
        <v>4698</v>
      </c>
      <c r="J417" s="215" t="s">
        <v>149</v>
      </c>
      <c r="K417" s="215"/>
      <c r="L417" s="215"/>
      <c r="M417" s="215"/>
      <c r="N417" s="201"/>
      <c r="O417" s="201"/>
      <c r="P417" s="201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</row>
    <row r="418" ht="24.75" customHeight="1">
      <c r="A418" s="201" t="s">
        <v>4700</v>
      </c>
      <c r="B418" s="201" t="s">
        <v>3459</v>
      </c>
      <c r="C418" s="201" t="s">
        <v>4700</v>
      </c>
      <c r="D418" s="201" t="s">
        <v>122</v>
      </c>
      <c r="E418" s="201" t="s">
        <v>4700</v>
      </c>
      <c r="F418" s="201" t="s">
        <v>4315</v>
      </c>
      <c r="G418" s="201" t="s">
        <v>4521</v>
      </c>
      <c r="H418" s="201" t="s">
        <v>123</v>
      </c>
      <c r="I418" s="201" t="s">
        <v>4700</v>
      </c>
      <c r="J418" s="215" t="s">
        <v>149</v>
      </c>
      <c r="K418" s="215"/>
      <c r="L418" s="215"/>
      <c r="M418" s="215"/>
      <c r="N418" s="201"/>
      <c r="O418" s="201"/>
      <c r="P418" s="201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</row>
    <row r="419" ht="30.0" customHeight="1">
      <c r="A419" s="215" t="s">
        <v>3594</v>
      </c>
      <c r="B419" s="201" t="s">
        <v>3459</v>
      </c>
      <c r="C419" s="215" t="s">
        <v>3594</v>
      </c>
      <c r="D419" s="201" t="s">
        <v>122</v>
      </c>
      <c r="E419" s="215" t="s">
        <v>3594</v>
      </c>
      <c r="F419" s="201" t="s">
        <v>123</v>
      </c>
      <c r="G419" s="201">
        <v>4.4</v>
      </c>
      <c r="H419" s="201" t="s">
        <v>123</v>
      </c>
      <c r="I419" s="215" t="s">
        <v>3594</v>
      </c>
      <c r="J419" s="215" t="s">
        <v>3596</v>
      </c>
      <c r="K419" s="215" t="s">
        <v>4049</v>
      </c>
      <c r="L419" s="215" t="s">
        <v>4701</v>
      </c>
      <c r="M419" s="216" t="s">
        <v>4702</v>
      </c>
      <c r="N419" s="215" t="s">
        <v>4179</v>
      </c>
      <c r="O419" s="201" t="s">
        <v>4703</v>
      </c>
      <c r="P419" s="201" t="s">
        <v>4704</v>
      </c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</row>
    <row r="420" ht="24.75" customHeight="1">
      <c r="A420" s="201" t="s">
        <v>4705</v>
      </c>
      <c r="B420" s="201" t="s">
        <v>3459</v>
      </c>
      <c r="C420" s="201" t="s">
        <v>4705</v>
      </c>
      <c r="D420" s="201" t="s">
        <v>122</v>
      </c>
      <c r="E420" s="201" t="s">
        <v>4705</v>
      </c>
      <c r="F420" s="201" t="s">
        <v>3579</v>
      </c>
      <c r="G420" s="201" t="s">
        <v>3472</v>
      </c>
      <c r="H420" s="201">
        <v>4.0</v>
      </c>
      <c r="I420" s="201" t="s">
        <v>4705</v>
      </c>
      <c r="J420" s="215" t="s">
        <v>4386</v>
      </c>
      <c r="K420" s="215"/>
      <c r="L420" s="215"/>
      <c r="M420" s="215"/>
      <c r="N420" s="201"/>
      <c r="O420" s="201"/>
      <c r="P420" s="201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</row>
    <row r="421" ht="24.75" customHeight="1">
      <c r="A421" s="201" t="s">
        <v>4706</v>
      </c>
      <c r="B421" s="201" t="s">
        <v>3459</v>
      </c>
      <c r="C421" s="201" t="s">
        <v>4706</v>
      </c>
      <c r="D421" s="201" t="s">
        <v>122</v>
      </c>
      <c r="E421" s="201" t="s">
        <v>4706</v>
      </c>
      <c r="F421" s="201">
        <v>22.0</v>
      </c>
      <c r="G421" s="201" t="s">
        <v>123</v>
      </c>
      <c r="H421" s="201" t="s">
        <v>123</v>
      </c>
      <c r="I421" s="201" t="s">
        <v>4706</v>
      </c>
      <c r="J421" s="215" t="s">
        <v>4424</v>
      </c>
      <c r="K421" s="215"/>
      <c r="L421" s="215"/>
      <c r="M421" s="215"/>
      <c r="N421" s="201"/>
      <c r="O421" s="201"/>
      <c r="P421" s="201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</row>
    <row r="422" ht="24.75" customHeight="1">
      <c r="A422" s="201" t="s">
        <v>4707</v>
      </c>
      <c r="B422" s="201" t="s">
        <v>3459</v>
      </c>
      <c r="C422" s="201" t="s">
        <v>4707</v>
      </c>
      <c r="D422" s="201" t="s">
        <v>4708</v>
      </c>
      <c r="E422" s="201" t="s">
        <v>4707</v>
      </c>
      <c r="F422" s="201" t="s">
        <v>3729</v>
      </c>
      <c r="G422" s="201" t="s">
        <v>123</v>
      </c>
      <c r="H422" s="201" t="s">
        <v>123</v>
      </c>
      <c r="I422" s="201" t="s">
        <v>4707</v>
      </c>
      <c r="J422" s="215" t="s">
        <v>4709</v>
      </c>
      <c r="K422" s="215"/>
      <c r="L422" s="215"/>
      <c r="M422" s="215"/>
      <c r="N422" s="201"/>
      <c r="O422" s="201"/>
      <c r="P422" s="201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</row>
    <row r="423" ht="24.75" customHeight="1">
      <c r="A423" s="201" t="s">
        <v>4710</v>
      </c>
      <c r="B423" s="201" t="s">
        <v>3459</v>
      </c>
      <c r="C423" s="201" t="s">
        <v>4710</v>
      </c>
      <c r="D423" s="201" t="s">
        <v>122</v>
      </c>
      <c r="E423" s="201" t="s">
        <v>4710</v>
      </c>
      <c r="F423" s="201" t="s">
        <v>3579</v>
      </c>
      <c r="G423" s="201" t="s">
        <v>123</v>
      </c>
      <c r="H423" s="201" t="s">
        <v>123</v>
      </c>
      <c r="I423" s="201" t="s">
        <v>4710</v>
      </c>
      <c r="J423" s="215" t="s">
        <v>4711</v>
      </c>
      <c r="K423" s="215"/>
      <c r="L423" s="215"/>
      <c r="M423" s="215"/>
      <c r="N423" s="201"/>
      <c r="O423" s="201"/>
      <c r="P423" s="201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</row>
    <row r="424" ht="24.75" customHeight="1">
      <c r="A424" s="201" t="s">
        <v>4712</v>
      </c>
      <c r="B424" s="201" t="s">
        <v>3459</v>
      </c>
      <c r="C424" s="201" t="s">
        <v>4712</v>
      </c>
      <c r="D424" s="201" t="s">
        <v>4713</v>
      </c>
      <c r="E424" s="201" t="s">
        <v>4712</v>
      </c>
      <c r="F424" s="201" t="s">
        <v>3668</v>
      </c>
      <c r="G424" s="201" t="s">
        <v>123</v>
      </c>
      <c r="H424" s="201" t="s">
        <v>123</v>
      </c>
      <c r="I424" s="201" t="s">
        <v>4712</v>
      </c>
      <c r="J424" s="215" t="s">
        <v>4090</v>
      </c>
      <c r="K424" s="215"/>
      <c r="L424" s="215"/>
      <c r="M424" s="215"/>
      <c r="N424" s="201"/>
      <c r="O424" s="201"/>
      <c r="P424" s="201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</row>
    <row r="425" ht="24.75" customHeight="1">
      <c r="A425" s="201" t="s">
        <v>4714</v>
      </c>
      <c r="B425" s="201" t="s">
        <v>3459</v>
      </c>
      <c r="C425" s="201" t="s">
        <v>4714</v>
      </c>
      <c r="D425" s="201" t="s">
        <v>4715</v>
      </c>
      <c r="E425" s="201" t="s">
        <v>4714</v>
      </c>
      <c r="F425" s="201" t="s">
        <v>3668</v>
      </c>
      <c r="G425" s="201" t="s">
        <v>123</v>
      </c>
      <c r="H425" s="201" t="s">
        <v>123</v>
      </c>
      <c r="I425" s="201" t="s">
        <v>4714</v>
      </c>
      <c r="J425" s="215" t="s">
        <v>4716</v>
      </c>
      <c r="K425" s="215"/>
      <c r="L425" s="215"/>
      <c r="M425" s="215"/>
      <c r="N425" s="201"/>
      <c r="O425" s="201"/>
      <c r="P425" s="201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</row>
    <row r="426" ht="24.75" customHeight="1">
      <c r="A426" s="201" t="s">
        <v>4717</v>
      </c>
      <c r="B426" s="201" t="s">
        <v>3459</v>
      </c>
      <c r="C426" s="201" t="s">
        <v>4717</v>
      </c>
      <c r="D426" s="201" t="s">
        <v>4718</v>
      </c>
      <c r="E426" s="201" t="s">
        <v>4717</v>
      </c>
      <c r="F426" s="201" t="s">
        <v>3729</v>
      </c>
      <c r="G426" s="201" t="s">
        <v>123</v>
      </c>
      <c r="H426" s="201" t="s">
        <v>123</v>
      </c>
      <c r="I426" s="201" t="s">
        <v>4717</v>
      </c>
      <c r="J426" s="215" t="s">
        <v>1241</v>
      </c>
      <c r="K426" s="215"/>
      <c r="L426" s="215"/>
      <c r="M426" s="215"/>
      <c r="N426" s="201"/>
      <c r="O426" s="201"/>
      <c r="P426" s="201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</row>
    <row r="427" ht="24.75" customHeight="1">
      <c r="A427" s="201" t="s">
        <v>3615</v>
      </c>
      <c r="B427" s="201" t="s">
        <v>3459</v>
      </c>
      <c r="C427" s="201" t="s">
        <v>3615</v>
      </c>
      <c r="D427" s="201" t="s">
        <v>4719</v>
      </c>
      <c r="E427" s="201" t="s">
        <v>3615</v>
      </c>
      <c r="F427" s="201" t="s">
        <v>3729</v>
      </c>
      <c r="G427" s="201" t="s">
        <v>123</v>
      </c>
      <c r="H427" s="201" t="s">
        <v>123</v>
      </c>
      <c r="I427" s="201" t="s">
        <v>3615</v>
      </c>
      <c r="J427" s="215" t="s">
        <v>3619</v>
      </c>
      <c r="K427" s="215"/>
      <c r="L427" s="215"/>
      <c r="M427" s="215"/>
      <c r="N427" s="201"/>
      <c r="O427" s="201"/>
      <c r="P427" s="201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</row>
    <row r="428" ht="30.0" customHeight="1">
      <c r="A428" s="215" t="s">
        <v>765</v>
      </c>
      <c r="B428" s="215" t="s">
        <v>4720</v>
      </c>
      <c r="C428" s="215" t="s">
        <v>765</v>
      </c>
      <c r="D428" s="201" t="s">
        <v>4721</v>
      </c>
      <c r="E428" s="215" t="s">
        <v>765</v>
      </c>
      <c r="F428" s="201">
        <v>0.02</v>
      </c>
      <c r="G428" s="201" t="s">
        <v>123</v>
      </c>
      <c r="H428" s="255" t="s">
        <v>123</v>
      </c>
      <c r="I428" s="215" t="s">
        <v>765</v>
      </c>
      <c r="J428" s="215" t="s">
        <v>3632</v>
      </c>
      <c r="K428" s="215" t="s">
        <v>3755</v>
      </c>
      <c r="L428" s="216"/>
      <c r="M428" s="215" t="s">
        <v>4722</v>
      </c>
      <c r="N428" s="215" t="s">
        <v>4165</v>
      </c>
      <c r="O428" s="215" t="s">
        <v>1678</v>
      </c>
      <c r="P428" s="230" t="s">
        <v>4565</v>
      </c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</row>
    <row r="429" ht="24.75" customHeight="1">
      <c r="A429" s="215" t="s">
        <v>4723</v>
      </c>
      <c r="B429" s="201" t="s">
        <v>3459</v>
      </c>
      <c r="C429" s="215" t="s">
        <v>4723</v>
      </c>
      <c r="D429" s="201" t="s">
        <v>4724</v>
      </c>
      <c r="E429" s="215" t="s">
        <v>4723</v>
      </c>
      <c r="F429" s="201" t="s">
        <v>3662</v>
      </c>
      <c r="G429" s="201" t="s">
        <v>123</v>
      </c>
      <c r="H429" s="201" t="s">
        <v>123</v>
      </c>
      <c r="I429" s="215" t="s">
        <v>4723</v>
      </c>
      <c r="J429" s="215" t="s">
        <v>4725</v>
      </c>
      <c r="K429" s="215"/>
      <c r="L429" s="215"/>
      <c r="M429" s="215"/>
      <c r="N429" s="201"/>
      <c r="O429" s="201"/>
      <c r="P429" s="201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</row>
    <row r="430" ht="24.75" customHeight="1">
      <c r="A430" s="201" t="s">
        <v>3637</v>
      </c>
      <c r="B430" s="201"/>
      <c r="C430" s="201" t="s">
        <v>3637</v>
      </c>
      <c r="D430" s="201" t="s">
        <v>4726</v>
      </c>
      <c r="E430" s="201" t="s">
        <v>3637</v>
      </c>
      <c r="F430" s="201" t="s">
        <v>3972</v>
      </c>
      <c r="G430" s="201" t="s">
        <v>4727</v>
      </c>
      <c r="H430" s="201" t="s">
        <v>4013</v>
      </c>
      <c r="I430" s="201" t="s">
        <v>3637</v>
      </c>
      <c r="J430" s="215" t="s">
        <v>4728</v>
      </c>
      <c r="K430" s="215"/>
      <c r="L430" s="215"/>
      <c r="M430" s="215"/>
      <c r="N430" s="215"/>
      <c r="O430" s="215"/>
      <c r="P430" s="230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</row>
    <row r="431" ht="24.75" customHeight="1">
      <c r="A431" s="201" t="s">
        <v>4729</v>
      </c>
      <c r="B431" s="201" t="s">
        <v>3459</v>
      </c>
      <c r="C431" s="201" t="s">
        <v>4729</v>
      </c>
      <c r="D431" s="201" t="s">
        <v>4730</v>
      </c>
      <c r="E431" s="201" t="s">
        <v>4729</v>
      </c>
      <c r="F431" s="201" t="s">
        <v>3579</v>
      </c>
      <c r="G431" s="201" t="s">
        <v>123</v>
      </c>
      <c r="H431" s="201" t="s">
        <v>123</v>
      </c>
      <c r="I431" s="201" t="s">
        <v>4729</v>
      </c>
      <c r="J431" s="215" t="s">
        <v>967</v>
      </c>
      <c r="K431" s="215"/>
      <c r="L431" s="215"/>
      <c r="M431" s="215"/>
      <c r="N431" s="201"/>
      <c r="O431" s="201"/>
      <c r="P431" s="201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</row>
    <row r="432" ht="24.75" customHeight="1">
      <c r="A432" s="201" t="s">
        <v>4731</v>
      </c>
      <c r="B432" s="201" t="s">
        <v>3459</v>
      </c>
      <c r="C432" s="201" t="s">
        <v>4731</v>
      </c>
      <c r="D432" s="201" t="s">
        <v>122</v>
      </c>
      <c r="E432" s="201" t="s">
        <v>4731</v>
      </c>
      <c r="F432" s="201">
        <v>44.0</v>
      </c>
      <c r="G432" s="201">
        <v>88.0</v>
      </c>
      <c r="H432" s="201">
        <v>78.0</v>
      </c>
      <c r="I432" s="201" t="s">
        <v>4731</v>
      </c>
      <c r="J432" s="215" t="s">
        <v>4732</v>
      </c>
      <c r="K432" s="215"/>
      <c r="L432" s="215"/>
      <c r="M432" s="215"/>
      <c r="N432" s="201"/>
      <c r="O432" s="201"/>
      <c r="P432" s="201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</row>
    <row r="433" ht="24.75" customHeight="1">
      <c r="A433" s="201" t="s">
        <v>3663</v>
      </c>
      <c r="B433" s="201" t="s">
        <v>3459</v>
      </c>
      <c r="C433" s="201" t="s">
        <v>3663</v>
      </c>
      <c r="D433" s="201" t="s">
        <v>122</v>
      </c>
      <c r="E433" s="201" t="s">
        <v>3663</v>
      </c>
      <c r="F433" s="201">
        <v>176.0</v>
      </c>
      <c r="G433" s="201">
        <v>220.0</v>
      </c>
      <c r="H433" s="201" t="s">
        <v>123</v>
      </c>
      <c r="I433" s="201" t="s">
        <v>3663</v>
      </c>
      <c r="J433" s="215" t="s">
        <v>3664</v>
      </c>
      <c r="K433" s="215"/>
      <c r="L433" s="215"/>
      <c r="M433" s="215"/>
      <c r="N433" s="215"/>
      <c r="O433" s="215"/>
      <c r="P433" s="230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</row>
    <row r="434" ht="24.75" customHeight="1">
      <c r="A434" s="201" t="s">
        <v>4733</v>
      </c>
      <c r="B434" s="201" t="s">
        <v>3459</v>
      </c>
      <c r="C434" s="201" t="s">
        <v>4733</v>
      </c>
      <c r="D434" s="201" t="s">
        <v>122</v>
      </c>
      <c r="E434" s="201" t="s">
        <v>4733</v>
      </c>
      <c r="F434" s="201">
        <v>880.0</v>
      </c>
      <c r="G434" s="201" t="s">
        <v>123</v>
      </c>
      <c r="H434" s="201" t="s">
        <v>123</v>
      </c>
      <c r="I434" s="201" t="s">
        <v>4733</v>
      </c>
      <c r="J434" s="215" t="s">
        <v>3632</v>
      </c>
      <c r="K434" s="215"/>
      <c r="L434" s="215"/>
      <c r="M434" s="215"/>
      <c r="N434" s="215"/>
      <c r="O434" s="215"/>
      <c r="P434" s="230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</row>
    <row r="435" ht="24.75" customHeight="1">
      <c r="A435" s="201" t="s">
        <v>4734</v>
      </c>
      <c r="B435" s="201" t="s">
        <v>3459</v>
      </c>
      <c r="C435" s="201" t="s">
        <v>4734</v>
      </c>
      <c r="D435" s="201" t="s">
        <v>122</v>
      </c>
      <c r="E435" s="201" t="s">
        <v>4734</v>
      </c>
      <c r="F435" s="201">
        <v>880.0</v>
      </c>
      <c r="G435" s="201">
        <v>1100.0</v>
      </c>
      <c r="H435" s="201" t="s">
        <v>123</v>
      </c>
      <c r="I435" s="201" t="s">
        <v>4734</v>
      </c>
      <c r="J435" s="215" t="s">
        <v>3632</v>
      </c>
      <c r="K435" s="215"/>
      <c r="L435" s="215"/>
      <c r="M435" s="215"/>
      <c r="N435" s="201"/>
      <c r="O435" s="201"/>
      <c r="P435" s="201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</row>
    <row r="436" ht="24.75" customHeight="1">
      <c r="A436" s="201" t="s">
        <v>4735</v>
      </c>
      <c r="B436" s="201" t="s">
        <v>3459</v>
      </c>
      <c r="C436" s="201" t="s">
        <v>4735</v>
      </c>
      <c r="D436" s="201" t="s">
        <v>122</v>
      </c>
      <c r="E436" s="201" t="s">
        <v>4735</v>
      </c>
      <c r="F436" s="201" t="s">
        <v>3729</v>
      </c>
      <c r="G436" s="201" t="s">
        <v>123</v>
      </c>
      <c r="H436" s="201" t="s">
        <v>123</v>
      </c>
      <c r="I436" s="201" t="s">
        <v>4735</v>
      </c>
      <c r="J436" s="215" t="s">
        <v>4510</v>
      </c>
      <c r="K436" s="215"/>
      <c r="L436" s="215"/>
      <c r="M436" s="215"/>
      <c r="N436" s="201"/>
      <c r="O436" s="201"/>
      <c r="P436" s="201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</row>
    <row r="437" ht="24.75" customHeight="1">
      <c r="A437" s="201" t="s">
        <v>4736</v>
      </c>
      <c r="B437" s="201" t="s">
        <v>3459</v>
      </c>
      <c r="C437" s="201" t="s">
        <v>4736</v>
      </c>
      <c r="D437" s="201" t="s">
        <v>122</v>
      </c>
      <c r="E437" s="201" t="s">
        <v>4736</v>
      </c>
      <c r="F437" s="201">
        <v>880.0</v>
      </c>
      <c r="G437" s="201" t="s">
        <v>123</v>
      </c>
      <c r="H437" s="201" t="s">
        <v>123</v>
      </c>
      <c r="I437" s="201" t="s">
        <v>4736</v>
      </c>
      <c r="J437" s="215" t="s">
        <v>2378</v>
      </c>
      <c r="K437" s="215"/>
      <c r="L437" s="215"/>
      <c r="M437" s="215"/>
      <c r="N437" s="201"/>
      <c r="O437" s="201"/>
      <c r="P437" s="201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</row>
    <row r="438" ht="24.75" customHeight="1">
      <c r="A438" s="201" t="s">
        <v>4737</v>
      </c>
      <c r="B438" s="201" t="s">
        <v>3459</v>
      </c>
      <c r="C438" s="201" t="s">
        <v>4737</v>
      </c>
      <c r="D438" s="201" t="s">
        <v>122</v>
      </c>
      <c r="E438" s="201" t="s">
        <v>4737</v>
      </c>
      <c r="F438" s="201" t="s">
        <v>3579</v>
      </c>
      <c r="G438" s="201" t="s">
        <v>3560</v>
      </c>
      <c r="H438" s="201">
        <v>8.0</v>
      </c>
      <c r="I438" s="201" t="s">
        <v>4737</v>
      </c>
      <c r="J438" s="215" t="s">
        <v>1199</v>
      </c>
      <c r="K438" s="215"/>
      <c r="L438" s="215"/>
      <c r="M438" s="215"/>
      <c r="N438" s="201"/>
      <c r="O438" s="201"/>
      <c r="P438" s="201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</row>
    <row r="439" ht="24.75" customHeight="1">
      <c r="A439" s="201" t="s">
        <v>4738</v>
      </c>
      <c r="B439" s="201" t="s">
        <v>3459</v>
      </c>
      <c r="C439" s="201" t="s">
        <v>4738</v>
      </c>
      <c r="D439" s="201" t="s">
        <v>122</v>
      </c>
      <c r="E439" s="201" t="s">
        <v>4738</v>
      </c>
      <c r="F439" s="201">
        <v>44.0</v>
      </c>
      <c r="G439" s="201" t="s">
        <v>123</v>
      </c>
      <c r="H439" s="201" t="s">
        <v>123</v>
      </c>
      <c r="I439" s="201" t="s">
        <v>4738</v>
      </c>
      <c r="J439" s="215" t="s">
        <v>3708</v>
      </c>
      <c r="K439" s="215"/>
      <c r="L439" s="215"/>
      <c r="M439" s="215"/>
      <c r="N439" s="201"/>
      <c r="O439" s="201"/>
      <c r="P439" s="201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</row>
    <row r="440" ht="24.75" customHeight="1">
      <c r="A440" s="201" t="s">
        <v>4739</v>
      </c>
      <c r="B440" s="201" t="s">
        <v>3459</v>
      </c>
      <c r="C440" s="201" t="s">
        <v>4739</v>
      </c>
      <c r="D440" s="201" t="s">
        <v>122</v>
      </c>
      <c r="E440" s="201" t="s">
        <v>4739</v>
      </c>
      <c r="F440" s="201" t="s">
        <v>3668</v>
      </c>
      <c r="G440" s="201" t="s">
        <v>123</v>
      </c>
      <c r="H440" s="201" t="s">
        <v>123</v>
      </c>
      <c r="I440" s="201" t="s">
        <v>4739</v>
      </c>
      <c r="J440" s="215" t="s">
        <v>4740</v>
      </c>
      <c r="K440" s="215"/>
      <c r="L440" s="215"/>
      <c r="M440" s="215"/>
      <c r="N440" s="201"/>
      <c r="O440" s="201"/>
      <c r="P440" s="201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</row>
    <row r="441" ht="24.75" customHeight="1">
      <c r="A441" s="201" t="s">
        <v>4741</v>
      </c>
      <c r="B441" s="201" t="s">
        <v>3459</v>
      </c>
      <c r="C441" s="201" t="s">
        <v>4741</v>
      </c>
      <c r="D441" s="201" t="s">
        <v>122</v>
      </c>
      <c r="E441" s="201" t="s">
        <v>4741</v>
      </c>
      <c r="F441" s="201" t="s">
        <v>3579</v>
      </c>
      <c r="G441" s="201" t="s">
        <v>3472</v>
      </c>
      <c r="H441" s="201" t="s">
        <v>123</v>
      </c>
      <c r="I441" s="201" t="s">
        <v>4741</v>
      </c>
      <c r="J441" s="215" t="s">
        <v>4742</v>
      </c>
      <c r="K441" s="215"/>
      <c r="L441" s="215"/>
      <c r="M441" s="215"/>
      <c r="N441" s="201"/>
      <c r="O441" s="201"/>
      <c r="P441" s="201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</row>
    <row r="442" ht="24.75" customHeight="1">
      <c r="A442" s="201" t="s">
        <v>3682</v>
      </c>
      <c r="B442" s="201" t="s">
        <v>3459</v>
      </c>
      <c r="C442" s="201" t="s">
        <v>3682</v>
      </c>
      <c r="D442" s="201" t="s">
        <v>122</v>
      </c>
      <c r="E442" s="201" t="s">
        <v>3682</v>
      </c>
      <c r="F442" s="201">
        <v>352.0</v>
      </c>
      <c r="G442" s="201" t="s">
        <v>123</v>
      </c>
      <c r="H442" s="201" t="s">
        <v>123</v>
      </c>
      <c r="I442" s="201" t="s">
        <v>3682</v>
      </c>
      <c r="J442" s="215" t="s">
        <v>4743</v>
      </c>
      <c r="K442" s="215"/>
      <c r="L442" s="215"/>
      <c r="M442" s="215"/>
      <c r="N442" s="201"/>
      <c r="O442" s="201"/>
      <c r="P442" s="201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</row>
    <row r="443" ht="24.75" customHeight="1">
      <c r="A443" s="201" t="s">
        <v>4744</v>
      </c>
      <c r="B443" s="201" t="s">
        <v>3459</v>
      </c>
      <c r="C443" s="201" t="s">
        <v>4744</v>
      </c>
      <c r="D443" s="201" t="s">
        <v>122</v>
      </c>
      <c r="E443" s="201" t="s">
        <v>4744</v>
      </c>
      <c r="F443" s="201">
        <v>44.0</v>
      </c>
      <c r="G443" s="201" t="s">
        <v>123</v>
      </c>
      <c r="H443" s="201">
        <v>39.0</v>
      </c>
      <c r="I443" s="201" t="s">
        <v>4744</v>
      </c>
      <c r="J443" s="215" t="s">
        <v>149</v>
      </c>
      <c r="K443" s="215"/>
      <c r="L443" s="215"/>
      <c r="M443" s="215"/>
      <c r="N443" s="201"/>
      <c r="O443" s="201"/>
      <c r="P443" s="201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</row>
    <row r="444" ht="24.75" customHeight="1">
      <c r="A444" s="201" t="s">
        <v>4745</v>
      </c>
      <c r="B444" s="201" t="s">
        <v>3459</v>
      </c>
      <c r="C444" s="201" t="s">
        <v>4745</v>
      </c>
      <c r="D444" s="201" t="s">
        <v>122</v>
      </c>
      <c r="E444" s="201" t="s">
        <v>4745</v>
      </c>
      <c r="F444" s="201">
        <v>44.0</v>
      </c>
      <c r="G444" s="201">
        <v>66.0</v>
      </c>
      <c r="H444" s="201" t="s">
        <v>123</v>
      </c>
      <c r="I444" s="201" t="s">
        <v>4745</v>
      </c>
      <c r="J444" s="215" t="s">
        <v>3520</v>
      </c>
      <c r="K444" s="215"/>
      <c r="L444" s="215"/>
      <c r="M444" s="215"/>
      <c r="N444" s="201"/>
      <c r="O444" s="201"/>
      <c r="P444" s="201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</row>
    <row r="445" ht="24.75" customHeight="1">
      <c r="A445" s="215" t="s">
        <v>4746</v>
      </c>
      <c r="B445" s="201" t="s">
        <v>3459</v>
      </c>
      <c r="C445" s="215" t="s">
        <v>4746</v>
      </c>
      <c r="D445" s="201" t="s">
        <v>4747</v>
      </c>
      <c r="E445" s="215" t="s">
        <v>4746</v>
      </c>
      <c r="F445" s="201" t="s">
        <v>3819</v>
      </c>
      <c r="G445" s="201" t="s">
        <v>123</v>
      </c>
      <c r="H445" s="201" t="s">
        <v>123</v>
      </c>
      <c r="I445" s="215" t="s">
        <v>4746</v>
      </c>
      <c r="J445" s="215" t="s">
        <v>4748</v>
      </c>
      <c r="K445" s="215"/>
      <c r="L445" s="215"/>
      <c r="M445" s="215"/>
      <c r="N445" s="201"/>
      <c r="O445" s="201"/>
      <c r="P445" s="201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</row>
    <row r="446" ht="24.75" customHeight="1">
      <c r="A446" s="201" t="s">
        <v>4749</v>
      </c>
      <c r="B446" s="201" t="s">
        <v>3459</v>
      </c>
      <c r="C446" s="201" t="s">
        <v>4749</v>
      </c>
      <c r="D446" s="201" t="s">
        <v>4750</v>
      </c>
      <c r="E446" s="201" t="s">
        <v>4749</v>
      </c>
      <c r="F446" s="201" t="s">
        <v>4214</v>
      </c>
      <c r="G446" s="201" t="s">
        <v>123</v>
      </c>
      <c r="H446" s="201" t="s">
        <v>4103</v>
      </c>
      <c r="I446" s="201" t="s">
        <v>4749</v>
      </c>
      <c r="J446" s="215" t="s">
        <v>3619</v>
      </c>
      <c r="K446" s="215"/>
      <c r="L446" s="215"/>
      <c r="M446" s="215"/>
      <c r="N446" s="201"/>
      <c r="O446" s="201"/>
      <c r="P446" s="201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</row>
    <row r="447" ht="39.75" customHeight="1">
      <c r="A447" s="215" t="s">
        <v>3669</v>
      </c>
      <c r="B447" s="201" t="s">
        <v>3459</v>
      </c>
      <c r="C447" s="215" t="s">
        <v>3669</v>
      </c>
      <c r="D447" s="201" t="s">
        <v>122</v>
      </c>
      <c r="E447" s="215" t="s">
        <v>3669</v>
      </c>
      <c r="F447" s="201">
        <v>176.0</v>
      </c>
      <c r="G447" s="201">
        <v>264.0</v>
      </c>
      <c r="H447" s="201">
        <v>155.0</v>
      </c>
      <c r="I447" s="215" t="s">
        <v>3669</v>
      </c>
      <c r="J447" s="215" t="s">
        <v>4751</v>
      </c>
      <c r="K447" s="215" t="s">
        <v>4049</v>
      </c>
      <c r="L447" s="215" t="s">
        <v>4108</v>
      </c>
      <c r="M447" s="215" t="s">
        <v>4752</v>
      </c>
      <c r="N447" s="215" t="s">
        <v>4179</v>
      </c>
      <c r="O447" s="215" t="s">
        <v>3852</v>
      </c>
      <c r="P447" s="230" t="s">
        <v>4753</v>
      </c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</row>
    <row r="448" ht="24.75" customHeight="1">
      <c r="A448" s="201" t="s">
        <v>4754</v>
      </c>
      <c r="B448" s="201" t="s">
        <v>3459</v>
      </c>
      <c r="C448" s="201" t="s">
        <v>4754</v>
      </c>
      <c r="D448" s="201" t="s">
        <v>122</v>
      </c>
      <c r="E448" s="201" t="s">
        <v>4754</v>
      </c>
      <c r="F448" s="201" t="s">
        <v>3472</v>
      </c>
      <c r="G448" s="201" t="s">
        <v>123</v>
      </c>
      <c r="H448" s="201" t="s">
        <v>123</v>
      </c>
      <c r="I448" s="201" t="s">
        <v>4754</v>
      </c>
      <c r="J448" s="215" t="s">
        <v>4755</v>
      </c>
      <c r="K448" s="215"/>
      <c r="L448" s="215"/>
      <c r="M448" s="215"/>
      <c r="N448" s="201"/>
      <c r="O448" s="201"/>
      <c r="P448" s="201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</row>
    <row r="449" ht="24.75" customHeight="1">
      <c r="A449" s="201" t="s">
        <v>4756</v>
      </c>
      <c r="B449" s="201" t="s">
        <v>3459</v>
      </c>
      <c r="C449" s="201" t="s">
        <v>4756</v>
      </c>
      <c r="D449" s="201" t="s">
        <v>122</v>
      </c>
      <c r="E449" s="201" t="s">
        <v>4756</v>
      </c>
      <c r="F449" s="201" t="s">
        <v>3972</v>
      </c>
      <c r="G449" s="201" t="s">
        <v>123</v>
      </c>
      <c r="H449" s="201" t="s">
        <v>123</v>
      </c>
      <c r="I449" s="201" t="s">
        <v>4756</v>
      </c>
      <c r="J449" s="215" t="s">
        <v>4757</v>
      </c>
      <c r="K449" s="215"/>
      <c r="L449" s="215"/>
      <c r="M449" s="215"/>
      <c r="N449" s="201"/>
      <c r="O449" s="201"/>
      <c r="P449" s="201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</row>
    <row r="450" ht="24.75" customHeight="1">
      <c r="A450" s="201" t="s">
        <v>4758</v>
      </c>
      <c r="B450" s="201" t="s">
        <v>3459</v>
      </c>
      <c r="C450" s="201" t="s">
        <v>4758</v>
      </c>
      <c r="D450" s="201" t="s">
        <v>122</v>
      </c>
      <c r="E450" s="201" t="s">
        <v>4758</v>
      </c>
      <c r="F450" s="201" t="s">
        <v>3501</v>
      </c>
      <c r="G450" s="201">
        <v>44.0</v>
      </c>
      <c r="H450" s="201" t="s">
        <v>123</v>
      </c>
      <c r="I450" s="201" t="s">
        <v>4758</v>
      </c>
      <c r="J450" s="215" t="s">
        <v>3865</v>
      </c>
      <c r="K450" s="215"/>
      <c r="L450" s="215"/>
      <c r="M450" s="215"/>
      <c r="N450" s="201"/>
      <c r="O450" s="201"/>
      <c r="P450" s="201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</row>
    <row r="451" ht="24.75" customHeight="1">
      <c r="A451" s="201" t="s">
        <v>4759</v>
      </c>
      <c r="B451" s="201" t="s">
        <v>3459</v>
      </c>
      <c r="C451" s="201" t="s">
        <v>4759</v>
      </c>
      <c r="D451" s="201" t="s">
        <v>122</v>
      </c>
      <c r="E451" s="201" t="s">
        <v>4759</v>
      </c>
      <c r="F451" s="201">
        <v>22.0</v>
      </c>
      <c r="G451" s="201" t="s">
        <v>4760</v>
      </c>
      <c r="H451" s="201">
        <v>20.0</v>
      </c>
      <c r="I451" s="201" t="s">
        <v>4759</v>
      </c>
      <c r="J451" s="215" t="s">
        <v>3520</v>
      </c>
      <c r="K451" s="215"/>
      <c r="L451" s="215"/>
      <c r="M451" s="215"/>
      <c r="N451" s="201"/>
      <c r="O451" s="201"/>
      <c r="P451" s="201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</row>
    <row r="452" ht="39.75" customHeight="1">
      <c r="A452" s="215" t="s">
        <v>3677</v>
      </c>
      <c r="B452" s="201" t="s">
        <v>3459</v>
      </c>
      <c r="C452" s="215" t="s">
        <v>3677</v>
      </c>
      <c r="D452" s="201" t="s">
        <v>122</v>
      </c>
      <c r="E452" s="215" t="s">
        <v>3677</v>
      </c>
      <c r="F452" s="201">
        <v>17.6</v>
      </c>
      <c r="G452" s="201">
        <v>67.8</v>
      </c>
      <c r="H452" s="201" t="s">
        <v>123</v>
      </c>
      <c r="I452" s="215" t="s">
        <v>3677</v>
      </c>
      <c r="J452" s="215" t="s">
        <v>3678</v>
      </c>
      <c r="K452" s="215" t="s">
        <v>4049</v>
      </c>
      <c r="L452" s="215" t="s">
        <v>4671</v>
      </c>
      <c r="M452" s="213" t="s">
        <v>3572</v>
      </c>
      <c r="N452" s="215" t="s">
        <v>4179</v>
      </c>
      <c r="O452" s="201" t="s">
        <v>3852</v>
      </c>
      <c r="P452" s="201" t="s">
        <v>3853</v>
      </c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</row>
    <row r="453" ht="24.75" customHeight="1">
      <c r="A453" s="201" t="s">
        <v>4761</v>
      </c>
      <c r="B453" s="201" t="s">
        <v>3459</v>
      </c>
      <c r="C453" s="201" t="s">
        <v>4761</v>
      </c>
      <c r="D453" s="201" t="s">
        <v>122</v>
      </c>
      <c r="E453" s="201" t="s">
        <v>4761</v>
      </c>
      <c r="F453" s="201" t="s">
        <v>3501</v>
      </c>
      <c r="G453" s="201" t="s">
        <v>123</v>
      </c>
      <c r="H453" s="201" t="s">
        <v>123</v>
      </c>
      <c r="I453" s="201" t="s">
        <v>4761</v>
      </c>
      <c r="J453" s="215" t="s">
        <v>4762</v>
      </c>
      <c r="K453" s="215"/>
      <c r="L453" s="215"/>
      <c r="M453" s="215"/>
      <c r="N453" s="201"/>
      <c r="O453" s="201"/>
      <c r="P453" s="201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</row>
    <row r="454" ht="24.75" customHeight="1">
      <c r="A454" s="201" t="s">
        <v>4763</v>
      </c>
      <c r="B454" s="201" t="s">
        <v>3459</v>
      </c>
      <c r="C454" s="201" t="s">
        <v>4763</v>
      </c>
      <c r="D454" s="201" t="s">
        <v>122</v>
      </c>
      <c r="E454" s="201" t="s">
        <v>4763</v>
      </c>
      <c r="F454" s="201" t="s">
        <v>3668</v>
      </c>
      <c r="G454" s="201" t="s">
        <v>123</v>
      </c>
      <c r="H454" s="201" t="s">
        <v>4013</v>
      </c>
      <c r="I454" s="201" t="s">
        <v>4763</v>
      </c>
      <c r="J454" s="215" t="s">
        <v>124</v>
      </c>
      <c r="K454" s="215"/>
      <c r="L454" s="215"/>
      <c r="M454" s="215"/>
      <c r="N454" s="201"/>
      <c r="O454" s="201"/>
      <c r="P454" s="201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</row>
    <row r="455" ht="24.75" customHeight="1">
      <c r="A455" s="215" t="s">
        <v>4764</v>
      </c>
      <c r="B455" s="201" t="s">
        <v>3459</v>
      </c>
      <c r="C455" s="215" t="s">
        <v>4764</v>
      </c>
      <c r="D455" s="201" t="s">
        <v>122</v>
      </c>
      <c r="E455" s="215" t="s">
        <v>4764</v>
      </c>
      <c r="F455" s="201" t="s">
        <v>3668</v>
      </c>
      <c r="G455" s="201" t="s">
        <v>123</v>
      </c>
      <c r="H455" s="201" t="s">
        <v>123</v>
      </c>
      <c r="I455" s="215" t="s">
        <v>4764</v>
      </c>
      <c r="J455" s="215" t="s">
        <v>4765</v>
      </c>
      <c r="K455" s="215"/>
      <c r="L455" s="215"/>
      <c r="M455" s="215"/>
      <c r="N455" s="201"/>
      <c r="O455" s="201"/>
      <c r="P455" s="201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</row>
    <row r="456" ht="24.75" customHeight="1">
      <c r="A456" s="201" t="s">
        <v>4766</v>
      </c>
      <c r="B456" s="201" t="s">
        <v>3459</v>
      </c>
      <c r="C456" s="201" t="s">
        <v>4766</v>
      </c>
      <c r="D456" s="201" t="s">
        <v>4767</v>
      </c>
      <c r="E456" s="201" t="s">
        <v>4766</v>
      </c>
      <c r="F456" s="201" t="s">
        <v>4315</v>
      </c>
      <c r="G456" s="201" t="s">
        <v>123</v>
      </c>
      <c r="H456" s="201" t="s">
        <v>123</v>
      </c>
      <c r="I456" s="201" t="s">
        <v>4766</v>
      </c>
      <c r="J456" s="215" t="s">
        <v>3619</v>
      </c>
      <c r="K456" s="215"/>
      <c r="L456" s="215"/>
      <c r="M456" s="215"/>
      <c r="N456" s="201"/>
      <c r="O456" s="201"/>
      <c r="P456" s="201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</row>
    <row r="457" ht="24.75" customHeight="1">
      <c r="A457" s="201" t="s">
        <v>4768</v>
      </c>
      <c r="B457" s="201" t="s">
        <v>3459</v>
      </c>
      <c r="C457" s="201" t="s">
        <v>4768</v>
      </c>
      <c r="D457" s="201" t="s">
        <v>122</v>
      </c>
      <c r="E457" s="201" t="s">
        <v>4768</v>
      </c>
      <c r="F457" s="201" t="s">
        <v>123</v>
      </c>
      <c r="G457" s="201">
        <v>132.0</v>
      </c>
      <c r="H457" s="201" t="s">
        <v>123</v>
      </c>
      <c r="I457" s="201" t="s">
        <v>4768</v>
      </c>
      <c r="J457" s="215" t="s">
        <v>4769</v>
      </c>
      <c r="K457" s="215"/>
      <c r="L457" s="215"/>
      <c r="M457" s="215"/>
      <c r="N457" s="201"/>
      <c r="O457" s="201"/>
      <c r="P457" s="201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</row>
    <row r="458" ht="24.75" customHeight="1">
      <c r="A458" s="201" t="s">
        <v>4770</v>
      </c>
      <c r="B458" s="201" t="s">
        <v>3459</v>
      </c>
      <c r="C458" s="201" t="s">
        <v>4770</v>
      </c>
      <c r="D458" s="201" t="s">
        <v>122</v>
      </c>
      <c r="E458" s="201" t="s">
        <v>4770</v>
      </c>
      <c r="F458" s="201" t="s">
        <v>123</v>
      </c>
      <c r="G458" s="201" t="s">
        <v>3819</v>
      </c>
      <c r="H458" s="201" t="s">
        <v>123</v>
      </c>
      <c r="I458" s="201" t="s">
        <v>4770</v>
      </c>
      <c r="J458" s="215" t="s">
        <v>3520</v>
      </c>
      <c r="K458" s="215"/>
      <c r="L458" s="215"/>
      <c r="M458" s="215"/>
      <c r="N458" s="201"/>
      <c r="O458" s="201"/>
      <c r="P458" s="201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</row>
    <row r="459" ht="24.75" customHeight="1">
      <c r="A459" s="215" t="s">
        <v>4771</v>
      </c>
      <c r="B459" s="201" t="s">
        <v>3459</v>
      </c>
      <c r="C459" s="215" t="s">
        <v>4771</v>
      </c>
      <c r="D459" s="201" t="s">
        <v>122</v>
      </c>
      <c r="E459" s="215" t="s">
        <v>4771</v>
      </c>
      <c r="F459" s="201" t="s">
        <v>3972</v>
      </c>
      <c r="G459" s="201" t="s">
        <v>123</v>
      </c>
      <c r="H459" s="201" t="s">
        <v>123</v>
      </c>
      <c r="I459" s="215" t="s">
        <v>4771</v>
      </c>
      <c r="J459" s="215" t="s">
        <v>4772</v>
      </c>
      <c r="K459" s="215"/>
      <c r="L459" s="215"/>
      <c r="M459" s="215"/>
      <c r="N459" s="201"/>
      <c r="O459" s="201"/>
      <c r="P459" s="201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</row>
    <row r="460" ht="24.75" customHeight="1">
      <c r="A460" s="201" t="s">
        <v>4773</v>
      </c>
      <c r="B460" s="201" t="s">
        <v>3459</v>
      </c>
      <c r="C460" s="201" t="s">
        <v>4773</v>
      </c>
      <c r="D460" s="201" t="s">
        <v>122</v>
      </c>
      <c r="E460" s="201" t="s">
        <v>4773</v>
      </c>
      <c r="F460" s="201" t="s">
        <v>3972</v>
      </c>
      <c r="G460" s="201" t="s">
        <v>123</v>
      </c>
      <c r="H460" s="201" t="s">
        <v>123</v>
      </c>
      <c r="I460" s="201" t="s">
        <v>4773</v>
      </c>
      <c r="J460" s="215" t="s">
        <v>124</v>
      </c>
      <c r="K460" s="215"/>
      <c r="L460" s="215"/>
      <c r="M460" s="215"/>
      <c r="N460" s="201"/>
      <c r="O460" s="201"/>
      <c r="P460" s="201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</row>
    <row r="461" ht="36.75" customHeight="1">
      <c r="A461" s="201" t="s">
        <v>4774</v>
      </c>
      <c r="B461" s="201" t="s">
        <v>3459</v>
      </c>
      <c r="C461" s="201" t="s">
        <v>4774</v>
      </c>
      <c r="D461" s="201" t="s">
        <v>4775</v>
      </c>
      <c r="E461" s="201" t="s">
        <v>4774</v>
      </c>
      <c r="F461" s="201" t="s">
        <v>3819</v>
      </c>
      <c r="G461" s="201" t="s">
        <v>123</v>
      </c>
      <c r="H461" s="201" t="s">
        <v>123</v>
      </c>
      <c r="I461" s="201" t="s">
        <v>4774</v>
      </c>
      <c r="J461" s="215" t="s">
        <v>4776</v>
      </c>
      <c r="K461" s="215"/>
      <c r="L461" s="215"/>
      <c r="M461" s="215"/>
      <c r="N461" s="201"/>
      <c r="O461" s="201"/>
      <c r="P461" s="201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</row>
    <row r="462" ht="24.75" customHeight="1">
      <c r="A462" s="201" t="s">
        <v>4777</v>
      </c>
      <c r="B462" s="201" t="s">
        <v>3459</v>
      </c>
      <c r="C462" s="201" t="s">
        <v>4777</v>
      </c>
      <c r="D462" s="201" t="s">
        <v>4778</v>
      </c>
      <c r="E462" s="201" t="s">
        <v>4777</v>
      </c>
      <c r="F462" s="201" t="s">
        <v>3472</v>
      </c>
      <c r="G462" s="201" t="s">
        <v>123</v>
      </c>
      <c r="H462" s="201" t="s">
        <v>123</v>
      </c>
      <c r="I462" s="201" t="s">
        <v>4777</v>
      </c>
      <c r="J462" s="215" t="s">
        <v>4090</v>
      </c>
      <c r="K462" s="215"/>
      <c r="L462" s="215"/>
      <c r="M462" s="215"/>
      <c r="N462" s="201"/>
      <c r="O462" s="201"/>
      <c r="P462" s="201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</row>
    <row r="463" ht="24.75" customHeight="1">
      <c r="A463" s="201" t="s">
        <v>4779</v>
      </c>
      <c r="B463" s="201" t="s">
        <v>3459</v>
      </c>
      <c r="C463" s="201" t="s">
        <v>4779</v>
      </c>
      <c r="D463" s="201" t="s">
        <v>122</v>
      </c>
      <c r="E463" s="201" t="s">
        <v>4779</v>
      </c>
      <c r="F463" s="201" t="s">
        <v>3662</v>
      </c>
      <c r="G463" s="201" t="s">
        <v>123</v>
      </c>
      <c r="H463" s="201" t="s">
        <v>123</v>
      </c>
      <c r="I463" s="201" t="s">
        <v>4779</v>
      </c>
      <c r="J463" s="215" t="s">
        <v>4780</v>
      </c>
      <c r="K463" s="215"/>
      <c r="L463" s="215"/>
      <c r="M463" s="215"/>
      <c r="N463" s="201"/>
      <c r="O463" s="201"/>
      <c r="P463" s="201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</row>
    <row r="464" ht="24.75" customHeight="1">
      <c r="A464" s="215" t="s">
        <v>4781</v>
      </c>
      <c r="B464" s="201" t="s">
        <v>3459</v>
      </c>
      <c r="C464" s="215" t="s">
        <v>4781</v>
      </c>
      <c r="D464" s="201" t="s">
        <v>122</v>
      </c>
      <c r="E464" s="215" t="s">
        <v>4781</v>
      </c>
      <c r="F464" s="201">
        <v>88.0</v>
      </c>
      <c r="G464" s="201">
        <v>132.0</v>
      </c>
      <c r="H464" s="201" t="s">
        <v>123</v>
      </c>
      <c r="I464" s="215" t="s">
        <v>4781</v>
      </c>
      <c r="J464" s="215" t="s">
        <v>3520</v>
      </c>
      <c r="K464" s="215"/>
      <c r="L464" s="215"/>
      <c r="M464" s="215"/>
      <c r="N464" s="201"/>
      <c r="O464" s="201"/>
      <c r="P464" s="201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</row>
    <row r="465" ht="24.75" customHeight="1">
      <c r="A465" s="201" t="s">
        <v>4782</v>
      </c>
      <c r="B465" s="201" t="s">
        <v>3459</v>
      </c>
      <c r="C465" s="201" t="s">
        <v>4782</v>
      </c>
      <c r="D465" s="201" t="s">
        <v>4783</v>
      </c>
      <c r="E465" s="201" t="s">
        <v>4782</v>
      </c>
      <c r="F465" s="201" t="s">
        <v>3579</v>
      </c>
      <c r="G465" s="201" t="s">
        <v>123</v>
      </c>
      <c r="H465" s="201" t="s">
        <v>123</v>
      </c>
      <c r="I465" s="201" t="s">
        <v>4782</v>
      </c>
      <c r="J465" s="215" t="s">
        <v>4784</v>
      </c>
      <c r="K465" s="215"/>
      <c r="L465" s="215"/>
      <c r="M465" s="215"/>
      <c r="N465" s="201"/>
      <c r="O465" s="201"/>
      <c r="P465" s="201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</row>
    <row r="466" ht="24.75" customHeight="1">
      <c r="A466" s="201" t="s">
        <v>4785</v>
      </c>
      <c r="B466" s="201" t="s">
        <v>3459</v>
      </c>
      <c r="C466" s="201" t="s">
        <v>4785</v>
      </c>
      <c r="D466" s="201" t="s">
        <v>122</v>
      </c>
      <c r="E466" s="201" t="s">
        <v>4785</v>
      </c>
      <c r="F466" s="201">
        <v>44.0</v>
      </c>
      <c r="G466" s="201">
        <v>88.0</v>
      </c>
      <c r="H466" s="201" t="s">
        <v>123</v>
      </c>
      <c r="I466" s="201" t="s">
        <v>4785</v>
      </c>
      <c r="J466" s="215" t="s">
        <v>149</v>
      </c>
      <c r="K466" s="215"/>
      <c r="L466" s="215"/>
      <c r="M466" s="215"/>
      <c r="N466" s="201"/>
      <c r="O466" s="201"/>
      <c r="P466" s="201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</row>
    <row r="467" ht="24.75" customHeight="1">
      <c r="A467" s="201" t="s">
        <v>4786</v>
      </c>
      <c r="B467" s="201" t="s">
        <v>3459</v>
      </c>
      <c r="C467" s="201" t="s">
        <v>4786</v>
      </c>
      <c r="D467" s="201" t="s">
        <v>4787</v>
      </c>
      <c r="E467" s="201" t="s">
        <v>4786</v>
      </c>
      <c r="F467" s="201" t="s">
        <v>3579</v>
      </c>
      <c r="G467" s="201" t="s">
        <v>123</v>
      </c>
      <c r="H467" s="201" t="s">
        <v>123</v>
      </c>
      <c r="I467" s="201" t="s">
        <v>4786</v>
      </c>
      <c r="J467" s="215" t="s">
        <v>4788</v>
      </c>
      <c r="K467" s="215"/>
      <c r="L467" s="215"/>
      <c r="M467" s="215"/>
      <c r="N467" s="201"/>
      <c r="O467" s="201"/>
      <c r="P467" s="201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</row>
    <row r="468" ht="24.75" customHeight="1">
      <c r="A468" s="201" t="s">
        <v>4789</v>
      </c>
      <c r="B468" s="201" t="s">
        <v>3459</v>
      </c>
      <c r="C468" s="201" t="s">
        <v>4789</v>
      </c>
      <c r="D468" s="201" t="s">
        <v>4790</v>
      </c>
      <c r="E468" s="201" t="s">
        <v>4789</v>
      </c>
      <c r="F468" s="201" t="s">
        <v>3972</v>
      </c>
      <c r="G468" s="201" t="s">
        <v>123</v>
      </c>
      <c r="H468" s="201" t="s">
        <v>123</v>
      </c>
      <c r="I468" s="201" t="s">
        <v>4789</v>
      </c>
      <c r="J468" s="215" t="s">
        <v>3619</v>
      </c>
      <c r="K468" s="215"/>
      <c r="L468" s="215"/>
      <c r="M468" s="215"/>
      <c r="N468" s="201"/>
      <c r="O468" s="201"/>
      <c r="P468" s="201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</row>
    <row r="469" ht="24.75" customHeight="1">
      <c r="A469" s="201" t="s">
        <v>4791</v>
      </c>
      <c r="B469" s="201" t="s">
        <v>3459</v>
      </c>
      <c r="C469" s="201" t="s">
        <v>4791</v>
      </c>
      <c r="D469" s="201" t="s">
        <v>4792</v>
      </c>
      <c r="E469" s="201" t="s">
        <v>4791</v>
      </c>
      <c r="F469" s="201" t="s">
        <v>3954</v>
      </c>
      <c r="G469" s="201" t="s">
        <v>123</v>
      </c>
      <c r="H469" s="201" t="s">
        <v>123</v>
      </c>
      <c r="I469" s="201" t="s">
        <v>4791</v>
      </c>
      <c r="J469" s="215" t="s">
        <v>3009</v>
      </c>
      <c r="K469" s="215"/>
      <c r="L469" s="215"/>
      <c r="M469" s="215"/>
      <c r="N469" s="201"/>
      <c r="O469" s="201"/>
      <c r="P469" s="201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</row>
    <row r="470" ht="24.75" customHeight="1">
      <c r="A470" s="201" t="s">
        <v>3688</v>
      </c>
      <c r="B470" s="201" t="s">
        <v>3459</v>
      </c>
      <c r="C470" s="201" t="s">
        <v>3688</v>
      </c>
      <c r="D470" s="201" t="s">
        <v>4793</v>
      </c>
      <c r="E470" s="201" t="s">
        <v>3688</v>
      </c>
      <c r="F470" s="201" t="s">
        <v>3668</v>
      </c>
      <c r="G470" s="201" t="s">
        <v>123</v>
      </c>
      <c r="H470" s="201" t="s">
        <v>123</v>
      </c>
      <c r="I470" s="201" t="s">
        <v>3688</v>
      </c>
      <c r="J470" s="215" t="s">
        <v>2955</v>
      </c>
      <c r="K470" s="215"/>
      <c r="L470" s="215"/>
      <c r="M470" s="215"/>
      <c r="N470" s="201"/>
      <c r="O470" s="201"/>
      <c r="P470" s="201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</row>
    <row r="471" ht="24.75" customHeight="1">
      <c r="A471" s="201" t="s">
        <v>4794</v>
      </c>
      <c r="B471" s="201" t="s">
        <v>3459</v>
      </c>
      <c r="C471" s="201" t="s">
        <v>4794</v>
      </c>
      <c r="D471" s="201" t="s">
        <v>4795</v>
      </c>
      <c r="E471" s="201" t="s">
        <v>4794</v>
      </c>
      <c r="F471" s="201" t="s">
        <v>4214</v>
      </c>
      <c r="G471" s="201" t="s">
        <v>123</v>
      </c>
      <c r="H471" s="201" t="s">
        <v>123</v>
      </c>
      <c r="I471" s="201" t="s">
        <v>4794</v>
      </c>
      <c r="J471" s="215" t="s">
        <v>3619</v>
      </c>
      <c r="K471" s="215"/>
      <c r="L471" s="215"/>
      <c r="M471" s="215"/>
      <c r="N471" s="201"/>
      <c r="O471" s="201"/>
      <c r="P471" s="201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</row>
    <row r="472" ht="39.75" customHeight="1">
      <c r="A472" s="215" t="s">
        <v>3707</v>
      </c>
      <c r="B472" s="201" t="s">
        <v>3459</v>
      </c>
      <c r="C472" s="215" t="s">
        <v>3707</v>
      </c>
      <c r="D472" s="201" t="s">
        <v>122</v>
      </c>
      <c r="E472" s="215" t="s">
        <v>3707</v>
      </c>
      <c r="F472" s="201">
        <v>22.0</v>
      </c>
      <c r="G472" s="201" t="s">
        <v>123</v>
      </c>
      <c r="H472" s="201">
        <v>39.0</v>
      </c>
      <c r="I472" s="215" t="s">
        <v>3707</v>
      </c>
      <c r="J472" s="215" t="s">
        <v>4796</v>
      </c>
      <c r="K472" s="215" t="s">
        <v>4797</v>
      </c>
      <c r="L472" s="215" t="s">
        <v>4798</v>
      </c>
      <c r="M472" s="215" t="s">
        <v>4799</v>
      </c>
      <c r="N472" s="215" t="s">
        <v>4179</v>
      </c>
      <c r="O472" s="215" t="s">
        <v>4800</v>
      </c>
      <c r="P472" s="230" t="s">
        <v>4801</v>
      </c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</row>
    <row r="473" ht="24.75" customHeight="1">
      <c r="A473" s="201" t="s">
        <v>4802</v>
      </c>
      <c r="B473" s="201" t="s">
        <v>3459</v>
      </c>
      <c r="C473" s="201" t="s">
        <v>4802</v>
      </c>
      <c r="D473" s="201" t="s">
        <v>122</v>
      </c>
      <c r="E473" s="201" t="s">
        <v>4802</v>
      </c>
      <c r="F473" s="201" t="s">
        <v>3501</v>
      </c>
      <c r="G473" s="201" t="s">
        <v>123</v>
      </c>
      <c r="H473" s="201" t="s">
        <v>123</v>
      </c>
      <c r="I473" s="201" t="s">
        <v>4802</v>
      </c>
      <c r="J473" s="215" t="s">
        <v>1590</v>
      </c>
      <c r="K473" s="215"/>
      <c r="L473" s="215"/>
      <c r="M473" s="215"/>
      <c r="N473" s="201"/>
      <c r="O473" s="201"/>
      <c r="P473" s="201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</row>
    <row r="474" ht="24.75" customHeight="1">
      <c r="A474" s="201" t="s">
        <v>4803</v>
      </c>
      <c r="B474" s="201" t="s">
        <v>3459</v>
      </c>
      <c r="C474" s="201" t="s">
        <v>4803</v>
      </c>
      <c r="D474" s="201" t="s">
        <v>122</v>
      </c>
      <c r="E474" s="201" t="s">
        <v>4803</v>
      </c>
      <c r="F474" s="201" t="s">
        <v>3472</v>
      </c>
      <c r="G474" s="201" t="s">
        <v>123</v>
      </c>
      <c r="H474" s="201" t="s">
        <v>123</v>
      </c>
      <c r="I474" s="201" t="s">
        <v>4803</v>
      </c>
      <c r="J474" s="215" t="s">
        <v>4804</v>
      </c>
      <c r="K474" s="215"/>
      <c r="L474" s="215"/>
      <c r="M474" s="215"/>
      <c r="N474" s="201"/>
      <c r="O474" s="201"/>
      <c r="P474" s="201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</row>
    <row r="475" ht="24.75" customHeight="1">
      <c r="A475" s="201" t="s">
        <v>4805</v>
      </c>
      <c r="B475" s="201" t="s">
        <v>3459</v>
      </c>
      <c r="C475" s="201" t="s">
        <v>4805</v>
      </c>
      <c r="D475" s="201" t="s">
        <v>123</v>
      </c>
      <c r="E475" s="201" t="s">
        <v>4805</v>
      </c>
      <c r="F475" s="201" t="s">
        <v>123</v>
      </c>
      <c r="G475" s="201" t="s">
        <v>123</v>
      </c>
      <c r="H475" s="201" t="s">
        <v>123</v>
      </c>
      <c r="I475" s="201" t="s">
        <v>4805</v>
      </c>
      <c r="J475" s="215" t="s">
        <v>4054</v>
      </c>
      <c r="K475" s="215"/>
      <c r="L475" s="215"/>
      <c r="M475" s="215"/>
      <c r="N475" s="201"/>
      <c r="O475" s="201"/>
      <c r="P475" s="201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</row>
    <row r="476" ht="24.75" customHeight="1">
      <c r="A476" s="201" t="s">
        <v>4806</v>
      </c>
      <c r="B476" s="201" t="s">
        <v>3459</v>
      </c>
      <c r="C476" s="201" t="s">
        <v>4806</v>
      </c>
      <c r="D476" s="201" t="s">
        <v>4807</v>
      </c>
      <c r="E476" s="201" t="s">
        <v>4806</v>
      </c>
      <c r="F476" s="201" t="s">
        <v>3662</v>
      </c>
      <c r="G476" s="201" t="s">
        <v>123</v>
      </c>
      <c r="H476" s="201" t="s">
        <v>123</v>
      </c>
      <c r="I476" s="201" t="s">
        <v>4806</v>
      </c>
      <c r="J476" s="215" t="s">
        <v>3619</v>
      </c>
      <c r="K476" s="215"/>
      <c r="L476" s="215"/>
      <c r="M476" s="215"/>
      <c r="N476" s="201"/>
      <c r="O476" s="201"/>
      <c r="P476" s="201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</row>
    <row r="477" ht="24.75" customHeight="1">
      <c r="A477" s="201" t="s">
        <v>3722</v>
      </c>
      <c r="B477" s="201" t="s">
        <v>3459</v>
      </c>
      <c r="C477" s="201" t="s">
        <v>3722</v>
      </c>
      <c r="D477" s="201" t="s">
        <v>4808</v>
      </c>
      <c r="E477" s="201" t="s">
        <v>3722</v>
      </c>
      <c r="F477" s="201" t="s">
        <v>3954</v>
      </c>
      <c r="G477" s="201" t="s">
        <v>123</v>
      </c>
      <c r="H477" s="201" t="s">
        <v>3726</v>
      </c>
      <c r="I477" s="201" t="s">
        <v>3722</v>
      </c>
      <c r="J477" s="215" t="s">
        <v>3728</v>
      </c>
      <c r="K477" s="215"/>
      <c r="L477" s="215"/>
      <c r="M477" s="215"/>
      <c r="N477" s="215"/>
      <c r="O477" s="215"/>
      <c r="P477" s="230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</row>
    <row r="478" ht="24.75" customHeight="1">
      <c r="A478" s="201" t="s">
        <v>4809</v>
      </c>
      <c r="B478" s="201" t="s">
        <v>3459</v>
      </c>
      <c r="C478" s="201" t="s">
        <v>4809</v>
      </c>
      <c r="D478" s="201" t="s">
        <v>4810</v>
      </c>
      <c r="E478" s="201" t="s">
        <v>4809</v>
      </c>
      <c r="F478" s="201" t="s">
        <v>3668</v>
      </c>
      <c r="G478" s="201" t="s">
        <v>123</v>
      </c>
      <c r="H478" s="201" t="s">
        <v>123</v>
      </c>
      <c r="I478" s="201" t="s">
        <v>4809</v>
      </c>
      <c r="J478" s="215" t="s">
        <v>4811</v>
      </c>
      <c r="K478" s="215"/>
      <c r="L478" s="215"/>
      <c r="M478" s="215"/>
      <c r="N478" s="201"/>
      <c r="O478" s="201"/>
      <c r="P478" s="201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</row>
    <row r="479" ht="39.75" customHeight="1">
      <c r="A479" s="215" t="s">
        <v>3750</v>
      </c>
      <c r="B479" s="215" t="s">
        <v>4812</v>
      </c>
      <c r="C479" s="215" t="s">
        <v>3750</v>
      </c>
      <c r="D479" s="201" t="s">
        <v>4813</v>
      </c>
      <c r="E479" s="215" t="s">
        <v>3750</v>
      </c>
      <c r="F479" s="201">
        <v>1.32</v>
      </c>
      <c r="G479" s="201" t="s">
        <v>123</v>
      </c>
      <c r="H479" s="201" t="s">
        <v>123</v>
      </c>
      <c r="I479" s="215" t="s">
        <v>3750</v>
      </c>
      <c r="J479" s="215" t="s">
        <v>3753</v>
      </c>
      <c r="K479" s="215" t="s">
        <v>3755</v>
      </c>
      <c r="L479" s="216"/>
      <c r="M479" s="215" t="s">
        <v>4722</v>
      </c>
      <c r="N479" s="215" t="s">
        <v>4165</v>
      </c>
      <c r="O479" s="215" t="s">
        <v>1678</v>
      </c>
      <c r="P479" s="230" t="s">
        <v>4814</v>
      </c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</row>
    <row r="480" ht="24.75" customHeight="1">
      <c r="A480" s="201" t="s">
        <v>4815</v>
      </c>
      <c r="B480" s="201" t="s">
        <v>3459</v>
      </c>
      <c r="C480" s="201" t="s">
        <v>4815</v>
      </c>
      <c r="D480" s="201" t="s">
        <v>122</v>
      </c>
      <c r="E480" s="201" t="s">
        <v>4815</v>
      </c>
      <c r="F480" s="201" t="s">
        <v>123</v>
      </c>
      <c r="G480" s="201" t="s">
        <v>4214</v>
      </c>
      <c r="H480" s="201" t="s">
        <v>4013</v>
      </c>
      <c r="I480" s="201" t="s">
        <v>4815</v>
      </c>
      <c r="J480" s="215" t="s">
        <v>4816</v>
      </c>
      <c r="K480" s="215"/>
      <c r="L480" s="215"/>
      <c r="M480" s="215"/>
      <c r="N480" s="201"/>
      <c r="O480" s="201"/>
      <c r="P480" s="201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</row>
    <row r="481" ht="24.75" customHeight="1">
      <c r="A481" s="201" t="s">
        <v>4817</v>
      </c>
      <c r="B481" s="201" t="s">
        <v>3459</v>
      </c>
      <c r="C481" s="201" t="s">
        <v>4817</v>
      </c>
      <c r="D481" s="201" t="s">
        <v>4818</v>
      </c>
      <c r="E481" s="201" t="s">
        <v>4817</v>
      </c>
      <c r="F481" s="201" t="s">
        <v>3472</v>
      </c>
      <c r="G481" s="201" t="s">
        <v>3501</v>
      </c>
      <c r="H481" s="201" t="s">
        <v>123</v>
      </c>
      <c r="I481" s="201" t="s">
        <v>4817</v>
      </c>
      <c r="J481" s="215" t="s">
        <v>124</v>
      </c>
      <c r="K481" s="215"/>
      <c r="L481" s="215"/>
      <c r="M481" s="215"/>
      <c r="N481" s="201"/>
      <c r="O481" s="201"/>
      <c r="P481" s="201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</row>
    <row r="482" ht="24.75" customHeight="1">
      <c r="A482" s="201" t="s">
        <v>4819</v>
      </c>
      <c r="B482" s="201" t="s">
        <v>3459</v>
      </c>
      <c r="C482" s="201" t="s">
        <v>4819</v>
      </c>
      <c r="D482" s="201" t="s">
        <v>122</v>
      </c>
      <c r="E482" s="201" t="s">
        <v>4819</v>
      </c>
      <c r="F482" s="201">
        <v>22.0</v>
      </c>
      <c r="G482" s="201" t="s">
        <v>4760</v>
      </c>
      <c r="H482" s="201">
        <v>20.0</v>
      </c>
      <c r="I482" s="201" t="s">
        <v>4819</v>
      </c>
      <c r="J482" s="215" t="s">
        <v>4820</v>
      </c>
      <c r="K482" s="215"/>
      <c r="L482" s="215"/>
      <c r="M482" s="215"/>
      <c r="N482" s="201"/>
      <c r="O482" s="201"/>
      <c r="P482" s="201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</row>
    <row r="483" ht="24.75" customHeight="1">
      <c r="A483" s="201" t="s">
        <v>4821</v>
      </c>
      <c r="B483" s="201" t="s">
        <v>3459</v>
      </c>
      <c r="C483" s="201" t="s">
        <v>4821</v>
      </c>
      <c r="D483" s="201" t="s">
        <v>122</v>
      </c>
      <c r="E483" s="201" t="s">
        <v>4821</v>
      </c>
      <c r="F483" s="201" t="s">
        <v>123</v>
      </c>
      <c r="G483" s="201" t="s">
        <v>3729</v>
      </c>
      <c r="H483" s="201" t="s">
        <v>123</v>
      </c>
      <c r="I483" s="201" t="s">
        <v>4821</v>
      </c>
      <c r="J483" s="215" t="s">
        <v>4822</v>
      </c>
      <c r="K483" s="215"/>
      <c r="L483" s="215"/>
      <c r="M483" s="215"/>
      <c r="N483" s="201"/>
      <c r="O483" s="201"/>
      <c r="P483" s="201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</row>
    <row r="484" ht="24.75" customHeight="1">
      <c r="A484" s="201" t="s">
        <v>4823</v>
      </c>
      <c r="B484" s="201" t="s">
        <v>3459</v>
      </c>
      <c r="C484" s="201" t="s">
        <v>4823</v>
      </c>
      <c r="D484" s="201" t="s">
        <v>4824</v>
      </c>
      <c r="E484" s="201" t="s">
        <v>4823</v>
      </c>
      <c r="F484" s="201" t="s">
        <v>3954</v>
      </c>
      <c r="G484" s="201" t="s">
        <v>123</v>
      </c>
      <c r="H484" s="201" t="s">
        <v>123</v>
      </c>
      <c r="I484" s="201" t="s">
        <v>4823</v>
      </c>
      <c r="J484" s="215" t="s">
        <v>4825</v>
      </c>
      <c r="K484" s="215"/>
      <c r="L484" s="215"/>
      <c r="M484" s="215"/>
      <c r="N484" s="201"/>
      <c r="O484" s="201"/>
      <c r="P484" s="201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</row>
    <row r="485" ht="24.75" customHeight="1">
      <c r="A485" s="201" t="s">
        <v>4826</v>
      </c>
      <c r="B485" s="201" t="s">
        <v>3459</v>
      </c>
      <c r="C485" s="201" t="s">
        <v>4826</v>
      </c>
      <c r="D485" s="201" t="s">
        <v>123</v>
      </c>
      <c r="E485" s="201" t="s">
        <v>4826</v>
      </c>
      <c r="F485" s="201" t="s">
        <v>123</v>
      </c>
      <c r="G485" s="201" t="s">
        <v>123</v>
      </c>
      <c r="H485" s="201" t="s">
        <v>123</v>
      </c>
      <c r="I485" s="201" t="s">
        <v>4826</v>
      </c>
      <c r="J485" s="215" t="s">
        <v>4054</v>
      </c>
      <c r="K485" s="215"/>
      <c r="L485" s="215"/>
      <c r="M485" s="215"/>
      <c r="N485" s="201"/>
      <c r="O485" s="201"/>
      <c r="P485" s="201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</row>
    <row r="486" ht="24.75" customHeight="1">
      <c r="A486" s="201" t="s">
        <v>4827</v>
      </c>
      <c r="B486" s="201" t="s">
        <v>3459</v>
      </c>
      <c r="C486" s="201" t="s">
        <v>4827</v>
      </c>
      <c r="D486" s="201" t="s">
        <v>122</v>
      </c>
      <c r="E486" s="201" t="s">
        <v>4827</v>
      </c>
      <c r="F486" s="201">
        <v>88.0</v>
      </c>
      <c r="G486" s="201" t="s">
        <v>123</v>
      </c>
      <c r="H486" s="201">
        <v>78.0</v>
      </c>
      <c r="I486" s="201" t="s">
        <v>4827</v>
      </c>
      <c r="J486" s="215" t="s">
        <v>4828</v>
      </c>
      <c r="K486" s="215"/>
      <c r="L486" s="215"/>
      <c r="M486" s="215"/>
      <c r="N486" s="201"/>
      <c r="O486" s="201"/>
      <c r="P486" s="201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</row>
    <row r="487" ht="24.75" customHeight="1">
      <c r="A487" s="201" t="s">
        <v>4829</v>
      </c>
      <c r="B487" s="201" t="s">
        <v>3459</v>
      </c>
      <c r="C487" s="201" t="s">
        <v>4829</v>
      </c>
      <c r="D487" s="201" t="s">
        <v>122</v>
      </c>
      <c r="E487" s="201" t="s">
        <v>4829</v>
      </c>
      <c r="F487" s="201" t="s">
        <v>4214</v>
      </c>
      <c r="G487" s="201" t="s">
        <v>123</v>
      </c>
      <c r="H487" s="201" t="s">
        <v>123</v>
      </c>
      <c r="I487" s="201" t="s">
        <v>4829</v>
      </c>
      <c r="J487" s="215" t="s">
        <v>4830</v>
      </c>
      <c r="K487" s="215"/>
      <c r="L487" s="215"/>
      <c r="M487" s="215"/>
      <c r="N487" s="201"/>
      <c r="O487" s="201"/>
      <c r="P487" s="201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</row>
    <row r="488" ht="24.75" customHeight="1">
      <c r="A488" s="201" t="s">
        <v>4831</v>
      </c>
      <c r="B488" s="201" t="s">
        <v>3459</v>
      </c>
      <c r="C488" s="201" t="s">
        <v>4831</v>
      </c>
      <c r="D488" s="201" t="s">
        <v>122</v>
      </c>
      <c r="E488" s="201" t="s">
        <v>4831</v>
      </c>
      <c r="F488" s="201" t="s">
        <v>3501</v>
      </c>
      <c r="G488" s="201" t="s">
        <v>123</v>
      </c>
      <c r="H488" s="201">
        <v>78.0</v>
      </c>
      <c r="I488" s="201" t="s">
        <v>4831</v>
      </c>
      <c r="J488" s="215" t="s">
        <v>4832</v>
      </c>
      <c r="K488" s="215"/>
      <c r="L488" s="215"/>
      <c r="M488" s="215"/>
      <c r="N488" s="201"/>
      <c r="O488" s="201"/>
      <c r="P488" s="201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</row>
    <row r="489" ht="24.75" customHeight="1">
      <c r="A489" s="201" t="s">
        <v>4833</v>
      </c>
      <c r="B489" s="201" t="s">
        <v>3459</v>
      </c>
      <c r="C489" s="201" t="s">
        <v>4833</v>
      </c>
      <c r="D489" s="201" t="s">
        <v>122</v>
      </c>
      <c r="E489" s="201" t="s">
        <v>4833</v>
      </c>
      <c r="F489" s="201">
        <v>22.0</v>
      </c>
      <c r="G489" s="201" t="s">
        <v>123</v>
      </c>
      <c r="H489" s="201">
        <v>20.0</v>
      </c>
      <c r="I489" s="201" t="s">
        <v>4833</v>
      </c>
      <c r="J489" s="215" t="s">
        <v>4347</v>
      </c>
      <c r="K489" s="215"/>
      <c r="L489" s="215"/>
      <c r="M489" s="215"/>
      <c r="N489" s="201"/>
      <c r="O489" s="201"/>
      <c r="P489" s="201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</row>
    <row r="490" ht="24.75" customHeight="1">
      <c r="A490" s="201" t="s">
        <v>4834</v>
      </c>
      <c r="B490" s="201" t="s">
        <v>3459</v>
      </c>
      <c r="C490" s="201" t="s">
        <v>4834</v>
      </c>
      <c r="D490" s="201" t="s">
        <v>122</v>
      </c>
      <c r="E490" s="201" t="s">
        <v>4834</v>
      </c>
      <c r="F490" s="201" t="s">
        <v>3472</v>
      </c>
      <c r="G490" s="201" t="s">
        <v>123</v>
      </c>
      <c r="H490" s="201">
        <v>20.0</v>
      </c>
      <c r="I490" s="201" t="s">
        <v>4834</v>
      </c>
      <c r="J490" s="215" t="s">
        <v>4835</v>
      </c>
      <c r="K490" s="215"/>
      <c r="L490" s="215"/>
      <c r="M490" s="215"/>
      <c r="N490" s="201"/>
      <c r="O490" s="201"/>
      <c r="P490" s="201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</row>
    <row r="491" ht="24.75" customHeight="1">
      <c r="A491" s="201" t="s">
        <v>4836</v>
      </c>
      <c r="B491" s="201" t="s">
        <v>3459</v>
      </c>
      <c r="C491" s="201" t="s">
        <v>4836</v>
      </c>
      <c r="D491" s="201" t="s">
        <v>123</v>
      </c>
      <c r="E491" s="201" t="s">
        <v>4836</v>
      </c>
      <c r="F491" s="201" t="s">
        <v>123</v>
      </c>
      <c r="G491" s="201" t="s">
        <v>123</v>
      </c>
      <c r="H491" s="201" t="s">
        <v>123</v>
      </c>
      <c r="I491" s="201" t="s">
        <v>4836</v>
      </c>
      <c r="J491" s="215" t="s">
        <v>4837</v>
      </c>
      <c r="K491" s="215"/>
      <c r="L491" s="215"/>
      <c r="M491" s="215"/>
      <c r="N491" s="201"/>
      <c r="O491" s="201"/>
      <c r="P491" s="201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</row>
    <row r="492" ht="24.75" customHeight="1">
      <c r="A492" s="201" t="s">
        <v>4838</v>
      </c>
      <c r="B492" s="201" t="s">
        <v>3459</v>
      </c>
      <c r="C492" s="201" t="s">
        <v>4838</v>
      </c>
      <c r="D492" s="201" t="s">
        <v>4839</v>
      </c>
      <c r="E492" s="201" t="s">
        <v>4838</v>
      </c>
      <c r="F492" s="201" t="s">
        <v>3729</v>
      </c>
      <c r="G492" s="201" t="s">
        <v>123</v>
      </c>
      <c r="H492" s="201" t="s">
        <v>123</v>
      </c>
      <c r="I492" s="201" t="s">
        <v>4838</v>
      </c>
      <c r="J492" s="215" t="s">
        <v>124</v>
      </c>
      <c r="K492" s="215"/>
      <c r="L492" s="215"/>
      <c r="M492" s="215"/>
      <c r="N492" s="201"/>
      <c r="O492" s="201"/>
      <c r="P492" s="201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</row>
    <row r="493" ht="24.75" customHeight="1">
      <c r="A493" s="201" t="s">
        <v>4840</v>
      </c>
      <c r="B493" s="201" t="s">
        <v>3459</v>
      </c>
      <c r="C493" s="201" t="s">
        <v>4840</v>
      </c>
      <c r="D493" s="201" t="s">
        <v>122</v>
      </c>
      <c r="E493" s="201" t="s">
        <v>4840</v>
      </c>
      <c r="F493" s="201">
        <v>176.0</v>
      </c>
      <c r="G493" s="201" t="s">
        <v>123</v>
      </c>
      <c r="H493" s="201" t="s">
        <v>123</v>
      </c>
      <c r="I493" s="201" t="s">
        <v>4840</v>
      </c>
      <c r="J493" s="215" t="s">
        <v>3632</v>
      </c>
      <c r="K493" s="215"/>
      <c r="L493" s="215"/>
      <c r="M493" s="215"/>
      <c r="N493" s="201"/>
      <c r="O493" s="201"/>
      <c r="P493" s="201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</row>
    <row r="494" ht="24.75" customHeight="1">
      <c r="A494" s="201" t="s">
        <v>4841</v>
      </c>
      <c r="B494" s="201" t="s">
        <v>3459</v>
      </c>
      <c r="C494" s="201" t="s">
        <v>4841</v>
      </c>
      <c r="D494" s="201" t="s">
        <v>4842</v>
      </c>
      <c r="E494" s="201" t="s">
        <v>4841</v>
      </c>
      <c r="F494" s="201" t="s">
        <v>3662</v>
      </c>
      <c r="G494" s="201" t="s">
        <v>3995</v>
      </c>
      <c r="H494" s="201" t="s">
        <v>123</v>
      </c>
      <c r="I494" s="201" t="s">
        <v>4841</v>
      </c>
      <c r="J494" s="215" t="s">
        <v>124</v>
      </c>
      <c r="K494" s="215"/>
      <c r="L494" s="215"/>
      <c r="M494" s="215"/>
      <c r="N494" s="201"/>
      <c r="O494" s="201"/>
      <c r="P494" s="201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</row>
    <row r="495" ht="24.75" customHeight="1">
      <c r="A495" s="201" t="s">
        <v>4843</v>
      </c>
      <c r="B495" s="201" t="s">
        <v>3459</v>
      </c>
      <c r="C495" s="201" t="s">
        <v>4843</v>
      </c>
      <c r="D495" s="201" t="s">
        <v>122</v>
      </c>
      <c r="E495" s="201" t="s">
        <v>4843</v>
      </c>
      <c r="F495" s="201">
        <v>264.0</v>
      </c>
      <c r="G495" s="201" t="s">
        <v>123</v>
      </c>
      <c r="H495" s="201" t="s">
        <v>123</v>
      </c>
      <c r="I495" s="201" t="s">
        <v>4843</v>
      </c>
      <c r="J495" s="215" t="s">
        <v>967</v>
      </c>
      <c r="K495" s="215"/>
      <c r="L495" s="215"/>
      <c r="M495" s="215"/>
      <c r="N495" s="201"/>
      <c r="O495" s="201"/>
      <c r="P495" s="201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</row>
    <row r="496" ht="39.75" customHeight="1">
      <c r="A496" s="215" t="s">
        <v>3782</v>
      </c>
      <c r="B496" s="201" t="s">
        <v>3459</v>
      </c>
      <c r="C496" s="215" t="s">
        <v>3782</v>
      </c>
      <c r="D496" s="201" t="s">
        <v>4844</v>
      </c>
      <c r="E496" s="215" t="s">
        <v>3782</v>
      </c>
      <c r="F496" s="201">
        <v>4.4</v>
      </c>
      <c r="G496" s="201" t="s">
        <v>123</v>
      </c>
      <c r="H496" s="201" t="s">
        <v>123</v>
      </c>
      <c r="I496" s="215" t="s">
        <v>3782</v>
      </c>
      <c r="J496" s="215" t="s">
        <v>967</v>
      </c>
      <c r="K496" s="215" t="s">
        <v>4845</v>
      </c>
      <c r="L496" s="215"/>
      <c r="M496" s="236" t="s">
        <v>4846</v>
      </c>
      <c r="N496" s="215" t="s">
        <v>970</v>
      </c>
      <c r="O496" s="201" t="s">
        <v>4847</v>
      </c>
      <c r="P496" s="201" t="s">
        <v>4848</v>
      </c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</row>
    <row r="497" ht="24.75" customHeight="1">
      <c r="A497" s="215" t="s">
        <v>4849</v>
      </c>
      <c r="B497" s="201" t="s">
        <v>3459</v>
      </c>
      <c r="C497" s="215" t="s">
        <v>4849</v>
      </c>
      <c r="D497" s="201" t="s">
        <v>4850</v>
      </c>
      <c r="E497" s="215" t="s">
        <v>4849</v>
      </c>
      <c r="F497" s="201" t="s">
        <v>3662</v>
      </c>
      <c r="G497" s="201" t="s">
        <v>123</v>
      </c>
      <c r="H497" s="201" t="s">
        <v>123</v>
      </c>
      <c r="I497" s="215" t="s">
        <v>4849</v>
      </c>
      <c r="J497" s="215" t="s">
        <v>3683</v>
      </c>
      <c r="K497" s="215"/>
      <c r="L497" s="215"/>
      <c r="M497" s="215"/>
      <c r="N497" s="201"/>
      <c r="O497" s="201"/>
      <c r="P497" s="201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</row>
    <row r="498" ht="24.75" customHeight="1">
      <c r="A498" s="201" t="s">
        <v>4851</v>
      </c>
      <c r="B498" s="201" t="s">
        <v>3459</v>
      </c>
      <c r="C498" s="201" t="s">
        <v>4851</v>
      </c>
      <c r="D498" s="201" t="s">
        <v>122</v>
      </c>
      <c r="E498" s="201" t="s">
        <v>4851</v>
      </c>
      <c r="F498" s="201" t="s">
        <v>3662</v>
      </c>
      <c r="G498" s="201" t="s">
        <v>123</v>
      </c>
      <c r="H498" s="201" t="s">
        <v>123</v>
      </c>
      <c r="I498" s="201" t="s">
        <v>4851</v>
      </c>
      <c r="J498" s="215" t="s">
        <v>967</v>
      </c>
      <c r="K498" s="215"/>
      <c r="L498" s="215"/>
      <c r="M498" s="215"/>
      <c r="N498" s="201"/>
      <c r="O498" s="201"/>
      <c r="P498" s="201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</row>
    <row r="499" ht="24.75" customHeight="1">
      <c r="A499" s="201" t="s">
        <v>4852</v>
      </c>
      <c r="B499" s="201" t="s">
        <v>3459</v>
      </c>
      <c r="C499" s="201" t="s">
        <v>4852</v>
      </c>
      <c r="D499" s="201" t="s">
        <v>4853</v>
      </c>
      <c r="E499" s="201" t="s">
        <v>4852</v>
      </c>
      <c r="F499" s="201" t="s">
        <v>3472</v>
      </c>
      <c r="G499" s="201" t="s">
        <v>123</v>
      </c>
      <c r="H499" s="201" t="s">
        <v>123</v>
      </c>
      <c r="I499" s="201" t="s">
        <v>4852</v>
      </c>
      <c r="J499" s="215" t="s">
        <v>149</v>
      </c>
      <c r="K499" s="215"/>
      <c r="L499" s="215"/>
      <c r="M499" s="215"/>
      <c r="N499" s="201"/>
      <c r="O499" s="201"/>
      <c r="P499" s="201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</row>
    <row r="500" ht="24.75" customHeight="1">
      <c r="A500" s="201" t="s">
        <v>4854</v>
      </c>
      <c r="B500" s="201" t="s">
        <v>3459</v>
      </c>
      <c r="C500" s="201" t="s">
        <v>4854</v>
      </c>
      <c r="D500" s="201" t="s">
        <v>4855</v>
      </c>
      <c r="E500" s="201" t="s">
        <v>4854</v>
      </c>
      <c r="F500" s="201" t="s">
        <v>3616</v>
      </c>
      <c r="G500" s="201" t="s">
        <v>123</v>
      </c>
      <c r="H500" s="201" t="s">
        <v>123</v>
      </c>
      <c r="I500" s="201" t="s">
        <v>4854</v>
      </c>
      <c r="J500" s="215" t="s">
        <v>967</v>
      </c>
      <c r="K500" s="215"/>
      <c r="L500" s="215"/>
      <c r="M500" s="215"/>
      <c r="N500" s="201"/>
      <c r="O500" s="201"/>
      <c r="P500" s="201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</row>
    <row r="501" ht="24.75" customHeight="1">
      <c r="A501" s="201" t="s">
        <v>4856</v>
      </c>
      <c r="B501" s="201" t="s">
        <v>3459</v>
      </c>
      <c r="C501" s="201" t="s">
        <v>4856</v>
      </c>
      <c r="D501" s="201" t="s">
        <v>4857</v>
      </c>
      <c r="E501" s="201" t="s">
        <v>4856</v>
      </c>
      <c r="F501" s="201" t="s">
        <v>3668</v>
      </c>
      <c r="G501" s="201" t="s">
        <v>123</v>
      </c>
      <c r="H501" s="201" t="s">
        <v>123</v>
      </c>
      <c r="I501" s="201" t="s">
        <v>4856</v>
      </c>
      <c r="J501" s="215" t="s">
        <v>4858</v>
      </c>
      <c r="K501" s="215"/>
      <c r="L501" s="215"/>
      <c r="M501" s="215"/>
      <c r="N501" s="201"/>
      <c r="O501" s="201"/>
      <c r="P501" s="201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</row>
    <row r="502" ht="24.75" customHeight="1">
      <c r="A502" s="201" t="s">
        <v>4859</v>
      </c>
      <c r="B502" s="201" t="s">
        <v>3459</v>
      </c>
      <c r="C502" s="201" t="s">
        <v>4859</v>
      </c>
      <c r="D502" s="201" t="s">
        <v>122</v>
      </c>
      <c r="E502" s="201" t="s">
        <v>4859</v>
      </c>
      <c r="F502" s="201" t="s">
        <v>3729</v>
      </c>
      <c r="G502" s="201" t="s">
        <v>123</v>
      </c>
      <c r="H502" s="201">
        <v>39.0</v>
      </c>
      <c r="I502" s="201" t="s">
        <v>4859</v>
      </c>
      <c r="J502" s="215" t="s">
        <v>4860</v>
      </c>
      <c r="K502" s="215"/>
      <c r="L502" s="215"/>
      <c r="M502" s="215"/>
      <c r="N502" s="201"/>
      <c r="O502" s="201"/>
      <c r="P502" s="201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</row>
    <row r="503" ht="39.75" customHeight="1">
      <c r="A503" s="215" t="s">
        <v>4861</v>
      </c>
      <c r="B503" s="201" t="s">
        <v>3459</v>
      </c>
      <c r="C503" s="215" t="s">
        <v>4861</v>
      </c>
      <c r="D503" s="201" t="s">
        <v>4862</v>
      </c>
      <c r="E503" s="215" t="s">
        <v>4861</v>
      </c>
      <c r="F503" s="201">
        <v>8.8</v>
      </c>
      <c r="G503" s="201" t="s">
        <v>123</v>
      </c>
      <c r="H503" s="201" t="s">
        <v>123</v>
      </c>
      <c r="I503" s="215" t="s">
        <v>4861</v>
      </c>
      <c r="J503" s="215" t="s">
        <v>4863</v>
      </c>
      <c r="K503" s="215" t="s">
        <v>3635</v>
      </c>
      <c r="L503" s="215" t="s">
        <v>3711</v>
      </c>
      <c r="M503" s="236" t="s">
        <v>4164</v>
      </c>
      <c r="N503" s="215" t="s">
        <v>970</v>
      </c>
      <c r="O503" s="201" t="s">
        <v>1678</v>
      </c>
      <c r="P503" s="201" t="s">
        <v>4848</v>
      </c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</row>
    <row r="504" ht="24.75" customHeight="1">
      <c r="A504" s="201" t="s">
        <v>4864</v>
      </c>
      <c r="B504" s="201" t="s">
        <v>3459</v>
      </c>
      <c r="C504" s="201" t="s">
        <v>4864</v>
      </c>
      <c r="D504" s="201" t="s">
        <v>122</v>
      </c>
      <c r="E504" s="201" t="s">
        <v>4864</v>
      </c>
      <c r="F504" s="201" t="s">
        <v>3560</v>
      </c>
      <c r="G504" s="201">
        <v>22.0</v>
      </c>
      <c r="H504" s="201" t="s">
        <v>123</v>
      </c>
      <c r="I504" s="201" t="s">
        <v>4864</v>
      </c>
      <c r="J504" s="215" t="s">
        <v>3520</v>
      </c>
      <c r="K504" s="215"/>
      <c r="L504" s="215"/>
      <c r="M504" s="215"/>
      <c r="N504" s="201"/>
      <c r="O504" s="201"/>
      <c r="P504" s="201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</row>
    <row r="505" ht="24.75" customHeight="1">
      <c r="A505" s="201" t="s">
        <v>4865</v>
      </c>
      <c r="B505" s="201" t="s">
        <v>3459</v>
      </c>
      <c r="C505" s="201" t="s">
        <v>4865</v>
      </c>
      <c r="D505" s="201" t="s">
        <v>122</v>
      </c>
      <c r="E505" s="201" t="s">
        <v>4865</v>
      </c>
      <c r="F505" s="201" t="s">
        <v>3616</v>
      </c>
      <c r="G505" s="201" t="s">
        <v>123</v>
      </c>
      <c r="H505" s="201" t="s">
        <v>123</v>
      </c>
      <c r="I505" s="201" t="s">
        <v>4865</v>
      </c>
      <c r="J505" s="215" t="s">
        <v>3829</v>
      </c>
      <c r="K505" s="215"/>
      <c r="L505" s="215"/>
      <c r="M505" s="215"/>
      <c r="N505" s="201"/>
      <c r="O505" s="201"/>
      <c r="P505" s="201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</row>
    <row r="506" ht="24.75" customHeight="1">
      <c r="A506" s="201" t="s">
        <v>4866</v>
      </c>
      <c r="B506" s="201" t="s">
        <v>3459</v>
      </c>
      <c r="C506" s="201" t="s">
        <v>4866</v>
      </c>
      <c r="D506" s="201" t="s">
        <v>4867</v>
      </c>
      <c r="E506" s="201" t="s">
        <v>4866</v>
      </c>
      <c r="F506" s="201" t="s">
        <v>3616</v>
      </c>
      <c r="G506" s="201" t="s">
        <v>3472</v>
      </c>
      <c r="H506" s="201" t="s">
        <v>123</v>
      </c>
      <c r="I506" s="201" t="s">
        <v>4866</v>
      </c>
      <c r="J506" s="215" t="s">
        <v>4868</v>
      </c>
      <c r="K506" s="215"/>
      <c r="L506" s="215"/>
      <c r="M506" s="215"/>
      <c r="N506" s="201"/>
      <c r="O506" s="201"/>
      <c r="P506" s="201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</row>
    <row r="507" ht="39.75" customHeight="1">
      <c r="A507" s="215" t="s">
        <v>3820</v>
      </c>
      <c r="B507" s="201" t="s">
        <v>3459</v>
      </c>
      <c r="C507" s="215" t="s">
        <v>3820</v>
      </c>
      <c r="D507" s="201" t="s">
        <v>122</v>
      </c>
      <c r="E507" s="215" t="s">
        <v>3820</v>
      </c>
      <c r="F507" s="201">
        <v>22.0</v>
      </c>
      <c r="G507" s="201" t="s">
        <v>123</v>
      </c>
      <c r="H507" s="201">
        <v>20.0</v>
      </c>
      <c r="I507" s="215" t="s">
        <v>3820</v>
      </c>
      <c r="J507" s="215" t="s">
        <v>3821</v>
      </c>
      <c r="K507" s="215" t="s">
        <v>4425</v>
      </c>
      <c r="L507" s="215" t="s">
        <v>3685</v>
      </c>
      <c r="M507" s="215" t="s">
        <v>4869</v>
      </c>
      <c r="N507" s="215" t="s">
        <v>970</v>
      </c>
      <c r="O507" s="201">
        <v>0.1</v>
      </c>
      <c r="P507" s="201" t="s">
        <v>4428</v>
      </c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</row>
    <row r="508" ht="39.75" customHeight="1">
      <c r="A508" s="215" t="s">
        <v>3827</v>
      </c>
      <c r="B508" s="201" t="s">
        <v>3459</v>
      </c>
      <c r="C508" s="215" t="s">
        <v>3827</v>
      </c>
      <c r="D508" s="201" t="s">
        <v>122</v>
      </c>
      <c r="E508" s="215" t="s">
        <v>3827</v>
      </c>
      <c r="F508" s="201">
        <v>44.0</v>
      </c>
      <c r="G508" s="201" t="s">
        <v>123</v>
      </c>
      <c r="H508" s="201" t="s">
        <v>123</v>
      </c>
      <c r="I508" s="215" t="s">
        <v>3827</v>
      </c>
      <c r="J508" s="215" t="s">
        <v>4870</v>
      </c>
      <c r="K508" s="215"/>
      <c r="L508" s="215" t="s">
        <v>4871</v>
      </c>
      <c r="M508" s="215" t="s">
        <v>4869</v>
      </c>
      <c r="N508" s="215" t="s">
        <v>970</v>
      </c>
      <c r="O508" s="201">
        <v>0.1</v>
      </c>
      <c r="P508" s="201" t="s">
        <v>4428</v>
      </c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</row>
    <row r="509" ht="24.75" customHeight="1">
      <c r="A509" s="201" t="s">
        <v>3831</v>
      </c>
      <c r="B509" s="201" t="s">
        <v>3459</v>
      </c>
      <c r="C509" s="201" t="s">
        <v>3831</v>
      </c>
      <c r="D509" s="201" t="s">
        <v>122</v>
      </c>
      <c r="E509" s="201" t="s">
        <v>3831</v>
      </c>
      <c r="F509" s="201" t="s">
        <v>4214</v>
      </c>
      <c r="G509" s="201" t="s">
        <v>123</v>
      </c>
      <c r="H509" s="201" t="s">
        <v>123</v>
      </c>
      <c r="I509" s="201" t="s">
        <v>3831</v>
      </c>
      <c r="J509" s="215" t="s">
        <v>1241</v>
      </c>
      <c r="K509" s="215"/>
      <c r="L509" s="215"/>
      <c r="M509" s="215"/>
      <c r="N509" s="215"/>
      <c r="O509" s="215"/>
      <c r="P509" s="230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</row>
    <row r="510" ht="24.75" customHeight="1">
      <c r="A510" s="201" t="s">
        <v>4872</v>
      </c>
      <c r="B510" s="201" t="s">
        <v>3459</v>
      </c>
      <c r="C510" s="201" t="s">
        <v>4872</v>
      </c>
      <c r="D510" s="201" t="s">
        <v>4873</v>
      </c>
      <c r="E510" s="201" t="s">
        <v>4872</v>
      </c>
      <c r="F510" s="201" t="s">
        <v>3616</v>
      </c>
      <c r="G510" s="201" t="s">
        <v>123</v>
      </c>
      <c r="H510" s="201" t="s">
        <v>123</v>
      </c>
      <c r="I510" s="201" t="s">
        <v>4872</v>
      </c>
      <c r="J510" s="215" t="s">
        <v>4874</v>
      </c>
      <c r="K510" s="215"/>
      <c r="L510" s="215"/>
      <c r="M510" s="215"/>
      <c r="N510" s="201"/>
      <c r="O510" s="201"/>
      <c r="P510" s="201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</row>
    <row r="511" ht="24.75" customHeight="1">
      <c r="A511" s="201" t="s">
        <v>4875</v>
      </c>
      <c r="B511" s="201" t="s">
        <v>3459</v>
      </c>
      <c r="C511" s="201" t="s">
        <v>4875</v>
      </c>
      <c r="D511" s="201" t="s">
        <v>4876</v>
      </c>
      <c r="E511" s="201" t="s">
        <v>4875</v>
      </c>
      <c r="F511" s="201" t="s">
        <v>3668</v>
      </c>
      <c r="G511" s="201" t="s">
        <v>123</v>
      </c>
      <c r="H511" s="201" t="s">
        <v>123</v>
      </c>
      <c r="I511" s="201" t="s">
        <v>4875</v>
      </c>
      <c r="J511" s="215" t="s">
        <v>4877</v>
      </c>
      <c r="K511" s="215"/>
      <c r="L511" s="215"/>
      <c r="M511" s="215"/>
      <c r="N511" s="201"/>
      <c r="O511" s="201"/>
      <c r="P511" s="201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</row>
    <row r="512" ht="24.75" customHeight="1">
      <c r="A512" s="201" t="s">
        <v>4878</v>
      </c>
      <c r="B512" s="201" t="s">
        <v>3459</v>
      </c>
      <c r="C512" s="201" t="s">
        <v>4878</v>
      </c>
      <c r="D512" s="201" t="s">
        <v>4879</v>
      </c>
      <c r="E512" s="201" t="s">
        <v>4878</v>
      </c>
      <c r="F512" s="201" t="s">
        <v>4214</v>
      </c>
      <c r="G512" s="201" t="s">
        <v>123</v>
      </c>
      <c r="H512" s="201" t="s">
        <v>123</v>
      </c>
      <c r="I512" s="201" t="s">
        <v>4878</v>
      </c>
      <c r="J512" s="215" t="s">
        <v>3619</v>
      </c>
      <c r="K512" s="215"/>
      <c r="L512" s="215"/>
      <c r="M512" s="215"/>
      <c r="N512" s="201"/>
      <c r="O512" s="201"/>
      <c r="P512" s="201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</row>
    <row r="513" ht="24.75" customHeight="1">
      <c r="A513" s="201" t="s">
        <v>4880</v>
      </c>
      <c r="B513" s="201" t="s">
        <v>3459</v>
      </c>
      <c r="C513" s="201" t="s">
        <v>4880</v>
      </c>
      <c r="D513" s="201" t="s">
        <v>122</v>
      </c>
      <c r="E513" s="201" t="s">
        <v>4880</v>
      </c>
      <c r="F513" s="201" t="s">
        <v>3662</v>
      </c>
      <c r="G513" s="201" t="s">
        <v>123</v>
      </c>
      <c r="H513" s="201" t="s">
        <v>123</v>
      </c>
      <c r="I513" s="201" t="s">
        <v>4880</v>
      </c>
      <c r="J513" s="215" t="s">
        <v>149</v>
      </c>
      <c r="K513" s="215"/>
      <c r="L513" s="215"/>
      <c r="M513" s="215"/>
      <c r="N513" s="201"/>
      <c r="O513" s="201"/>
      <c r="P513" s="201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</row>
    <row r="514" ht="24.75" customHeight="1">
      <c r="A514" s="201" t="s">
        <v>4881</v>
      </c>
      <c r="B514" s="201" t="s">
        <v>3459</v>
      </c>
      <c r="C514" s="201" t="s">
        <v>4881</v>
      </c>
      <c r="D514" s="201" t="s">
        <v>4882</v>
      </c>
      <c r="E514" s="201" t="s">
        <v>4881</v>
      </c>
      <c r="F514" s="201" t="s">
        <v>3668</v>
      </c>
      <c r="G514" s="201" t="s">
        <v>3729</v>
      </c>
      <c r="H514" s="201" t="s">
        <v>123</v>
      </c>
      <c r="I514" s="201" t="s">
        <v>4881</v>
      </c>
      <c r="J514" s="215" t="s">
        <v>4883</v>
      </c>
      <c r="K514" s="215"/>
      <c r="L514" s="215"/>
      <c r="M514" s="215"/>
      <c r="N514" s="201"/>
      <c r="O514" s="201"/>
      <c r="P514" s="201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</row>
    <row r="515" ht="24.75" customHeight="1">
      <c r="A515" s="201" t="s">
        <v>4884</v>
      </c>
      <c r="B515" s="201" t="s">
        <v>3459</v>
      </c>
      <c r="C515" s="201" t="s">
        <v>4884</v>
      </c>
      <c r="D515" s="201" t="s">
        <v>4885</v>
      </c>
      <c r="E515" s="201" t="s">
        <v>4884</v>
      </c>
      <c r="F515" s="201" t="s">
        <v>3668</v>
      </c>
      <c r="G515" s="201" t="s">
        <v>123</v>
      </c>
      <c r="H515" s="201" t="s">
        <v>123</v>
      </c>
      <c r="I515" s="201" t="s">
        <v>4884</v>
      </c>
      <c r="J515" s="215" t="s">
        <v>4658</v>
      </c>
      <c r="K515" s="215"/>
      <c r="L515" s="215"/>
      <c r="M515" s="215"/>
      <c r="N515" s="201"/>
      <c r="O515" s="201"/>
      <c r="P515" s="201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</row>
    <row r="516" ht="24.75" customHeight="1">
      <c r="A516" s="201" t="s">
        <v>4886</v>
      </c>
      <c r="B516" s="201" t="s">
        <v>3459</v>
      </c>
      <c r="C516" s="201" t="s">
        <v>4886</v>
      </c>
      <c r="D516" s="201" t="s">
        <v>4887</v>
      </c>
      <c r="E516" s="201" t="s">
        <v>4886</v>
      </c>
      <c r="F516" s="201" t="s">
        <v>3668</v>
      </c>
      <c r="G516" s="201" t="s">
        <v>123</v>
      </c>
      <c r="H516" s="201" t="s">
        <v>123</v>
      </c>
      <c r="I516" s="201" t="s">
        <v>4886</v>
      </c>
      <c r="J516" s="215" t="s">
        <v>124</v>
      </c>
      <c r="K516" s="215"/>
      <c r="L516" s="215"/>
      <c r="M516" s="215"/>
      <c r="N516" s="201"/>
      <c r="O516" s="201"/>
      <c r="P516" s="201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</row>
    <row r="517" ht="24.75" customHeight="1">
      <c r="A517" s="201" t="s">
        <v>4888</v>
      </c>
      <c r="B517" s="201" t="s">
        <v>3459</v>
      </c>
      <c r="C517" s="201" t="s">
        <v>4888</v>
      </c>
      <c r="D517" s="201" t="s">
        <v>4889</v>
      </c>
      <c r="E517" s="201" t="s">
        <v>4888</v>
      </c>
      <c r="F517" s="201" t="s">
        <v>3472</v>
      </c>
      <c r="G517" s="201" t="s">
        <v>123</v>
      </c>
      <c r="H517" s="201" t="s">
        <v>123</v>
      </c>
      <c r="I517" s="201" t="s">
        <v>4888</v>
      </c>
      <c r="J517" s="215" t="s">
        <v>4890</v>
      </c>
      <c r="K517" s="215"/>
      <c r="L517" s="215"/>
      <c r="M517" s="215"/>
      <c r="N517" s="201"/>
      <c r="O517" s="201"/>
      <c r="P517" s="201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</row>
    <row r="518" ht="24.75" customHeight="1">
      <c r="A518" s="201" t="s">
        <v>4891</v>
      </c>
      <c r="B518" s="201" t="s">
        <v>3459</v>
      </c>
      <c r="C518" s="201" t="s">
        <v>4891</v>
      </c>
      <c r="D518" s="201" t="s">
        <v>122</v>
      </c>
      <c r="E518" s="201" t="s">
        <v>4891</v>
      </c>
      <c r="F518" s="201" t="s">
        <v>3662</v>
      </c>
      <c r="G518" s="201" t="s">
        <v>123</v>
      </c>
      <c r="H518" s="201" t="s">
        <v>123</v>
      </c>
      <c r="I518" s="201" t="s">
        <v>4891</v>
      </c>
      <c r="J518" s="215" t="s">
        <v>1199</v>
      </c>
      <c r="K518" s="215"/>
      <c r="L518" s="215"/>
      <c r="M518" s="215"/>
      <c r="N518" s="201"/>
      <c r="O518" s="201"/>
      <c r="P518" s="201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</row>
    <row r="519" ht="24.75" customHeight="1">
      <c r="A519" s="201" t="s">
        <v>4892</v>
      </c>
      <c r="B519" s="201" t="s">
        <v>3459</v>
      </c>
      <c r="C519" s="201" t="s">
        <v>4892</v>
      </c>
      <c r="D519" s="201" t="s">
        <v>122</v>
      </c>
      <c r="E519" s="201" t="s">
        <v>4892</v>
      </c>
      <c r="F519" s="201" t="s">
        <v>123</v>
      </c>
      <c r="G519" s="201" t="s">
        <v>3972</v>
      </c>
      <c r="H519" s="201" t="s">
        <v>123</v>
      </c>
      <c r="I519" s="201" t="s">
        <v>4892</v>
      </c>
      <c r="J519" s="215" t="s">
        <v>4893</v>
      </c>
      <c r="K519" s="215"/>
      <c r="L519" s="215"/>
      <c r="M519" s="215"/>
      <c r="N519" s="201"/>
      <c r="O519" s="201"/>
      <c r="P519" s="201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</row>
    <row r="520" ht="39.75" customHeight="1">
      <c r="A520" s="215" t="s">
        <v>3857</v>
      </c>
      <c r="B520" s="201" t="s">
        <v>3459</v>
      </c>
      <c r="C520" s="215" t="s">
        <v>3857</v>
      </c>
      <c r="D520" s="201" t="s">
        <v>122</v>
      </c>
      <c r="E520" s="215" t="s">
        <v>3857</v>
      </c>
      <c r="F520" s="201">
        <v>880.0</v>
      </c>
      <c r="G520" s="201" t="s">
        <v>123</v>
      </c>
      <c r="H520" s="201">
        <v>470.0</v>
      </c>
      <c r="I520" s="215" t="s">
        <v>3857</v>
      </c>
      <c r="J520" s="215" t="s">
        <v>3770</v>
      </c>
      <c r="K520" s="215" t="s">
        <v>4049</v>
      </c>
      <c r="L520" s="215" t="s">
        <v>4894</v>
      </c>
      <c r="M520" s="215" t="s">
        <v>4672</v>
      </c>
      <c r="N520" s="215" t="s">
        <v>126</v>
      </c>
      <c r="O520" s="201">
        <v>0.2</v>
      </c>
      <c r="P520" s="201">
        <v>4.0</v>
      </c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</row>
    <row r="521" ht="24.75" customHeight="1">
      <c r="A521" s="201" t="s">
        <v>4895</v>
      </c>
      <c r="B521" s="201" t="s">
        <v>3459</v>
      </c>
      <c r="C521" s="201" t="s">
        <v>4895</v>
      </c>
      <c r="D521" s="201" t="s">
        <v>122</v>
      </c>
      <c r="E521" s="201" t="s">
        <v>4895</v>
      </c>
      <c r="F521" s="201">
        <v>22.0</v>
      </c>
      <c r="G521" s="201" t="s">
        <v>123</v>
      </c>
      <c r="H521" s="201" t="s">
        <v>123</v>
      </c>
      <c r="I521" s="201" t="s">
        <v>4895</v>
      </c>
      <c r="J521" s="215" t="s">
        <v>4896</v>
      </c>
      <c r="K521" s="215"/>
      <c r="L521" s="215"/>
      <c r="M521" s="215"/>
      <c r="N521" s="201"/>
      <c r="O521" s="201"/>
      <c r="P521" s="201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</row>
    <row r="522" ht="24.75" customHeight="1">
      <c r="A522" s="201" t="s">
        <v>4897</v>
      </c>
      <c r="B522" s="201" t="s">
        <v>3459</v>
      </c>
      <c r="C522" s="201" t="s">
        <v>4897</v>
      </c>
      <c r="D522" s="201" t="s">
        <v>4898</v>
      </c>
      <c r="E522" s="201" t="s">
        <v>4897</v>
      </c>
      <c r="F522" s="201" t="s">
        <v>3729</v>
      </c>
      <c r="G522" s="201" t="s">
        <v>3954</v>
      </c>
      <c r="H522" s="201" t="s">
        <v>123</v>
      </c>
      <c r="I522" s="201" t="s">
        <v>4897</v>
      </c>
      <c r="J522" s="215" t="s">
        <v>967</v>
      </c>
      <c r="K522" s="215"/>
      <c r="L522" s="215"/>
      <c r="M522" s="215"/>
      <c r="N522" s="201"/>
      <c r="O522" s="201"/>
      <c r="P522" s="201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</row>
    <row r="523" ht="24.75" customHeight="1">
      <c r="A523" s="201" t="s">
        <v>4899</v>
      </c>
      <c r="B523" s="201" t="s">
        <v>3459</v>
      </c>
      <c r="C523" s="201" t="s">
        <v>4899</v>
      </c>
      <c r="D523" s="201" t="s">
        <v>4900</v>
      </c>
      <c r="E523" s="201" t="s">
        <v>4899</v>
      </c>
      <c r="F523" s="201" t="s">
        <v>4214</v>
      </c>
      <c r="G523" s="201" t="s">
        <v>123</v>
      </c>
      <c r="H523" s="201" t="s">
        <v>123</v>
      </c>
      <c r="I523" s="201" t="s">
        <v>4899</v>
      </c>
      <c r="J523" s="215" t="s">
        <v>4901</v>
      </c>
      <c r="K523" s="215"/>
      <c r="L523" s="215"/>
      <c r="M523" s="215"/>
      <c r="N523" s="201"/>
      <c r="O523" s="201"/>
      <c r="P523" s="201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</row>
    <row r="524" ht="39.75" customHeight="1">
      <c r="A524" s="215" t="s">
        <v>4902</v>
      </c>
      <c r="B524" s="201" t="s">
        <v>3459</v>
      </c>
      <c r="C524" s="215" t="s">
        <v>4902</v>
      </c>
      <c r="D524" s="201" t="s">
        <v>122</v>
      </c>
      <c r="E524" s="215" t="s">
        <v>4902</v>
      </c>
      <c r="F524" s="201">
        <v>22.0</v>
      </c>
      <c r="G524" s="201">
        <v>88.0</v>
      </c>
      <c r="H524" s="201">
        <v>78.0</v>
      </c>
      <c r="I524" s="215" t="s">
        <v>4902</v>
      </c>
      <c r="J524" s="215" t="s">
        <v>3632</v>
      </c>
      <c r="K524" s="215" t="s">
        <v>4049</v>
      </c>
      <c r="L524" s="215"/>
      <c r="M524" s="215" t="s">
        <v>4903</v>
      </c>
      <c r="N524" s="215" t="s">
        <v>126</v>
      </c>
      <c r="O524" s="215" t="s">
        <v>3852</v>
      </c>
      <c r="P524" s="201" t="s">
        <v>4904</v>
      </c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</row>
    <row r="525" ht="24.75" customHeight="1">
      <c r="A525" s="201" t="s">
        <v>4905</v>
      </c>
      <c r="B525" s="201" t="s">
        <v>3459</v>
      </c>
      <c r="C525" s="201" t="s">
        <v>4905</v>
      </c>
      <c r="D525" s="201" t="s">
        <v>122</v>
      </c>
      <c r="E525" s="201" t="s">
        <v>4905</v>
      </c>
      <c r="F525" s="201" t="s">
        <v>3662</v>
      </c>
      <c r="G525" s="201" t="s">
        <v>123</v>
      </c>
      <c r="H525" s="201" t="s">
        <v>123</v>
      </c>
      <c r="I525" s="201" t="s">
        <v>4905</v>
      </c>
      <c r="J525" s="215" t="s">
        <v>149</v>
      </c>
      <c r="K525" s="215"/>
      <c r="L525" s="215"/>
      <c r="M525" s="215"/>
      <c r="N525" s="201"/>
      <c r="O525" s="201"/>
      <c r="P525" s="201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</row>
    <row r="526" ht="24.75" customHeight="1">
      <c r="A526" s="201" t="s">
        <v>4906</v>
      </c>
      <c r="B526" s="201" t="s">
        <v>3459</v>
      </c>
      <c r="C526" s="201" t="s">
        <v>4906</v>
      </c>
      <c r="D526" s="201" t="s">
        <v>122</v>
      </c>
      <c r="E526" s="201" t="s">
        <v>4906</v>
      </c>
      <c r="F526" s="201">
        <v>88.0</v>
      </c>
      <c r="G526" s="201" t="s">
        <v>123</v>
      </c>
      <c r="H526" s="201" t="s">
        <v>123</v>
      </c>
      <c r="I526" s="201" t="s">
        <v>4906</v>
      </c>
      <c r="J526" s="215" t="s">
        <v>4424</v>
      </c>
      <c r="K526" s="215"/>
      <c r="L526" s="215"/>
      <c r="M526" s="215"/>
      <c r="N526" s="201"/>
      <c r="O526" s="201"/>
      <c r="P526" s="201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</row>
    <row r="527" ht="24.75" customHeight="1">
      <c r="A527" s="201" t="s">
        <v>4907</v>
      </c>
      <c r="B527" s="201" t="s">
        <v>3459</v>
      </c>
      <c r="C527" s="201" t="s">
        <v>4907</v>
      </c>
      <c r="D527" s="201" t="s">
        <v>122</v>
      </c>
      <c r="E527" s="201" t="s">
        <v>4907</v>
      </c>
      <c r="F527" s="201" t="s">
        <v>123</v>
      </c>
      <c r="G527" s="201" t="s">
        <v>3972</v>
      </c>
      <c r="H527" s="201" t="s">
        <v>123</v>
      </c>
      <c r="I527" s="201" t="s">
        <v>4907</v>
      </c>
      <c r="J527" s="215" t="s">
        <v>4908</v>
      </c>
      <c r="K527" s="215"/>
      <c r="L527" s="215"/>
      <c r="M527" s="215"/>
      <c r="N527" s="201"/>
      <c r="O527" s="201"/>
      <c r="P527" s="201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</row>
    <row r="528" ht="24.75" customHeight="1">
      <c r="A528" s="215" t="s">
        <v>4909</v>
      </c>
      <c r="B528" s="201" t="s">
        <v>3459</v>
      </c>
      <c r="C528" s="215" t="s">
        <v>4909</v>
      </c>
      <c r="D528" s="201" t="s">
        <v>4910</v>
      </c>
      <c r="E528" s="215" t="s">
        <v>4909</v>
      </c>
      <c r="F528" s="201" t="s">
        <v>3972</v>
      </c>
      <c r="G528" s="201" t="s">
        <v>123</v>
      </c>
      <c r="H528" s="201" t="s">
        <v>123</v>
      </c>
      <c r="I528" s="215" t="s">
        <v>4909</v>
      </c>
      <c r="J528" s="215" t="s">
        <v>124</v>
      </c>
      <c r="K528" s="215"/>
      <c r="L528" s="215"/>
      <c r="M528" s="215"/>
      <c r="N528" s="201"/>
      <c r="O528" s="201"/>
      <c r="P528" s="201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</row>
    <row r="529" ht="24.75" customHeight="1">
      <c r="A529" s="201" t="s">
        <v>4911</v>
      </c>
      <c r="B529" s="201" t="s">
        <v>3459</v>
      </c>
      <c r="C529" s="201" t="s">
        <v>4911</v>
      </c>
      <c r="D529" s="201" t="s">
        <v>4912</v>
      </c>
      <c r="E529" s="201" t="s">
        <v>4911</v>
      </c>
      <c r="F529" s="201" t="s">
        <v>3579</v>
      </c>
      <c r="G529" s="201" t="s">
        <v>123</v>
      </c>
      <c r="H529" s="201" t="s">
        <v>123</v>
      </c>
      <c r="I529" s="201" t="s">
        <v>4911</v>
      </c>
      <c r="J529" s="215" t="s">
        <v>4096</v>
      </c>
      <c r="K529" s="215"/>
      <c r="L529" s="215"/>
      <c r="M529" s="215"/>
      <c r="N529" s="201"/>
      <c r="O529" s="201"/>
      <c r="P529" s="201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</row>
    <row r="530" ht="24.75" customHeight="1">
      <c r="A530" s="201" t="s">
        <v>3872</v>
      </c>
      <c r="B530" s="201" t="s">
        <v>3459</v>
      </c>
      <c r="C530" s="201" t="s">
        <v>3872</v>
      </c>
      <c r="D530" s="201" t="s">
        <v>122</v>
      </c>
      <c r="E530" s="201" t="s">
        <v>3872</v>
      </c>
      <c r="F530" s="201" t="s">
        <v>3729</v>
      </c>
      <c r="G530" s="201" t="s">
        <v>123</v>
      </c>
      <c r="H530" s="201" t="s">
        <v>123</v>
      </c>
      <c r="I530" s="201" t="s">
        <v>3872</v>
      </c>
      <c r="J530" s="215" t="s">
        <v>1199</v>
      </c>
      <c r="K530" s="215"/>
      <c r="L530" s="215"/>
      <c r="M530" s="215"/>
      <c r="N530" s="201"/>
      <c r="O530" s="201"/>
      <c r="P530" s="201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</row>
    <row r="531" ht="24.75" customHeight="1">
      <c r="A531" s="201" t="s">
        <v>4913</v>
      </c>
      <c r="B531" s="201" t="s">
        <v>3459</v>
      </c>
      <c r="C531" s="201" t="s">
        <v>4913</v>
      </c>
      <c r="D531" s="201" t="s">
        <v>122</v>
      </c>
      <c r="E531" s="201" t="s">
        <v>4913</v>
      </c>
      <c r="F531" s="201" t="s">
        <v>123</v>
      </c>
      <c r="G531" s="201" t="s">
        <v>3819</v>
      </c>
      <c r="H531" s="201" t="s">
        <v>123</v>
      </c>
      <c r="I531" s="201" t="s">
        <v>4913</v>
      </c>
      <c r="J531" s="215" t="s">
        <v>4603</v>
      </c>
      <c r="K531" s="215"/>
      <c r="L531" s="215"/>
      <c r="M531" s="215"/>
      <c r="N531" s="201"/>
      <c r="O531" s="201"/>
      <c r="P531" s="201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</row>
    <row r="532" ht="24.75" customHeight="1">
      <c r="A532" s="201" t="s">
        <v>4914</v>
      </c>
      <c r="B532" s="201" t="s">
        <v>3459</v>
      </c>
      <c r="C532" s="201" t="s">
        <v>4914</v>
      </c>
      <c r="D532" s="201" t="s">
        <v>4915</v>
      </c>
      <c r="E532" s="201" t="s">
        <v>4914</v>
      </c>
      <c r="F532" s="201" t="s">
        <v>3662</v>
      </c>
      <c r="G532" s="201" t="s">
        <v>123</v>
      </c>
      <c r="H532" s="201" t="s">
        <v>123</v>
      </c>
      <c r="I532" s="201" t="s">
        <v>4914</v>
      </c>
      <c r="J532" s="215" t="s">
        <v>4135</v>
      </c>
      <c r="K532" s="215"/>
      <c r="L532" s="215"/>
      <c r="M532" s="215"/>
      <c r="N532" s="201"/>
      <c r="O532" s="201"/>
      <c r="P532" s="201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</row>
    <row r="533" ht="24.75" customHeight="1">
      <c r="A533" s="201" t="s">
        <v>4916</v>
      </c>
      <c r="B533" s="201" t="s">
        <v>3459</v>
      </c>
      <c r="C533" s="201" t="s">
        <v>4916</v>
      </c>
      <c r="D533" s="201" t="s">
        <v>4917</v>
      </c>
      <c r="E533" s="201" t="s">
        <v>4916</v>
      </c>
      <c r="F533" s="201" t="s">
        <v>3472</v>
      </c>
      <c r="G533" s="201" t="s">
        <v>123</v>
      </c>
      <c r="H533" s="201" t="s">
        <v>123</v>
      </c>
      <c r="I533" s="201" t="s">
        <v>4916</v>
      </c>
      <c r="J533" s="215" t="s">
        <v>4237</v>
      </c>
      <c r="K533" s="215"/>
      <c r="L533" s="215"/>
      <c r="M533" s="215"/>
      <c r="N533" s="201"/>
      <c r="O533" s="201"/>
      <c r="P533" s="201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</row>
    <row r="534" ht="24.75" customHeight="1">
      <c r="A534" s="201" t="s">
        <v>4918</v>
      </c>
      <c r="B534" s="201" t="s">
        <v>3459</v>
      </c>
      <c r="C534" s="201" t="s">
        <v>4918</v>
      </c>
      <c r="D534" s="201" t="s">
        <v>4919</v>
      </c>
      <c r="E534" s="201" t="s">
        <v>4918</v>
      </c>
      <c r="F534" s="201" t="s">
        <v>3662</v>
      </c>
      <c r="G534" s="201" t="s">
        <v>123</v>
      </c>
      <c r="H534" s="201" t="s">
        <v>123</v>
      </c>
      <c r="I534" s="201" t="s">
        <v>4918</v>
      </c>
      <c r="J534" s="215" t="s">
        <v>4920</v>
      </c>
      <c r="K534" s="215"/>
      <c r="L534" s="215"/>
      <c r="M534" s="215"/>
      <c r="N534" s="201"/>
      <c r="O534" s="201"/>
      <c r="P534" s="201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</row>
    <row r="535" ht="24.75" customHeight="1">
      <c r="A535" s="201" t="s">
        <v>4921</v>
      </c>
      <c r="B535" s="201" t="s">
        <v>3459</v>
      </c>
      <c r="C535" s="201" t="s">
        <v>4921</v>
      </c>
      <c r="D535" s="201" t="s">
        <v>122</v>
      </c>
      <c r="E535" s="201" t="s">
        <v>4921</v>
      </c>
      <c r="F535" s="201" t="s">
        <v>4727</v>
      </c>
      <c r="G535" s="201" t="s">
        <v>123</v>
      </c>
      <c r="H535" s="201" t="s">
        <v>123</v>
      </c>
      <c r="I535" s="201" t="s">
        <v>4921</v>
      </c>
      <c r="J535" s="215" t="s">
        <v>4922</v>
      </c>
      <c r="K535" s="215"/>
      <c r="L535" s="215"/>
      <c r="M535" s="215"/>
      <c r="N535" s="201"/>
      <c r="O535" s="201"/>
      <c r="P535" s="201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</row>
    <row r="536" ht="24.75" customHeight="1">
      <c r="A536" s="201" t="s">
        <v>4923</v>
      </c>
      <c r="B536" s="201" t="s">
        <v>3459</v>
      </c>
      <c r="C536" s="201" t="s">
        <v>4923</v>
      </c>
      <c r="D536" s="201" t="s">
        <v>4924</v>
      </c>
      <c r="E536" s="201" t="s">
        <v>4923</v>
      </c>
      <c r="F536" s="201" t="s">
        <v>3579</v>
      </c>
      <c r="G536" s="201" t="s">
        <v>123</v>
      </c>
      <c r="H536" s="201" t="s">
        <v>123</v>
      </c>
      <c r="I536" s="201" t="s">
        <v>4923</v>
      </c>
      <c r="J536" s="215" t="s">
        <v>4925</v>
      </c>
      <c r="K536" s="215"/>
      <c r="L536" s="215"/>
      <c r="M536" s="215"/>
      <c r="N536" s="201"/>
      <c r="O536" s="201"/>
      <c r="P536" s="201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</row>
    <row r="537" ht="24.75" customHeight="1">
      <c r="A537" s="201" t="s">
        <v>3876</v>
      </c>
      <c r="B537" s="201" t="s">
        <v>3459</v>
      </c>
      <c r="C537" s="201" t="s">
        <v>3876</v>
      </c>
      <c r="D537" s="201" t="s">
        <v>122</v>
      </c>
      <c r="E537" s="201" t="s">
        <v>3876</v>
      </c>
      <c r="F537" s="201" t="s">
        <v>3729</v>
      </c>
      <c r="G537" s="201" t="s">
        <v>123</v>
      </c>
      <c r="H537" s="201">
        <v>4.0</v>
      </c>
      <c r="I537" s="201" t="s">
        <v>3876</v>
      </c>
      <c r="J537" s="215" t="s">
        <v>3877</v>
      </c>
      <c r="K537" s="215"/>
      <c r="L537" s="215"/>
      <c r="M537" s="215"/>
      <c r="N537" s="201"/>
      <c r="O537" s="201"/>
      <c r="P537" s="201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</row>
    <row r="538" ht="24.75" customHeight="1">
      <c r="A538" s="201" t="s">
        <v>4926</v>
      </c>
      <c r="B538" s="201" t="s">
        <v>3459</v>
      </c>
      <c r="C538" s="201" t="s">
        <v>4926</v>
      </c>
      <c r="D538" s="201" t="s">
        <v>4927</v>
      </c>
      <c r="E538" s="201" t="s">
        <v>4926</v>
      </c>
      <c r="F538" s="201" t="s">
        <v>3972</v>
      </c>
      <c r="G538" s="201" t="s">
        <v>123</v>
      </c>
      <c r="H538" s="201" t="s">
        <v>123</v>
      </c>
      <c r="I538" s="201" t="s">
        <v>4926</v>
      </c>
      <c r="J538" s="215" t="s">
        <v>3619</v>
      </c>
      <c r="K538" s="215"/>
      <c r="L538" s="215"/>
      <c r="M538" s="215"/>
      <c r="N538" s="201"/>
      <c r="O538" s="201"/>
      <c r="P538" s="201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</row>
    <row r="539" ht="24.75" customHeight="1">
      <c r="A539" s="201" t="s">
        <v>4928</v>
      </c>
      <c r="B539" s="201" t="s">
        <v>3459</v>
      </c>
      <c r="C539" s="201" t="s">
        <v>4928</v>
      </c>
      <c r="D539" s="201" t="s">
        <v>4929</v>
      </c>
      <c r="E539" s="201" t="s">
        <v>4928</v>
      </c>
      <c r="F539" s="201" t="s">
        <v>3729</v>
      </c>
      <c r="G539" s="201" t="s">
        <v>123</v>
      </c>
      <c r="H539" s="201" t="s">
        <v>123</v>
      </c>
      <c r="I539" s="201" t="s">
        <v>4928</v>
      </c>
      <c r="J539" s="215" t="s">
        <v>4930</v>
      </c>
      <c r="K539" s="215"/>
      <c r="L539" s="215"/>
      <c r="M539" s="215"/>
      <c r="N539" s="201"/>
      <c r="O539" s="201"/>
      <c r="P539" s="201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</row>
    <row r="540" ht="30.0" customHeight="1">
      <c r="A540" s="215" t="s">
        <v>1048</v>
      </c>
      <c r="B540" s="201" t="s">
        <v>3459</v>
      </c>
      <c r="C540" s="215" t="s">
        <v>1048</v>
      </c>
      <c r="D540" s="201" t="s">
        <v>4931</v>
      </c>
      <c r="E540" s="215" t="s">
        <v>1048</v>
      </c>
      <c r="F540" s="201">
        <v>0.09</v>
      </c>
      <c r="G540" s="201" t="s">
        <v>123</v>
      </c>
      <c r="H540" s="201" t="s">
        <v>123</v>
      </c>
      <c r="I540" s="215" t="s">
        <v>1048</v>
      </c>
      <c r="J540" s="215" t="s">
        <v>3892</v>
      </c>
      <c r="K540" s="215" t="s">
        <v>3755</v>
      </c>
      <c r="L540" s="215" t="s">
        <v>3802</v>
      </c>
      <c r="M540" s="215" t="s">
        <v>4164</v>
      </c>
      <c r="N540" s="215" t="s">
        <v>970</v>
      </c>
      <c r="O540" s="201" t="s">
        <v>4166</v>
      </c>
      <c r="P540" s="201" t="s">
        <v>3893</v>
      </c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</row>
    <row r="541" ht="24.75" customHeight="1">
      <c r="A541" s="201" t="s">
        <v>4932</v>
      </c>
      <c r="B541" s="201" t="s">
        <v>3459</v>
      </c>
      <c r="C541" s="201" t="s">
        <v>4932</v>
      </c>
      <c r="D541" s="201" t="s">
        <v>123</v>
      </c>
      <c r="E541" s="201" t="s">
        <v>4932</v>
      </c>
      <c r="F541" s="201" t="s">
        <v>123</v>
      </c>
      <c r="G541" s="201" t="s">
        <v>123</v>
      </c>
      <c r="H541" s="201" t="s">
        <v>123</v>
      </c>
      <c r="I541" s="201" t="s">
        <v>4932</v>
      </c>
      <c r="J541" s="215" t="s">
        <v>133</v>
      </c>
      <c r="K541" s="215"/>
      <c r="L541" s="215"/>
      <c r="M541" s="215"/>
      <c r="N541" s="201"/>
      <c r="O541" s="201"/>
      <c r="P541" s="201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</row>
    <row r="542" ht="24.75" customHeight="1">
      <c r="A542" s="201" t="s">
        <v>4933</v>
      </c>
      <c r="B542" s="201" t="s">
        <v>3459</v>
      </c>
      <c r="C542" s="201" t="s">
        <v>4933</v>
      </c>
      <c r="D542" s="201" t="s">
        <v>122</v>
      </c>
      <c r="E542" s="201" t="s">
        <v>4933</v>
      </c>
      <c r="F542" s="201">
        <v>176.0</v>
      </c>
      <c r="G542" s="201">
        <v>352.0</v>
      </c>
      <c r="H542" s="201">
        <v>310.0</v>
      </c>
      <c r="I542" s="201" t="s">
        <v>4933</v>
      </c>
      <c r="J542" s="215" t="s">
        <v>3520</v>
      </c>
      <c r="K542" s="215"/>
      <c r="L542" s="215"/>
      <c r="M542" s="215"/>
      <c r="N542" s="201"/>
      <c r="O542" s="201"/>
      <c r="P542" s="201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</row>
    <row r="543" ht="24.75" customHeight="1">
      <c r="A543" s="201" t="s">
        <v>3772</v>
      </c>
      <c r="B543" s="201" t="s">
        <v>3459</v>
      </c>
      <c r="C543" s="201" t="s">
        <v>3772</v>
      </c>
      <c r="D543" s="201" t="s">
        <v>122</v>
      </c>
      <c r="E543" s="201" t="s">
        <v>3772</v>
      </c>
      <c r="F543" s="201">
        <v>88.0</v>
      </c>
      <c r="G543" s="201" t="s">
        <v>123</v>
      </c>
      <c r="H543" s="201">
        <v>156.0</v>
      </c>
      <c r="I543" s="201" t="s">
        <v>3772</v>
      </c>
      <c r="J543" s="215" t="s">
        <v>149</v>
      </c>
      <c r="K543" s="215"/>
      <c r="L543" s="215"/>
      <c r="M543" s="215"/>
      <c r="N543" s="201"/>
      <c r="O543" s="201"/>
      <c r="P543" s="201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</row>
    <row r="544" ht="24.75" customHeight="1">
      <c r="A544" s="201" t="s">
        <v>4934</v>
      </c>
      <c r="B544" s="201" t="s">
        <v>3459</v>
      </c>
      <c r="C544" s="201" t="s">
        <v>4934</v>
      </c>
      <c r="D544" s="201" t="s">
        <v>122</v>
      </c>
      <c r="E544" s="201" t="s">
        <v>4934</v>
      </c>
      <c r="F544" s="201">
        <v>440.0</v>
      </c>
      <c r="G544" s="201" t="s">
        <v>123</v>
      </c>
      <c r="H544" s="201" t="s">
        <v>123</v>
      </c>
      <c r="I544" s="201" t="s">
        <v>4934</v>
      </c>
      <c r="J544" s="215" t="s">
        <v>4935</v>
      </c>
      <c r="K544" s="215"/>
      <c r="L544" s="215"/>
      <c r="M544" s="215"/>
      <c r="N544" s="201"/>
      <c r="O544" s="201"/>
      <c r="P544" s="201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</row>
    <row r="545" ht="24.75" customHeight="1">
      <c r="A545" s="201" t="s">
        <v>4936</v>
      </c>
      <c r="B545" s="201" t="s">
        <v>3459</v>
      </c>
      <c r="C545" s="201" t="s">
        <v>4936</v>
      </c>
      <c r="D545" s="201" t="s">
        <v>122</v>
      </c>
      <c r="E545" s="201" t="s">
        <v>4936</v>
      </c>
      <c r="F545" s="201" t="s">
        <v>3819</v>
      </c>
      <c r="G545" s="201" t="s">
        <v>4147</v>
      </c>
      <c r="H545" s="201" t="s">
        <v>4937</v>
      </c>
      <c r="I545" s="201" t="s">
        <v>4936</v>
      </c>
      <c r="J545" s="215" t="s">
        <v>4503</v>
      </c>
      <c r="K545" s="215"/>
      <c r="L545" s="215"/>
      <c r="M545" s="215"/>
      <c r="N545" s="201"/>
      <c r="O545" s="201"/>
      <c r="P545" s="201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</row>
    <row r="546" ht="24.75" customHeight="1">
      <c r="A546" s="201" t="s">
        <v>4938</v>
      </c>
      <c r="B546" s="201" t="s">
        <v>3459</v>
      </c>
      <c r="C546" s="201" t="s">
        <v>4938</v>
      </c>
      <c r="D546" s="201" t="s">
        <v>122</v>
      </c>
      <c r="E546" s="201" t="s">
        <v>4938</v>
      </c>
      <c r="F546" s="201" t="s">
        <v>3668</v>
      </c>
      <c r="G546" s="201" t="s">
        <v>123</v>
      </c>
      <c r="H546" s="201" t="s">
        <v>123</v>
      </c>
      <c r="I546" s="201" t="s">
        <v>4938</v>
      </c>
      <c r="J546" s="215" t="s">
        <v>4939</v>
      </c>
      <c r="K546" s="215"/>
      <c r="L546" s="215"/>
      <c r="M546" s="215"/>
      <c r="N546" s="201"/>
      <c r="O546" s="201"/>
      <c r="P546" s="201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</row>
    <row r="547" ht="24.75" customHeight="1">
      <c r="A547" s="201" t="s">
        <v>4940</v>
      </c>
      <c r="B547" s="201" t="s">
        <v>3459</v>
      </c>
      <c r="C547" s="201" t="s">
        <v>4940</v>
      </c>
      <c r="D547" s="201" t="s">
        <v>122</v>
      </c>
      <c r="E547" s="201" t="s">
        <v>4940</v>
      </c>
      <c r="F547" s="201" t="s">
        <v>3501</v>
      </c>
      <c r="G547" s="201" t="s">
        <v>123</v>
      </c>
      <c r="H547" s="201" t="s">
        <v>123</v>
      </c>
      <c r="I547" s="201" t="s">
        <v>4940</v>
      </c>
      <c r="J547" s="215" t="s">
        <v>967</v>
      </c>
      <c r="K547" s="215"/>
      <c r="L547" s="215"/>
      <c r="M547" s="215"/>
      <c r="N547" s="201"/>
      <c r="O547" s="201"/>
      <c r="P547" s="201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</row>
    <row r="548" ht="24.75" customHeight="1">
      <c r="A548" s="201" t="s">
        <v>4941</v>
      </c>
      <c r="B548" s="201" t="s">
        <v>3459</v>
      </c>
      <c r="C548" s="201" t="s">
        <v>4941</v>
      </c>
      <c r="D548" s="201" t="s">
        <v>4942</v>
      </c>
      <c r="E548" s="201" t="s">
        <v>4941</v>
      </c>
      <c r="F548" s="201" t="s">
        <v>3668</v>
      </c>
      <c r="G548" s="201" t="s">
        <v>123</v>
      </c>
      <c r="H548" s="201" t="s">
        <v>123</v>
      </c>
      <c r="I548" s="201" t="s">
        <v>4941</v>
      </c>
      <c r="J548" s="215" t="s">
        <v>3619</v>
      </c>
      <c r="K548" s="215"/>
      <c r="L548" s="215"/>
      <c r="M548" s="215"/>
      <c r="N548" s="201"/>
      <c r="O548" s="201"/>
      <c r="P548" s="201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</row>
    <row r="549" ht="24.75" customHeight="1">
      <c r="A549" s="201" t="s">
        <v>4943</v>
      </c>
      <c r="B549" s="201" t="s">
        <v>3459</v>
      </c>
      <c r="C549" s="201" t="s">
        <v>4943</v>
      </c>
      <c r="D549" s="201" t="s">
        <v>4944</v>
      </c>
      <c r="E549" s="201" t="s">
        <v>4943</v>
      </c>
      <c r="F549" s="201" t="s">
        <v>3729</v>
      </c>
      <c r="G549" s="201" t="s">
        <v>123</v>
      </c>
      <c r="H549" s="201" t="s">
        <v>123</v>
      </c>
      <c r="I549" s="201" t="s">
        <v>4943</v>
      </c>
      <c r="J549" s="215" t="s">
        <v>4945</v>
      </c>
      <c r="K549" s="215"/>
      <c r="L549" s="215"/>
      <c r="M549" s="215"/>
      <c r="N549" s="201"/>
      <c r="O549" s="201"/>
      <c r="P549" s="201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</row>
    <row r="550" ht="24.75" customHeight="1">
      <c r="A550" s="201" t="s">
        <v>3903</v>
      </c>
      <c r="B550" s="201" t="s">
        <v>3459</v>
      </c>
      <c r="C550" s="201" t="s">
        <v>3903</v>
      </c>
      <c r="D550" s="201" t="s">
        <v>4946</v>
      </c>
      <c r="E550" s="201" t="s">
        <v>3903</v>
      </c>
      <c r="F550" s="201">
        <v>176.0</v>
      </c>
      <c r="G550" s="201" t="s">
        <v>123</v>
      </c>
      <c r="H550" s="201" t="s">
        <v>123</v>
      </c>
      <c r="I550" s="201" t="s">
        <v>3903</v>
      </c>
      <c r="J550" s="215" t="s">
        <v>3905</v>
      </c>
      <c r="K550" s="215"/>
      <c r="L550" s="215"/>
      <c r="M550" s="215"/>
      <c r="N550" s="201"/>
      <c r="O550" s="201"/>
      <c r="P550" s="201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</row>
    <row r="551" ht="24.75" customHeight="1">
      <c r="A551" s="201" t="s">
        <v>4947</v>
      </c>
      <c r="B551" s="201" t="s">
        <v>3459</v>
      </c>
      <c r="C551" s="201" t="s">
        <v>4947</v>
      </c>
      <c r="D551" s="201" t="s">
        <v>122</v>
      </c>
      <c r="E551" s="201" t="s">
        <v>4947</v>
      </c>
      <c r="F551" s="201" t="s">
        <v>3662</v>
      </c>
      <c r="G551" s="201" t="s">
        <v>123</v>
      </c>
      <c r="H551" s="201" t="s">
        <v>123</v>
      </c>
      <c r="I551" s="201" t="s">
        <v>4947</v>
      </c>
      <c r="J551" s="215" t="s">
        <v>4784</v>
      </c>
      <c r="K551" s="215"/>
      <c r="L551" s="215"/>
      <c r="M551" s="215"/>
      <c r="N551" s="201"/>
      <c r="O551" s="201"/>
      <c r="P551" s="201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</row>
    <row r="552" ht="24.75" customHeight="1">
      <c r="A552" s="215" t="s">
        <v>4948</v>
      </c>
      <c r="B552" s="201" t="s">
        <v>3459</v>
      </c>
      <c r="C552" s="215" t="s">
        <v>4948</v>
      </c>
      <c r="D552" s="201" t="s">
        <v>123</v>
      </c>
      <c r="E552" s="215" t="s">
        <v>4948</v>
      </c>
      <c r="F552" s="201" t="s">
        <v>123</v>
      </c>
      <c r="G552" s="201" t="s">
        <v>123</v>
      </c>
      <c r="H552" s="201" t="s">
        <v>123</v>
      </c>
      <c r="I552" s="215" t="s">
        <v>4948</v>
      </c>
      <c r="J552" s="215" t="s">
        <v>4949</v>
      </c>
      <c r="K552" s="215"/>
      <c r="L552" s="215"/>
      <c r="M552" s="215"/>
      <c r="N552" s="201"/>
      <c r="O552" s="201"/>
      <c r="P552" s="201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</row>
    <row r="553" ht="24.75" customHeight="1">
      <c r="A553" s="201" t="s">
        <v>4950</v>
      </c>
      <c r="B553" s="201" t="s">
        <v>3459</v>
      </c>
      <c r="C553" s="201" t="s">
        <v>4950</v>
      </c>
      <c r="D553" s="201" t="s">
        <v>122</v>
      </c>
      <c r="E553" s="201" t="s">
        <v>4950</v>
      </c>
      <c r="F553" s="201" t="s">
        <v>3472</v>
      </c>
      <c r="G553" s="201" t="s">
        <v>3501</v>
      </c>
      <c r="H553" s="201" t="s">
        <v>123</v>
      </c>
      <c r="I553" s="201" t="s">
        <v>4950</v>
      </c>
      <c r="J553" s="215" t="s">
        <v>3708</v>
      </c>
      <c r="K553" s="215"/>
      <c r="L553" s="215"/>
      <c r="M553" s="215"/>
      <c r="N553" s="201"/>
      <c r="O553" s="201"/>
      <c r="P553" s="201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</row>
    <row r="554" ht="24.75" customHeight="1">
      <c r="A554" s="201" t="s">
        <v>4951</v>
      </c>
      <c r="B554" s="201" t="s">
        <v>3459</v>
      </c>
      <c r="C554" s="201" t="s">
        <v>4951</v>
      </c>
      <c r="D554" s="201" t="s">
        <v>4952</v>
      </c>
      <c r="E554" s="201" t="s">
        <v>4951</v>
      </c>
      <c r="F554" s="201" t="s">
        <v>3729</v>
      </c>
      <c r="G554" s="201" t="s">
        <v>123</v>
      </c>
      <c r="H554" s="201" t="s">
        <v>123</v>
      </c>
      <c r="I554" s="201" t="s">
        <v>4951</v>
      </c>
      <c r="J554" s="215" t="s">
        <v>4953</v>
      </c>
      <c r="K554" s="215"/>
      <c r="L554" s="215"/>
      <c r="M554" s="215"/>
      <c r="N554" s="201"/>
      <c r="O554" s="201"/>
      <c r="P554" s="201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</row>
    <row r="555" ht="24.75" customHeight="1">
      <c r="A555" s="201" t="s">
        <v>4954</v>
      </c>
      <c r="B555" s="201" t="s">
        <v>3459</v>
      </c>
      <c r="C555" s="201" t="s">
        <v>4954</v>
      </c>
      <c r="D555" s="201" t="s">
        <v>4955</v>
      </c>
      <c r="E555" s="201" t="s">
        <v>4954</v>
      </c>
      <c r="F555" s="201" t="s">
        <v>3579</v>
      </c>
      <c r="G555" s="201" t="s">
        <v>123</v>
      </c>
      <c r="H555" s="201" t="s">
        <v>123</v>
      </c>
      <c r="I555" s="201" t="s">
        <v>4954</v>
      </c>
      <c r="J555" s="215" t="s">
        <v>3619</v>
      </c>
      <c r="K555" s="215"/>
      <c r="L555" s="215"/>
      <c r="M555" s="215"/>
      <c r="N555" s="201"/>
      <c r="O555" s="201"/>
      <c r="P555" s="201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</row>
    <row r="556" ht="24.75" customHeight="1">
      <c r="A556" s="201" t="s">
        <v>4956</v>
      </c>
      <c r="B556" s="201" t="s">
        <v>3459</v>
      </c>
      <c r="C556" s="201" t="s">
        <v>4956</v>
      </c>
      <c r="D556" s="201" t="s">
        <v>4957</v>
      </c>
      <c r="E556" s="201" t="s">
        <v>4956</v>
      </c>
      <c r="F556" s="201" t="s">
        <v>3579</v>
      </c>
      <c r="G556" s="201" t="s">
        <v>123</v>
      </c>
      <c r="H556" s="201" t="s">
        <v>123</v>
      </c>
      <c r="I556" s="201" t="s">
        <v>4956</v>
      </c>
      <c r="J556" s="215" t="s">
        <v>3520</v>
      </c>
      <c r="K556" s="215"/>
      <c r="L556" s="215"/>
      <c r="M556" s="215"/>
      <c r="N556" s="201"/>
      <c r="O556" s="201"/>
      <c r="P556" s="201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</row>
    <row r="557" ht="24.75" customHeight="1">
      <c r="A557" s="201" t="s">
        <v>4958</v>
      </c>
      <c r="B557" s="201" t="s">
        <v>3459</v>
      </c>
      <c r="C557" s="201" t="s">
        <v>4958</v>
      </c>
      <c r="D557" s="201" t="s">
        <v>4959</v>
      </c>
      <c r="E557" s="201" t="s">
        <v>4958</v>
      </c>
      <c r="F557" s="201" t="s">
        <v>3472</v>
      </c>
      <c r="G557" s="201" t="s">
        <v>123</v>
      </c>
      <c r="H557" s="201" t="s">
        <v>123</v>
      </c>
      <c r="I557" s="201" t="s">
        <v>4958</v>
      </c>
      <c r="J557" s="215" t="s">
        <v>4960</v>
      </c>
      <c r="K557" s="215"/>
      <c r="L557" s="215"/>
      <c r="M557" s="215"/>
      <c r="N557" s="201"/>
      <c r="O557" s="201"/>
      <c r="P557" s="201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</row>
    <row r="558" ht="24.75" customHeight="1">
      <c r="A558" s="201" t="s">
        <v>4961</v>
      </c>
      <c r="B558" s="201" t="s">
        <v>3459</v>
      </c>
      <c r="C558" s="201" t="s">
        <v>4961</v>
      </c>
      <c r="D558" s="201" t="s">
        <v>122</v>
      </c>
      <c r="E558" s="201" t="s">
        <v>4961</v>
      </c>
      <c r="F558" s="201" t="s">
        <v>4214</v>
      </c>
      <c r="G558" s="201" t="s">
        <v>123</v>
      </c>
      <c r="H558" s="201" t="s">
        <v>123</v>
      </c>
      <c r="I558" s="201" t="s">
        <v>4961</v>
      </c>
      <c r="J558" s="215" t="s">
        <v>4486</v>
      </c>
      <c r="K558" s="215"/>
      <c r="L558" s="215"/>
      <c r="M558" s="215"/>
      <c r="N558" s="201"/>
      <c r="O558" s="201"/>
      <c r="P558" s="201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</row>
    <row r="559" ht="24.75" customHeight="1">
      <c r="A559" s="201" t="s">
        <v>3913</v>
      </c>
      <c r="B559" s="201" t="s">
        <v>3459</v>
      </c>
      <c r="C559" s="201" t="s">
        <v>3913</v>
      </c>
      <c r="D559" s="201" t="s">
        <v>4962</v>
      </c>
      <c r="E559" s="201" t="s">
        <v>3913</v>
      </c>
      <c r="F559" s="201" t="s">
        <v>3819</v>
      </c>
      <c r="G559" s="201" t="s">
        <v>123</v>
      </c>
      <c r="H559" s="201" t="s">
        <v>123</v>
      </c>
      <c r="I559" s="201" t="s">
        <v>3913</v>
      </c>
      <c r="J559" s="215" t="s">
        <v>149</v>
      </c>
      <c r="K559" s="215"/>
      <c r="L559" s="215"/>
      <c r="M559" s="215"/>
      <c r="N559" s="201"/>
      <c r="O559" s="201"/>
      <c r="P559" s="201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</row>
    <row r="560" ht="24.75" customHeight="1">
      <c r="A560" s="201" t="s">
        <v>4963</v>
      </c>
      <c r="B560" s="201" t="s">
        <v>3459</v>
      </c>
      <c r="C560" s="201" t="s">
        <v>4963</v>
      </c>
      <c r="D560" s="201" t="s">
        <v>4964</v>
      </c>
      <c r="E560" s="201" t="s">
        <v>4963</v>
      </c>
      <c r="F560" s="201" t="s">
        <v>3472</v>
      </c>
      <c r="G560" s="201" t="s">
        <v>123</v>
      </c>
      <c r="H560" s="201" t="s">
        <v>123</v>
      </c>
      <c r="I560" s="201" t="s">
        <v>4963</v>
      </c>
      <c r="J560" s="215" t="s">
        <v>4890</v>
      </c>
      <c r="K560" s="215"/>
      <c r="L560" s="215"/>
      <c r="M560" s="215"/>
      <c r="N560" s="201"/>
      <c r="O560" s="201"/>
      <c r="P560" s="201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</row>
    <row r="561" ht="39.75" customHeight="1">
      <c r="A561" s="254" t="s">
        <v>4965</v>
      </c>
      <c r="B561" s="201" t="s">
        <v>3459</v>
      </c>
      <c r="C561" s="254" t="s">
        <v>4965</v>
      </c>
      <c r="D561" s="201" t="s">
        <v>4966</v>
      </c>
      <c r="E561" s="254" t="s">
        <v>4965</v>
      </c>
      <c r="F561" s="256" t="s">
        <v>123</v>
      </c>
      <c r="G561" s="256" t="s">
        <v>123</v>
      </c>
      <c r="H561" s="256" t="s">
        <v>123</v>
      </c>
      <c r="I561" s="254" t="s">
        <v>4965</v>
      </c>
      <c r="J561" s="227" t="s">
        <v>4967</v>
      </c>
      <c r="K561" s="215" t="s">
        <v>3755</v>
      </c>
      <c r="L561" s="201" t="s">
        <v>4968</v>
      </c>
      <c r="M561" s="215" t="s">
        <v>4969</v>
      </c>
      <c r="N561" s="215" t="s">
        <v>4970</v>
      </c>
      <c r="O561" s="201">
        <v>1.7</v>
      </c>
      <c r="P561" s="201" t="s">
        <v>4971</v>
      </c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</row>
    <row r="562" ht="39.75" customHeight="1">
      <c r="A562" s="215" t="s">
        <v>4972</v>
      </c>
      <c r="B562" s="201" t="s">
        <v>4973</v>
      </c>
      <c r="C562" s="215" t="s">
        <v>4972</v>
      </c>
      <c r="D562" s="201" t="s">
        <v>4974</v>
      </c>
      <c r="E562" s="215" t="s">
        <v>4972</v>
      </c>
      <c r="F562" s="201">
        <v>0.02</v>
      </c>
      <c r="G562" s="201" t="s">
        <v>123</v>
      </c>
      <c r="H562" s="201" t="s">
        <v>123</v>
      </c>
      <c r="I562" s="215" t="s">
        <v>4972</v>
      </c>
      <c r="J562" s="215" t="s">
        <v>4975</v>
      </c>
      <c r="K562" s="215" t="s">
        <v>3755</v>
      </c>
      <c r="L562" s="215"/>
      <c r="M562" s="215" t="s">
        <v>4969</v>
      </c>
      <c r="N562" s="215" t="s">
        <v>4970</v>
      </c>
      <c r="O562" s="201">
        <v>1.7</v>
      </c>
      <c r="P562" s="201" t="s">
        <v>4971</v>
      </c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</row>
    <row r="563" ht="24.75" customHeight="1">
      <c r="A563" s="201" t="s">
        <v>4976</v>
      </c>
      <c r="B563" s="201" t="s">
        <v>3459</v>
      </c>
      <c r="C563" s="201" t="s">
        <v>4976</v>
      </c>
      <c r="D563" s="201" t="s">
        <v>4977</v>
      </c>
      <c r="E563" s="201" t="s">
        <v>4976</v>
      </c>
      <c r="F563" s="201">
        <v>0.88</v>
      </c>
      <c r="G563" s="201" t="s">
        <v>123</v>
      </c>
      <c r="H563" s="201" t="s">
        <v>123</v>
      </c>
      <c r="I563" s="201" t="s">
        <v>4976</v>
      </c>
      <c r="J563" s="215" t="s">
        <v>967</v>
      </c>
      <c r="K563" s="215"/>
      <c r="L563" s="215"/>
      <c r="M563" s="215"/>
      <c r="N563" s="201"/>
      <c r="O563" s="201"/>
      <c r="P563" s="201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</row>
    <row r="564" ht="24.75" customHeight="1">
      <c r="A564" s="201" t="s">
        <v>4978</v>
      </c>
      <c r="B564" s="201" t="s">
        <v>3459</v>
      </c>
      <c r="C564" s="201" t="s">
        <v>4978</v>
      </c>
      <c r="D564" s="201" t="s">
        <v>122</v>
      </c>
      <c r="E564" s="201" t="s">
        <v>4978</v>
      </c>
      <c r="F564" s="201">
        <v>8.8</v>
      </c>
      <c r="G564" s="201" t="s">
        <v>123</v>
      </c>
      <c r="H564" s="201" t="s">
        <v>123</v>
      </c>
      <c r="I564" s="201" t="s">
        <v>4978</v>
      </c>
      <c r="J564" s="215" t="s">
        <v>4979</v>
      </c>
      <c r="K564" s="215"/>
      <c r="L564" s="215"/>
      <c r="M564" s="215"/>
      <c r="N564" s="201"/>
      <c r="O564" s="201"/>
      <c r="P564" s="201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</row>
    <row r="565" ht="24.75" customHeight="1">
      <c r="A565" s="201" t="s">
        <v>4980</v>
      </c>
      <c r="B565" s="201" t="s">
        <v>3459</v>
      </c>
      <c r="C565" s="201" t="s">
        <v>4980</v>
      </c>
      <c r="D565" s="201" t="s">
        <v>122</v>
      </c>
      <c r="E565" s="201" t="s">
        <v>4980</v>
      </c>
      <c r="F565" s="201" t="s">
        <v>3729</v>
      </c>
      <c r="G565" s="201" t="s">
        <v>123</v>
      </c>
      <c r="H565" s="201" t="s">
        <v>123</v>
      </c>
      <c r="I565" s="201" t="s">
        <v>4980</v>
      </c>
      <c r="J565" s="215" t="s">
        <v>4386</v>
      </c>
      <c r="K565" s="215"/>
      <c r="L565" s="215"/>
      <c r="M565" s="215"/>
      <c r="N565" s="201"/>
      <c r="O565" s="201"/>
      <c r="P565" s="201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</row>
    <row r="566" ht="24.75" customHeight="1">
      <c r="A566" s="201" t="s">
        <v>4981</v>
      </c>
      <c r="B566" s="201" t="s">
        <v>3459</v>
      </c>
      <c r="C566" s="201" t="s">
        <v>4981</v>
      </c>
      <c r="D566" s="201" t="s">
        <v>4982</v>
      </c>
      <c r="E566" s="201" t="s">
        <v>4981</v>
      </c>
      <c r="F566" s="201" t="s">
        <v>123</v>
      </c>
      <c r="G566" s="201" t="s">
        <v>4983</v>
      </c>
      <c r="H566" s="201" t="s">
        <v>123</v>
      </c>
      <c r="I566" s="201" t="s">
        <v>4981</v>
      </c>
      <c r="J566" s="215" t="s">
        <v>4984</v>
      </c>
      <c r="K566" s="215"/>
      <c r="L566" s="215"/>
      <c r="M566" s="215"/>
      <c r="N566" s="201"/>
      <c r="O566" s="201"/>
      <c r="P566" s="201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</row>
    <row r="567" ht="24.75" customHeight="1">
      <c r="A567" s="201" t="s">
        <v>4985</v>
      </c>
      <c r="B567" s="201" t="s">
        <v>3459</v>
      </c>
      <c r="C567" s="201" t="s">
        <v>4985</v>
      </c>
      <c r="D567" s="201" t="s">
        <v>4986</v>
      </c>
      <c r="E567" s="201" t="s">
        <v>4985</v>
      </c>
      <c r="F567" s="201" t="s">
        <v>3472</v>
      </c>
      <c r="G567" s="201" t="s">
        <v>123</v>
      </c>
      <c r="H567" s="201" t="s">
        <v>123</v>
      </c>
      <c r="I567" s="201" t="s">
        <v>4985</v>
      </c>
      <c r="J567" s="215" t="s">
        <v>123</v>
      </c>
      <c r="K567" s="215"/>
      <c r="L567" s="215"/>
      <c r="M567" s="215"/>
      <c r="N567" s="201"/>
      <c r="O567" s="201"/>
      <c r="P567" s="201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</row>
    <row r="568" ht="24.75" customHeight="1">
      <c r="A568" s="201" t="s">
        <v>4987</v>
      </c>
      <c r="B568" s="201" t="s">
        <v>3459</v>
      </c>
      <c r="C568" s="201" t="s">
        <v>4987</v>
      </c>
      <c r="D568" s="201" t="s">
        <v>4988</v>
      </c>
      <c r="E568" s="201" t="s">
        <v>4987</v>
      </c>
      <c r="F568" s="201" t="s">
        <v>3579</v>
      </c>
      <c r="G568" s="201" t="s">
        <v>123</v>
      </c>
      <c r="H568" s="201" t="s">
        <v>123</v>
      </c>
      <c r="I568" s="201" t="s">
        <v>4987</v>
      </c>
      <c r="J568" s="215" t="s">
        <v>3009</v>
      </c>
      <c r="K568" s="215"/>
      <c r="L568" s="215"/>
      <c r="M568" s="215"/>
      <c r="N568" s="201"/>
      <c r="O568" s="201"/>
      <c r="P568" s="201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</row>
    <row r="569" ht="24.75" customHeight="1">
      <c r="A569" s="201" t="s">
        <v>4989</v>
      </c>
      <c r="B569" s="201" t="s">
        <v>3459</v>
      </c>
      <c r="C569" s="201" t="s">
        <v>4989</v>
      </c>
      <c r="D569" s="201" t="s">
        <v>4990</v>
      </c>
      <c r="E569" s="201" t="s">
        <v>4989</v>
      </c>
      <c r="F569" s="201" t="s">
        <v>3472</v>
      </c>
      <c r="G569" s="201" t="s">
        <v>123</v>
      </c>
      <c r="H569" s="201" t="s">
        <v>123</v>
      </c>
      <c r="I569" s="201" t="s">
        <v>4989</v>
      </c>
      <c r="J569" s="215" t="s">
        <v>4991</v>
      </c>
      <c r="K569" s="215"/>
      <c r="L569" s="215"/>
      <c r="M569" s="215"/>
      <c r="N569" s="201"/>
      <c r="O569" s="201"/>
      <c r="P569" s="201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</row>
    <row r="570" ht="24.75" customHeight="1">
      <c r="A570" s="201" t="s">
        <v>4992</v>
      </c>
      <c r="B570" s="201" t="s">
        <v>3459</v>
      </c>
      <c r="C570" s="201" t="s">
        <v>4992</v>
      </c>
      <c r="D570" s="201" t="s">
        <v>122</v>
      </c>
      <c r="E570" s="201" t="s">
        <v>4992</v>
      </c>
      <c r="F570" s="201" t="s">
        <v>3662</v>
      </c>
      <c r="G570" s="201" t="s">
        <v>123</v>
      </c>
      <c r="H570" s="201" t="s">
        <v>4100</v>
      </c>
      <c r="I570" s="201" t="s">
        <v>4992</v>
      </c>
      <c r="J570" s="215" t="s">
        <v>3708</v>
      </c>
      <c r="K570" s="215"/>
      <c r="L570" s="215"/>
      <c r="M570" s="215"/>
      <c r="N570" s="201"/>
      <c r="O570" s="201"/>
      <c r="P570" s="201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</row>
    <row r="571" ht="24.75" customHeight="1">
      <c r="A571" s="201" t="s">
        <v>4993</v>
      </c>
      <c r="B571" s="201" t="s">
        <v>3459</v>
      </c>
      <c r="C571" s="201" t="s">
        <v>4993</v>
      </c>
      <c r="D571" s="201" t="s">
        <v>122</v>
      </c>
      <c r="E571" s="201" t="s">
        <v>4993</v>
      </c>
      <c r="F571" s="201" t="s">
        <v>3579</v>
      </c>
      <c r="G571" s="201" t="s">
        <v>123</v>
      </c>
      <c r="H571" s="201" t="s">
        <v>123</v>
      </c>
      <c r="I571" s="201" t="s">
        <v>4993</v>
      </c>
      <c r="J571" s="215" t="s">
        <v>3632</v>
      </c>
      <c r="K571" s="215"/>
      <c r="L571" s="215"/>
      <c r="M571" s="215"/>
      <c r="N571" s="201"/>
      <c r="O571" s="201"/>
      <c r="P571" s="201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</row>
    <row r="572" ht="24.75" customHeight="1">
      <c r="A572" s="201" t="s">
        <v>4994</v>
      </c>
      <c r="B572" s="201" t="s">
        <v>3459</v>
      </c>
      <c r="C572" s="201" t="s">
        <v>4994</v>
      </c>
      <c r="D572" s="201" t="s">
        <v>122</v>
      </c>
      <c r="E572" s="201" t="s">
        <v>4994</v>
      </c>
      <c r="F572" s="201" t="s">
        <v>3729</v>
      </c>
      <c r="G572" s="201" t="s">
        <v>3579</v>
      </c>
      <c r="H572" s="201" t="s">
        <v>123</v>
      </c>
      <c r="I572" s="201" t="s">
        <v>4994</v>
      </c>
      <c r="J572" s="215" t="s">
        <v>3865</v>
      </c>
      <c r="K572" s="215"/>
      <c r="L572" s="215"/>
      <c r="M572" s="215"/>
      <c r="N572" s="201"/>
      <c r="O572" s="201"/>
      <c r="P572" s="201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</row>
    <row r="573" ht="24.75" customHeight="1">
      <c r="A573" s="201" t="s">
        <v>4995</v>
      </c>
      <c r="B573" s="201" t="s">
        <v>3459</v>
      </c>
      <c r="C573" s="201" t="s">
        <v>4995</v>
      </c>
      <c r="D573" s="201" t="s">
        <v>122</v>
      </c>
      <c r="E573" s="201" t="s">
        <v>4995</v>
      </c>
      <c r="F573" s="201" t="s">
        <v>3472</v>
      </c>
      <c r="G573" s="201" t="s">
        <v>123</v>
      </c>
      <c r="H573" s="201" t="s">
        <v>123</v>
      </c>
      <c r="I573" s="201" t="s">
        <v>4995</v>
      </c>
      <c r="J573" s="215" t="s">
        <v>967</v>
      </c>
      <c r="K573" s="215"/>
      <c r="L573" s="215"/>
      <c r="M573" s="215"/>
      <c r="N573" s="201"/>
      <c r="O573" s="201"/>
      <c r="P573" s="201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</row>
    <row r="574" ht="24.75" customHeight="1">
      <c r="A574" s="201" t="s">
        <v>4996</v>
      </c>
      <c r="B574" s="201" t="s">
        <v>3459</v>
      </c>
      <c r="C574" s="201" t="s">
        <v>4996</v>
      </c>
      <c r="D574" s="201" t="s">
        <v>4997</v>
      </c>
      <c r="E574" s="201" t="s">
        <v>4996</v>
      </c>
      <c r="F574" s="201" t="s">
        <v>3579</v>
      </c>
      <c r="G574" s="201" t="s">
        <v>123</v>
      </c>
      <c r="H574" s="201" t="s">
        <v>123</v>
      </c>
      <c r="I574" s="201" t="s">
        <v>4996</v>
      </c>
      <c r="J574" s="215" t="s">
        <v>4424</v>
      </c>
      <c r="K574" s="215"/>
      <c r="L574" s="215"/>
      <c r="M574" s="215"/>
      <c r="N574" s="201"/>
      <c r="O574" s="201"/>
      <c r="P574" s="201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</row>
    <row r="575" ht="24.75" customHeight="1">
      <c r="A575" s="201" t="s">
        <v>4998</v>
      </c>
      <c r="B575" s="201" t="s">
        <v>3459</v>
      </c>
      <c r="C575" s="201" t="s">
        <v>4998</v>
      </c>
      <c r="D575" s="201" t="s">
        <v>4999</v>
      </c>
      <c r="E575" s="201" t="s">
        <v>4998</v>
      </c>
      <c r="F575" s="201" t="s">
        <v>3662</v>
      </c>
      <c r="G575" s="201" t="s">
        <v>123</v>
      </c>
      <c r="H575" s="201" t="s">
        <v>123</v>
      </c>
      <c r="I575" s="201" t="s">
        <v>4998</v>
      </c>
      <c r="J575" s="215" t="s">
        <v>3619</v>
      </c>
      <c r="K575" s="215"/>
      <c r="L575" s="215"/>
      <c r="M575" s="215"/>
      <c r="N575" s="201"/>
      <c r="O575" s="201"/>
      <c r="P575" s="201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</row>
    <row r="576" ht="24.75" customHeight="1">
      <c r="A576" s="201" t="s">
        <v>5000</v>
      </c>
      <c r="B576" s="201" t="s">
        <v>3459</v>
      </c>
      <c r="C576" s="201" t="s">
        <v>5000</v>
      </c>
      <c r="D576" s="201" t="s">
        <v>5001</v>
      </c>
      <c r="E576" s="201" t="s">
        <v>5000</v>
      </c>
      <c r="F576" s="201" t="s">
        <v>3662</v>
      </c>
      <c r="G576" s="201" t="s">
        <v>123</v>
      </c>
      <c r="H576" s="201" t="s">
        <v>123</v>
      </c>
      <c r="I576" s="201" t="s">
        <v>5000</v>
      </c>
      <c r="J576" s="215" t="s">
        <v>3619</v>
      </c>
      <c r="K576" s="215"/>
      <c r="L576" s="215"/>
      <c r="M576" s="215"/>
      <c r="N576" s="201"/>
      <c r="O576" s="201"/>
      <c r="P576" s="201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</row>
    <row r="577" ht="24.75" customHeight="1">
      <c r="A577" s="201" t="s">
        <v>5002</v>
      </c>
      <c r="B577" s="201" t="s">
        <v>3459</v>
      </c>
      <c r="C577" s="201" t="s">
        <v>5002</v>
      </c>
      <c r="D577" s="201" t="s">
        <v>5003</v>
      </c>
      <c r="E577" s="201" t="s">
        <v>5002</v>
      </c>
      <c r="F577" s="201" t="s">
        <v>3472</v>
      </c>
      <c r="G577" s="201" t="s">
        <v>123</v>
      </c>
      <c r="H577" s="201" t="s">
        <v>123</v>
      </c>
      <c r="I577" s="201" t="s">
        <v>5002</v>
      </c>
      <c r="J577" s="215" t="s">
        <v>4439</v>
      </c>
      <c r="K577" s="215"/>
      <c r="L577" s="215"/>
      <c r="M577" s="215"/>
      <c r="N577" s="201"/>
      <c r="O577" s="201"/>
      <c r="P577" s="201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</row>
    <row r="578" ht="24.75" customHeight="1">
      <c r="A578" s="201" t="s">
        <v>5004</v>
      </c>
      <c r="B578" s="201" t="s">
        <v>3459</v>
      </c>
      <c r="C578" s="201" t="s">
        <v>5004</v>
      </c>
      <c r="D578" s="201" t="s">
        <v>5005</v>
      </c>
      <c r="E578" s="201" t="s">
        <v>5004</v>
      </c>
      <c r="F578" s="201" t="s">
        <v>3616</v>
      </c>
      <c r="G578" s="201" t="s">
        <v>123</v>
      </c>
      <c r="H578" s="201" t="s">
        <v>123</v>
      </c>
      <c r="I578" s="201" t="s">
        <v>5004</v>
      </c>
      <c r="J578" s="215" t="s">
        <v>4578</v>
      </c>
      <c r="K578" s="215"/>
      <c r="L578" s="215"/>
      <c r="M578" s="215"/>
      <c r="N578" s="201"/>
      <c r="O578" s="201"/>
      <c r="P578" s="201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</row>
    <row r="579" ht="24.75" customHeight="1">
      <c r="A579" s="201" t="s">
        <v>3943</v>
      </c>
      <c r="B579" s="201" t="s">
        <v>3459</v>
      </c>
      <c r="C579" s="201" t="s">
        <v>3943</v>
      </c>
      <c r="D579" s="201" t="s">
        <v>5006</v>
      </c>
      <c r="E579" s="201" t="s">
        <v>3943</v>
      </c>
      <c r="F579" s="201" t="s">
        <v>4315</v>
      </c>
      <c r="G579" s="201" t="s">
        <v>123</v>
      </c>
      <c r="H579" s="201" t="s">
        <v>123</v>
      </c>
      <c r="I579" s="201" t="s">
        <v>3943</v>
      </c>
      <c r="J579" s="215" t="s">
        <v>5007</v>
      </c>
      <c r="K579" s="215"/>
      <c r="L579" s="215"/>
      <c r="M579" s="215"/>
      <c r="N579" s="201"/>
      <c r="O579" s="201"/>
      <c r="P579" s="201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</row>
    <row r="580" ht="24.75" customHeight="1">
      <c r="A580" s="201" t="s">
        <v>5008</v>
      </c>
      <c r="B580" s="201" t="s">
        <v>3459</v>
      </c>
      <c r="C580" s="201" t="s">
        <v>5008</v>
      </c>
      <c r="D580" s="201" t="s">
        <v>5009</v>
      </c>
      <c r="E580" s="201" t="s">
        <v>5008</v>
      </c>
      <c r="F580" s="201" t="s">
        <v>3472</v>
      </c>
      <c r="G580" s="201" t="s">
        <v>123</v>
      </c>
      <c r="H580" s="201" t="s">
        <v>123</v>
      </c>
      <c r="I580" s="201" t="s">
        <v>5008</v>
      </c>
      <c r="J580" s="215" t="s">
        <v>4877</v>
      </c>
      <c r="K580" s="215"/>
      <c r="L580" s="215"/>
      <c r="M580" s="215"/>
      <c r="N580" s="201"/>
      <c r="O580" s="201"/>
      <c r="P580" s="201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</row>
    <row r="581" ht="24.75" customHeight="1">
      <c r="A581" s="201" t="s">
        <v>5010</v>
      </c>
      <c r="B581" s="201" t="s">
        <v>3459</v>
      </c>
      <c r="C581" s="201" t="s">
        <v>5010</v>
      </c>
      <c r="D581" s="201" t="s">
        <v>5011</v>
      </c>
      <c r="E581" s="201" t="s">
        <v>5010</v>
      </c>
      <c r="F581" s="201" t="s">
        <v>3662</v>
      </c>
      <c r="G581" s="201" t="s">
        <v>123</v>
      </c>
      <c r="H581" s="201" t="s">
        <v>123</v>
      </c>
      <c r="I581" s="201" t="s">
        <v>5010</v>
      </c>
      <c r="J581" s="215" t="s">
        <v>5012</v>
      </c>
      <c r="K581" s="215"/>
      <c r="L581" s="215"/>
      <c r="M581" s="215"/>
      <c r="N581" s="201"/>
      <c r="O581" s="201"/>
      <c r="P581" s="201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</row>
    <row r="582" ht="24.75" customHeight="1">
      <c r="A582" s="201" t="s">
        <v>5013</v>
      </c>
      <c r="B582" s="201" t="s">
        <v>3459</v>
      </c>
      <c r="C582" s="201" t="s">
        <v>5013</v>
      </c>
      <c r="D582" s="201" t="s">
        <v>5014</v>
      </c>
      <c r="E582" s="201" t="s">
        <v>5013</v>
      </c>
      <c r="F582" s="201" t="s">
        <v>3729</v>
      </c>
      <c r="G582" s="201" t="s">
        <v>123</v>
      </c>
      <c r="H582" s="201" t="s">
        <v>123</v>
      </c>
      <c r="I582" s="201" t="s">
        <v>5013</v>
      </c>
      <c r="J582" s="215" t="s">
        <v>3619</v>
      </c>
      <c r="K582" s="215"/>
      <c r="L582" s="215"/>
      <c r="M582" s="215"/>
      <c r="N582" s="201"/>
      <c r="O582" s="201"/>
      <c r="P582" s="201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</row>
    <row r="583" ht="24.75" customHeight="1">
      <c r="A583" s="201" t="s">
        <v>5015</v>
      </c>
      <c r="B583" s="201" t="s">
        <v>3459</v>
      </c>
      <c r="C583" s="201" t="s">
        <v>5015</v>
      </c>
      <c r="D583" s="201" t="s">
        <v>5016</v>
      </c>
      <c r="E583" s="201" t="s">
        <v>5015</v>
      </c>
      <c r="F583" s="201" t="s">
        <v>3972</v>
      </c>
      <c r="G583" s="201" t="s">
        <v>123</v>
      </c>
      <c r="H583" s="201" t="s">
        <v>123</v>
      </c>
      <c r="I583" s="201" t="s">
        <v>5015</v>
      </c>
      <c r="J583" s="215" t="s">
        <v>3619</v>
      </c>
      <c r="K583" s="215"/>
      <c r="L583" s="215"/>
      <c r="M583" s="215"/>
      <c r="N583" s="201"/>
      <c r="O583" s="201"/>
      <c r="P583" s="201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</row>
    <row r="584" ht="24.75" customHeight="1">
      <c r="A584" s="201" t="s">
        <v>5017</v>
      </c>
      <c r="B584" s="201" t="s">
        <v>3459</v>
      </c>
      <c r="C584" s="201" t="s">
        <v>5017</v>
      </c>
      <c r="D584" s="201" t="s">
        <v>122</v>
      </c>
      <c r="E584" s="201" t="s">
        <v>5017</v>
      </c>
      <c r="F584" s="201" t="s">
        <v>3501</v>
      </c>
      <c r="G584" s="201" t="s">
        <v>123</v>
      </c>
      <c r="H584" s="201" t="s">
        <v>123</v>
      </c>
      <c r="I584" s="201" t="s">
        <v>5017</v>
      </c>
      <c r="J584" s="215" t="s">
        <v>4816</v>
      </c>
      <c r="K584" s="215"/>
      <c r="L584" s="215"/>
      <c r="M584" s="215"/>
      <c r="N584" s="201"/>
      <c r="O584" s="201"/>
      <c r="P584" s="201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</row>
    <row r="585" ht="24.75" customHeight="1">
      <c r="A585" s="201" t="s">
        <v>5018</v>
      </c>
      <c r="B585" s="201" t="s">
        <v>3459</v>
      </c>
      <c r="C585" s="201" t="s">
        <v>5018</v>
      </c>
      <c r="D585" s="201" t="s">
        <v>5019</v>
      </c>
      <c r="E585" s="201" t="s">
        <v>5018</v>
      </c>
      <c r="F585" s="201" t="s">
        <v>123</v>
      </c>
      <c r="G585" s="201" t="s">
        <v>3579</v>
      </c>
      <c r="H585" s="201" t="s">
        <v>123</v>
      </c>
      <c r="I585" s="201" t="s">
        <v>5018</v>
      </c>
      <c r="J585" s="215" t="s">
        <v>149</v>
      </c>
      <c r="K585" s="215"/>
      <c r="L585" s="215"/>
      <c r="M585" s="215"/>
      <c r="N585" s="201"/>
      <c r="O585" s="201"/>
      <c r="P585" s="201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</row>
    <row r="586" ht="24.75" customHeight="1">
      <c r="A586" s="201" t="s">
        <v>5020</v>
      </c>
      <c r="B586" s="201" t="s">
        <v>3459</v>
      </c>
      <c r="C586" s="201" t="s">
        <v>5020</v>
      </c>
      <c r="D586" s="201" t="s">
        <v>122</v>
      </c>
      <c r="E586" s="201" t="s">
        <v>5020</v>
      </c>
      <c r="F586" s="201" t="s">
        <v>3668</v>
      </c>
      <c r="G586" s="201" t="s">
        <v>123</v>
      </c>
      <c r="H586" s="201" t="s">
        <v>123</v>
      </c>
      <c r="I586" s="201" t="s">
        <v>5020</v>
      </c>
      <c r="J586" s="215" t="s">
        <v>124</v>
      </c>
      <c r="K586" s="215"/>
      <c r="L586" s="215"/>
      <c r="M586" s="215"/>
      <c r="N586" s="201"/>
      <c r="O586" s="201"/>
      <c r="P586" s="201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</row>
    <row r="587" ht="24.75" customHeight="1">
      <c r="A587" s="201" t="s">
        <v>5021</v>
      </c>
      <c r="B587" s="201" t="s">
        <v>3459</v>
      </c>
      <c r="C587" s="201" t="s">
        <v>5021</v>
      </c>
      <c r="D587" s="201" t="s">
        <v>122</v>
      </c>
      <c r="E587" s="201" t="s">
        <v>5021</v>
      </c>
      <c r="F587" s="201" t="s">
        <v>3662</v>
      </c>
      <c r="G587" s="201" t="s">
        <v>123</v>
      </c>
      <c r="H587" s="201" t="s">
        <v>123</v>
      </c>
      <c r="I587" s="201" t="s">
        <v>5021</v>
      </c>
      <c r="J587" s="215" t="s">
        <v>5022</v>
      </c>
      <c r="K587" s="215"/>
      <c r="L587" s="215"/>
      <c r="M587" s="215"/>
      <c r="N587" s="201"/>
      <c r="O587" s="201"/>
      <c r="P587" s="201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</row>
    <row r="588" ht="24.75" customHeight="1">
      <c r="A588" s="201" t="s">
        <v>5023</v>
      </c>
      <c r="B588" s="201" t="s">
        <v>3459</v>
      </c>
      <c r="C588" s="201" t="s">
        <v>5023</v>
      </c>
      <c r="D588" s="201" t="s">
        <v>122</v>
      </c>
      <c r="E588" s="201" t="s">
        <v>5023</v>
      </c>
      <c r="F588" s="201" t="s">
        <v>3662</v>
      </c>
      <c r="G588" s="201" t="s">
        <v>3995</v>
      </c>
      <c r="H588" s="201" t="s">
        <v>123</v>
      </c>
      <c r="I588" s="201" t="s">
        <v>5023</v>
      </c>
      <c r="J588" s="215" t="s">
        <v>5024</v>
      </c>
      <c r="K588" s="215"/>
      <c r="L588" s="215"/>
      <c r="M588" s="215"/>
      <c r="N588" s="201"/>
      <c r="O588" s="201"/>
      <c r="P588" s="201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</row>
    <row r="589" ht="24.75" customHeight="1">
      <c r="A589" s="201" t="s">
        <v>5025</v>
      </c>
      <c r="B589" s="201" t="s">
        <v>3459</v>
      </c>
      <c r="C589" s="201" t="s">
        <v>5025</v>
      </c>
      <c r="D589" s="201" t="s">
        <v>122</v>
      </c>
      <c r="E589" s="201" t="s">
        <v>5025</v>
      </c>
      <c r="F589" s="201" t="s">
        <v>3579</v>
      </c>
      <c r="G589" s="201" t="s">
        <v>3472</v>
      </c>
      <c r="H589" s="201">
        <v>8.0</v>
      </c>
      <c r="I589" s="201" t="s">
        <v>5025</v>
      </c>
      <c r="J589" s="215" t="s">
        <v>124</v>
      </c>
      <c r="K589" s="215"/>
      <c r="L589" s="215"/>
      <c r="M589" s="215"/>
      <c r="N589" s="201"/>
      <c r="O589" s="201"/>
      <c r="P589" s="201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</row>
    <row r="590" ht="24.75" customHeight="1">
      <c r="A590" s="215" t="s">
        <v>5026</v>
      </c>
      <c r="B590" s="201" t="s">
        <v>3459</v>
      </c>
      <c r="C590" s="215" t="s">
        <v>5026</v>
      </c>
      <c r="D590" s="201" t="s">
        <v>122</v>
      </c>
      <c r="E590" s="215" t="s">
        <v>5026</v>
      </c>
      <c r="F590" s="201">
        <v>88.0</v>
      </c>
      <c r="G590" s="201" t="s">
        <v>123</v>
      </c>
      <c r="H590" s="201" t="s">
        <v>123</v>
      </c>
      <c r="I590" s="215" t="s">
        <v>5026</v>
      </c>
      <c r="J590" s="215" t="s">
        <v>5027</v>
      </c>
      <c r="K590" s="215"/>
      <c r="L590" s="215"/>
      <c r="M590" s="215"/>
      <c r="N590" s="201"/>
      <c r="O590" s="201"/>
      <c r="P590" s="201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</row>
    <row r="591" ht="24.75" customHeight="1">
      <c r="A591" s="215" t="s">
        <v>5028</v>
      </c>
      <c r="B591" s="201" t="s">
        <v>3459</v>
      </c>
      <c r="C591" s="215" t="s">
        <v>5028</v>
      </c>
      <c r="D591" s="201" t="s">
        <v>122</v>
      </c>
      <c r="E591" s="215" t="s">
        <v>5028</v>
      </c>
      <c r="F591" s="201">
        <v>44.0</v>
      </c>
      <c r="G591" s="201" t="s">
        <v>123</v>
      </c>
      <c r="H591" s="201" t="s">
        <v>123</v>
      </c>
      <c r="I591" s="215" t="s">
        <v>5028</v>
      </c>
      <c r="J591" s="215" t="s">
        <v>5027</v>
      </c>
      <c r="K591" s="215"/>
      <c r="L591" s="215"/>
      <c r="M591" s="215"/>
      <c r="N591" s="201"/>
      <c r="O591" s="201"/>
      <c r="P591" s="201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</row>
    <row r="592" ht="24.75" customHeight="1">
      <c r="A592" s="201" t="s">
        <v>5029</v>
      </c>
      <c r="B592" s="201" t="s">
        <v>3459</v>
      </c>
      <c r="C592" s="201" t="s">
        <v>5029</v>
      </c>
      <c r="D592" s="201" t="s">
        <v>122</v>
      </c>
      <c r="E592" s="201" t="s">
        <v>5029</v>
      </c>
      <c r="F592" s="201" t="s">
        <v>3729</v>
      </c>
      <c r="G592" s="201" t="s">
        <v>123</v>
      </c>
      <c r="H592" s="201" t="s">
        <v>123</v>
      </c>
      <c r="I592" s="201" t="s">
        <v>5029</v>
      </c>
      <c r="J592" s="215" t="s">
        <v>124</v>
      </c>
      <c r="K592" s="215"/>
      <c r="L592" s="215"/>
      <c r="M592" s="215"/>
      <c r="N592" s="201"/>
      <c r="O592" s="201"/>
      <c r="P592" s="201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</row>
    <row r="593" ht="24.75" customHeight="1">
      <c r="A593" s="201" t="s">
        <v>5030</v>
      </c>
      <c r="B593" s="201" t="s">
        <v>3459</v>
      </c>
      <c r="C593" s="201" t="s">
        <v>5030</v>
      </c>
      <c r="D593" s="201" t="s">
        <v>5031</v>
      </c>
      <c r="E593" s="201" t="s">
        <v>5030</v>
      </c>
      <c r="F593" s="201" t="s">
        <v>3616</v>
      </c>
      <c r="G593" s="201" t="s">
        <v>123</v>
      </c>
      <c r="H593" s="201" t="s">
        <v>123</v>
      </c>
      <c r="I593" s="201" t="s">
        <v>5030</v>
      </c>
      <c r="J593" s="215" t="s">
        <v>124</v>
      </c>
      <c r="K593" s="215"/>
      <c r="L593" s="215"/>
      <c r="M593" s="215"/>
      <c r="N593" s="201"/>
      <c r="O593" s="201"/>
      <c r="P593" s="201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</row>
    <row r="594" ht="24.75" customHeight="1">
      <c r="A594" s="201" t="s">
        <v>5032</v>
      </c>
      <c r="B594" s="201" t="s">
        <v>3459</v>
      </c>
      <c r="C594" s="201" t="s">
        <v>5032</v>
      </c>
      <c r="D594" s="201" t="s">
        <v>122</v>
      </c>
      <c r="E594" s="201" t="s">
        <v>5032</v>
      </c>
      <c r="F594" s="201" t="s">
        <v>3616</v>
      </c>
      <c r="G594" s="201" t="s">
        <v>123</v>
      </c>
      <c r="H594" s="201" t="s">
        <v>123</v>
      </c>
      <c r="I594" s="201" t="s">
        <v>5032</v>
      </c>
      <c r="J594" s="215" t="s">
        <v>5033</v>
      </c>
      <c r="K594" s="215"/>
      <c r="L594" s="215"/>
      <c r="M594" s="215"/>
      <c r="N594" s="201"/>
      <c r="O594" s="201"/>
      <c r="P594" s="201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</row>
    <row r="595" ht="24.75" customHeight="1">
      <c r="A595" s="201" t="s">
        <v>5034</v>
      </c>
      <c r="B595" s="201" t="s">
        <v>3459</v>
      </c>
      <c r="C595" s="201" t="s">
        <v>5034</v>
      </c>
      <c r="D595" s="201" t="s">
        <v>122</v>
      </c>
      <c r="E595" s="201" t="s">
        <v>5034</v>
      </c>
      <c r="F595" s="201" t="s">
        <v>3662</v>
      </c>
      <c r="G595" s="201" t="s">
        <v>123</v>
      </c>
      <c r="H595" s="201" t="s">
        <v>123</v>
      </c>
      <c r="I595" s="201" t="s">
        <v>5034</v>
      </c>
      <c r="J595" s="215" t="s">
        <v>5035</v>
      </c>
      <c r="K595" s="215"/>
      <c r="L595" s="215"/>
      <c r="M595" s="215"/>
      <c r="N595" s="201"/>
      <c r="O595" s="201"/>
      <c r="P595" s="201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</row>
    <row r="596" ht="24.75" customHeight="1">
      <c r="A596" s="201" t="s">
        <v>5036</v>
      </c>
      <c r="B596" s="201" t="s">
        <v>3459</v>
      </c>
      <c r="C596" s="201" t="s">
        <v>5036</v>
      </c>
      <c r="D596" s="201" t="s">
        <v>122</v>
      </c>
      <c r="E596" s="201" t="s">
        <v>5036</v>
      </c>
      <c r="F596" s="201" t="s">
        <v>3819</v>
      </c>
      <c r="G596" s="201" t="s">
        <v>123</v>
      </c>
      <c r="H596" s="201" t="s">
        <v>123</v>
      </c>
      <c r="I596" s="201" t="s">
        <v>5036</v>
      </c>
      <c r="J596" s="215" t="s">
        <v>4424</v>
      </c>
      <c r="K596" s="215"/>
      <c r="L596" s="215"/>
      <c r="M596" s="215"/>
      <c r="N596" s="201"/>
      <c r="O596" s="201"/>
      <c r="P596" s="201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</row>
    <row r="597" ht="24.75" customHeight="1">
      <c r="A597" s="201" t="s">
        <v>5037</v>
      </c>
      <c r="B597" s="201" t="s">
        <v>3459</v>
      </c>
      <c r="C597" s="201" t="s">
        <v>5037</v>
      </c>
      <c r="D597" s="201" t="s">
        <v>122</v>
      </c>
      <c r="E597" s="201" t="s">
        <v>5037</v>
      </c>
      <c r="F597" s="201" t="s">
        <v>3579</v>
      </c>
      <c r="G597" s="201" t="s">
        <v>123</v>
      </c>
      <c r="H597" s="201" t="s">
        <v>123</v>
      </c>
      <c r="I597" s="201" t="s">
        <v>5037</v>
      </c>
      <c r="J597" s="215" t="s">
        <v>4096</v>
      </c>
      <c r="K597" s="215"/>
      <c r="L597" s="215"/>
      <c r="M597" s="215"/>
      <c r="N597" s="201"/>
      <c r="O597" s="201"/>
      <c r="P597" s="201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</row>
    <row r="598" ht="39.75" customHeight="1">
      <c r="A598" s="215" t="s">
        <v>3956</v>
      </c>
      <c r="B598" s="201" t="s">
        <v>3459</v>
      </c>
      <c r="C598" s="215" t="s">
        <v>3956</v>
      </c>
      <c r="D598" s="201" t="s">
        <v>122</v>
      </c>
      <c r="E598" s="215" t="s">
        <v>3956</v>
      </c>
      <c r="F598" s="201">
        <v>44.0</v>
      </c>
      <c r="G598" s="201">
        <v>88.0</v>
      </c>
      <c r="H598" s="201">
        <v>156.0</v>
      </c>
      <c r="I598" s="215" t="s">
        <v>3956</v>
      </c>
      <c r="J598" s="215" t="s">
        <v>5038</v>
      </c>
      <c r="K598" s="215" t="s">
        <v>4049</v>
      </c>
      <c r="L598" s="215" t="s">
        <v>3859</v>
      </c>
      <c r="M598" s="215" t="s">
        <v>3959</v>
      </c>
      <c r="N598" s="215" t="s">
        <v>126</v>
      </c>
      <c r="O598" s="201" t="s">
        <v>3852</v>
      </c>
      <c r="P598" s="201" t="s">
        <v>5039</v>
      </c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</row>
    <row r="599" ht="24.75" customHeight="1">
      <c r="A599" s="201" t="s">
        <v>5040</v>
      </c>
      <c r="B599" s="201" t="s">
        <v>3459</v>
      </c>
      <c r="C599" s="201" t="s">
        <v>5040</v>
      </c>
      <c r="D599" s="201" t="s">
        <v>5041</v>
      </c>
      <c r="E599" s="201" t="s">
        <v>5040</v>
      </c>
      <c r="F599" s="201" t="s">
        <v>3616</v>
      </c>
      <c r="G599" s="201" t="s">
        <v>123</v>
      </c>
      <c r="H599" s="201" t="s">
        <v>123</v>
      </c>
      <c r="I599" s="201" t="s">
        <v>5040</v>
      </c>
      <c r="J599" s="215" t="s">
        <v>124</v>
      </c>
      <c r="K599" s="215"/>
      <c r="L599" s="215"/>
      <c r="M599" s="215"/>
      <c r="N599" s="201"/>
      <c r="O599" s="201"/>
      <c r="P599" s="201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</row>
    <row r="600" ht="24.75" customHeight="1">
      <c r="A600" s="201" t="s">
        <v>5042</v>
      </c>
      <c r="B600" s="201" t="s">
        <v>3459</v>
      </c>
      <c r="C600" s="201" t="s">
        <v>5042</v>
      </c>
      <c r="D600" s="201" t="s">
        <v>122</v>
      </c>
      <c r="E600" s="201" t="s">
        <v>5042</v>
      </c>
      <c r="F600" s="201" t="s">
        <v>3668</v>
      </c>
      <c r="G600" s="201" t="s">
        <v>123</v>
      </c>
      <c r="H600" s="201" t="s">
        <v>123</v>
      </c>
      <c r="I600" s="201" t="s">
        <v>5042</v>
      </c>
      <c r="J600" s="215" t="s">
        <v>5043</v>
      </c>
      <c r="K600" s="215"/>
      <c r="L600" s="215"/>
      <c r="M600" s="215"/>
      <c r="N600" s="201"/>
      <c r="O600" s="201"/>
      <c r="P600" s="201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</row>
    <row r="601" ht="24.75" customHeight="1">
      <c r="A601" s="201" t="s">
        <v>5044</v>
      </c>
      <c r="B601" s="201" t="s">
        <v>3459</v>
      </c>
      <c r="C601" s="201" t="s">
        <v>5044</v>
      </c>
      <c r="D601" s="201" t="s">
        <v>5045</v>
      </c>
      <c r="E601" s="201" t="s">
        <v>5044</v>
      </c>
      <c r="F601" s="201" t="s">
        <v>4158</v>
      </c>
      <c r="G601" s="201" t="s">
        <v>123</v>
      </c>
      <c r="H601" s="201" t="s">
        <v>123</v>
      </c>
      <c r="I601" s="201" t="s">
        <v>5044</v>
      </c>
      <c r="J601" s="215" t="s">
        <v>967</v>
      </c>
      <c r="K601" s="215"/>
      <c r="L601" s="215"/>
      <c r="M601" s="215"/>
      <c r="N601" s="201"/>
      <c r="O601" s="201"/>
      <c r="P601" s="201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</row>
    <row r="602" ht="24.75" customHeight="1">
      <c r="A602" s="201" t="s">
        <v>5046</v>
      </c>
      <c r="B602" s="201" t="s">
        <v>3459</v>
      </c>
      <c r="C602" s="201" t="s">
        <v>5046</v>
      </c>
      <c r="D602" s="201" t="s">
        <v>122</v>
      </c>
      <c r="E602" s="201" t="s">
        <v>5046</v>
      </c>
      <c r="F602" s="201" t="s">
        <v>5047</v>
      </c>
      <c r="G602" s="201" t="s">
        <v>5048</v>
      </c>
      <c r="H602" s="201" t="s">
        <v>123</v>
      </c>
      <c r="I602" s="201" t="s">
        <v>5046</v>
      </c>
      <c r="J602" s="215" t="s">
        <v>1199</v>
      </c>
      <c r="K602" s="215"/>
      <c r="L602" s="215"/>
      <c r="M602" s="215"/>
      <c r="N602" s="201"/>
      <c r="O602" s="201"/>
      <c r="P602" s="201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</row>
    <row r="603" ht="24.75" customHeight="1">
      <c r="A603" s="201" t="s">
        <v>5049</v>
      </c>
      <c r="B603" s="201" t="s">
        <v>3459</v>
      </c>
      <c r="C603" s="201" t="s">
        <v>5049</v>
      </c>
      <c r="D603" s="201" t="s">
        <v>5050</v>
      </c>
      <c r="E603" s="201" t="s">
        <v>5049</v>
      </c>
      <c r="F603" s="201" t="s">
        <v>4214</v>
      </c>
      <c r="G603" s="201" t="s">
        <v>123</v>
      </c>
      <c r="H603" s="201" t="s">
        <v>123</v>
      </c>
      <c r="I603" s="201" t="s">
        <v>5049</v>
      </c>
      <c r="J603" s="215" t="s">
        <v>5051</v>
      </c>
      <c r="K603" s="215"/>
      <c r="L603" s="215"/>
      <c r="M603" s="215"/>
      <c r="N603" s="201"/>
      <c r="O603" s="201"/>
      <c r="P603" s="201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</row>
    <row r="604" ht="24.75" customHeight="1">
      <c r="A604" s="201" t="s">
        <v>5052</v>
      </c>
      <c r="B604" s="201" t="s">
        <v>3459</v>
      </c>
      <c r="C604" s="201" t="s">
        <v>5052</v>
      </c>
      <c r="D604" s="201" t="s">
        <v>5053</v>
      </c>
      <c r="E604" s="201" t="s">
        <v>5052</v>
      </c>
      <c r="F604" s="201" t="s">
        <v>3472</v>
      </c>
      <c r="G604" s="201" t="s">
        <v>123</v>
      </c>
      <c r="H604" s="201" t="s">
        <v>123</v>
      </c>
      <c r="I604" s="201" t="s">
        <v>5052</v>
      </c>
      <c r="J604" s="215" t="s">
        <v>2955</v>
      </c>
      <c r="K604" s="215"/>
      <c r="L604" s="215"/>
      <c r="M604" s="215"/>
      <c r="N604" s="201"/>
      <c r="O604" s="201"/>
      <c r="P604" s="201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</row>
    <row r="605" ht="24.75" customHeight="1">
      <c r="A605" s="215" t="s">
        <v>5054</v>
      </c>
      <c r="B605" s="201" t="s">
        <v>3459</v>
      </c>
      <c r="C605" s="215" t="s">
        <v>5054</v>
      </c>
      <c r="D605" s="201" t="s">
        <v>5055</v>
      </c>
      <c r="E605" s="215" t="s">
        <v>5054</v>
      </c>
      <c r="F605" s="201" t="s">
        <v>3729</v>
      </c>
      <c r="G605" s="201" t="s">
        <v>123</v>
      </c>
      <c r="H605" s="201" t="s">
        <v>123</v>
      </c>
      <c r="I605" s="215" t="s">
        <v>5054</v>
      </c>
      <c r="J605" s="215" t="s">
        <v>967</v>
      </c>
      <c r="K605" s="215"/>
      <c r="L605" s="215"/>
      <c r="M605" s="215"/>
      <c r="N605" s="201"/>
      <c r="O605" s="201"/>
      <c r="P605" s="201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</row>
    <row r="606" ht="39.0" customHeight="1">
      <c r="A606" s="201" t="s">
        <v>5056</v>
      </c>
      <c r="B606" s="201" t="s">
        <v>3459</v>
      </c>
      <c r="C606" s="201" t="s">
        <v>5056</v>
      </c>
      <c r="D606" s="201" t="s">
        <v>123</v>
      </c>
      <c r="E606" s="201" t="s">
        <v>5056</v>
      </c>
      <c r="F606" s="201" t="s">
        <v>123</v>
      </c>
      <c r="G606" s="201" t="s">
        <v>123</v>
      </c>
      <c r="H606" s="201" t="s">
        <v>123</v>
      </c>
      <c r="I606" s="201" t="s">
        <v>5056</v>
      </c>
      <c r="J606" s="215" t="s">
        <v>5057</v>
      </c>
      <c r="K606" s="215"/>
      <c r="L606" s="215"/>
      <c r="M606" s="215"/>
      <c r="N606" s="201"/>
      <c r="O606" s="201"/>
      <c r="P606" s="201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</row>
    <row r="607" ht="30.0" customHeight="1">
      <c r="A607" s="215" t="s">
        <v>50</v>
      </c>
      <c r="B607" s="215" t="s">
        <v>5058</v>
      </c>
      <c r="C607" s="215" t="s">
        <v>50</v>
      </c>
      <c r="D607" s="201" t="s">
        <v>122</v>
      </c>
      <c r="E607" s="215" t="s">
        <v>50</v>
      </c>
      <c r="F607" s="201">
        <v>17.6</v>
      </c>
      <c r="G607" s="201" t="s">
        <v>123</v>
      </c>
      <c r="H607" s="201">
        <v>78.0</v>
      </c>
      <c r="I607" s="215" t="s">
        <v>50</v>
      </c>
      <c r="J607" s="215" t="s">
        <v>5059</v>
      </c>
      <c r="K607" s="215" t="s">
        <v>4049</v>
      </c>
      <c r="L607" s="215" t="s">
        <v>3875</v>
      </c>
      <c r="M607" s="215" t="s">
        <v>4050</v>
      </c>
      <c r="N607" s="215" t="s">
        <v>126</v>
      </c>
      <c r="O607" s="253" t="s">
        <v>4052</v>
      </c>
      <c r="P607" s="230" t="s">
        <v>3654</v>
      </c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</row>
    <row r="608" ht="24.75" customHeight="1">
      <c r="A608" s="201" t="s">
        <v>5060</v>
      </c>
      <c r="B608" s="201" t="s">
        <v>3459</v>
      </c>
      <c r="C608" s="201" t="s">
        <v>5060</v>
      </c>
      <c r="D608" s="201" t="s">
        <v>122</v>
      </c>
      <c r="E608" s="201" t="s">
        <v>5060</v>
      </c>
      <c r="F608" s="201" t="s">
        <v>3616</v>
      </c>
      <c r="G608" s="201" t="s">
        <v>123</v>
      </c>
      <c r="H608" s="201" t="s">
        <v>123</v>
      </c>
      <c r="I608" s="201" t="s">
        <v>5060</v>
      </c>
      <c r="J608" s="215" t="s">
        <v>123</v>
      </c>
      <c r="K608" s="215"/>
      <c r="L608" s="215"/>
      <c r="M608" s="215"/>
      <c r="N608" s="201"/>
      <c r="O608" s="201"/>
      <c r="P608" s="201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</row>
    <row r="609" ht="24.75" customHeight="1">
      <c r="A609" s="201" t="s">
        <v>5061</v>
      </c>
      <c r="B609" s="201" t="s">
        <v>3459</v>
      </c>
      <c r="C609" s="201" t="s">
        <v>5061</v>
      </c>
      <c r="D609" s="201" t="s">
        <v>122</v>
      </c>
      <c r="E609" s="201" t="s">
        <v>5061</v>
      </c>
      <c r="F609" s="201" t="s">
        <v>3616</v>
      </c>
      <c r="G609" s="201" t="s">
        <v>123</v>
      </c>
      <c r="H609" s="201" t="s">
        <v>123</v>
      </c>
      <c r="I609" s="201" t="s">
        <v>5061</v>
      </c>
      <c r="J609" s="215" t="s">
        <v>5062</v>
      </c>
      <c r="K609" s="215"/>
      <c r="L609" s="215"/>
      <c r="M609" s="215"/>
      <c r="N609" s="201"/>
      <c r="O609" s="201"/>
      <c r="P609" s="201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</row>
    <row r="610" ht="24.75" customHeight="1">
      <c r="A610" s="201" t="s">
        <v>5063</v>
      </c>
      <c r="B610" s="201" t="s">
        <v>3459</v>
      </c>
      <c r="C610" s="201" t="s">
        <v>5063</v>
      </c>
      <c r="D610" s="201" t="s">
        <v>122</v>
      </c>
      <c r="E610" s="201" t="s">
        <v>5063</v>
      </c>
      <c r="F610" s="201" t="s">
        <v>123</v>
      </c>
      <c r="G610" s="201">
        <v>0.616</v>
      </c>
      <c r="H610" s="201" t="s">
        <v>123</v>
      </c>
      <c r="I610" s="201" t="s">
        <v>5063</v>
      </c>
      <c r="J610" s="215" t="s">
        <v>967</v>
      </c>
      <c r="K610" s="215"/>
      <c r="L610" s="215"/>
      <c r="M610" s="215"/>
      <c r="N610" s="201"/>
      <c r="O610" s="201"/>
      <c r="P610" s="201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</row>
    <row r="611" ht="24.75" customHeight="1">
      <c r="A611" s="201" t="s">
        <v>5064</v>
      </c>
      <c r="B611" s="201" t="s">
        <v>3459</v>
      </c>
      <c r="C611" s="201" t="s">
        <v>5064</v>
      </c>
      <c r="D611" s="201" t="s">
        <v>122</v>
      </c>
      <c r="E611" s="201" t="s">
        <v>5064</v>
      </c>
      <c r="F611" s="201" t="s">
        <v>3819</v>
      </c>
      <c r="G611" s="201" t="s">
        <v>3668</v>
      </c>
      <c r="H611" s="201" t="s">
        <v>123</v>
      </c>
      <c r="I611" s="201" t="s">
        <v>5064</v>
      </c>
      <c r="J611" s="215" t="s">
        <v>1199</v>
      </c>
      <c r="K611" s="215"/>
      <c r="L611" s="215"/>
      <c r="M611" s="215"/>
      <c r="N611" s="201"/>
      <c r="O611" s="201"/>
      <c r="P611" s="201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</row>
    <row r="612" ht="24.75" customHeight="1">
      <c r="A612" s="201" t="s">
        <v>5065</v>
      </c>
      <c r="B612" s="201" t="s">
        <v>3459</v>
      </c>
      <c r="C612" s="201" t="s">
        <v>5065</v>
      </c>
      <c r="D612" s="201" t="s">
        <v>5066</v>
      </c>
      <c r="E612" s="201" t="s">
        <v>5065</v>
      </c>
      <c r="F612" s="201" t="s">
        <v>3729</v>
      </c>
      <c r="G612" s="201" t="s">
        <v>123</v>
      </c>
      <c r="H612" s="201" t="s">
        <v>123</v>
      </c>
      <c r="I612" s="201" t="s">
        <v>5065</v>
      </c>
      <c r="J612" s="215" t="s">
        <v>3619</v>
      </c>
      <c r="K612" s="215"/>
      <c r="L612" s="215"/>
      <c r="M612" s="215"/>
      <c r="N612" s="201"/>
      <c r="O612" s="201"/>
      <c r="P612" s="201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</row>
    <row r="613" ht="24.75" customHeight="1">
      <c r="A613" s="201" t="s">
        <v>5067</v>
      </c>
      <c r="B613" s="201" t="s">
        <v>3459</v>
      </c>
      <c r="C613" s="201" t="s">
        <v>5067</v>
      </c>
      <c r="D613" s="201" t="s">
        <v>122</v>
      </c>
      <c r="E613" s="201" t="s">
        <v>5067</v>
      </c>
      <c r="F613" s="201" t="s">
        <v>123</v>
      </c>
      <c r="G613" s="201" t="s">
        <v>3662</v>
      </c>
      <c r="H613" s="201" t="s">
        <v>123</v>
      </c>
      <c r="I613" s="201" t="s">
        <v>5067</v>
      </c>
      <c r="J613" s="215" t="s">
        <v>5068</v>
      </c>
      <c r="K613" s="215"/>
      <c r="L613" s="215"/>
      <c r="M613" s="215"/>
      <c r="N613" s="201"/>
      <c r="O613" s="201"/>
      <c r="P613" s="201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</row>
    <row r="614" ht="24.75" customHeight="1">
      <c r="A614" s="215" t="s">
        <v>5069</v>
      </c>
      <c r="B614" s="201" t="s">
        <v>3459</v>
      </c>
      <c r="C614" s="215" t="s">
        <v>5069</v>
      </c>
      <c r="D614" s="201" t="s">
        <v>122</v>
      </c>
      <c r="E614" s="215" t="s">
        <v>5069</v>
      </c>
      <c r="F614" s="201">
        <v>880.0</v>
      </c>
      <c r="G614" s="201">
        <v>1100.0</v>
      </c>
      <c r="H614" s="201" t="s">
        <v>123</v>
      </c>
      <c r="I614" s="215" t="s">
        <v>5069</v>
      </c>
      <c r="J614" s="215" t="s">
        <v>3632</v>
      </c>
      <c r="K614" s="215"/>
      <c r="L614" s="215"/>
      <c r="M614" s="215"/>
      <c r="N614" s="201"/>
      <c r="O614" s="201"/>
      <c r="P614" s="201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</row>
    <row r="615" ht="24.75" customHeight="1">
      <c r="A615" s="201" t="s">
        <v>5070</v>
      </c>
      <c r="B615" s="201" t="s">
        <v>3459</v>
      </c>
      <c r="C615" s="201" t="s">
        <v>5070</v>
      </c>
      <c r="D615" s="201" t="s">
        <v>122</v>
      </c>
      <c r="E615" s="201" t="s">
        <v>5070</v>
      </c>
      <c r="F615" s="201" t="s">
        <v>123</v>
      </c>
      <c r="G615" s="201" t="s">
        <v>3579</v>
      </c>
      <c r="H615" s="201" t="s">
        <v>123</v>
      </c>
      <c r="I615" s="201" t="s">
        <v>5070</v>
      </c>
      <c r="J615" s="215" t="s">
        <v>5071</v>
      </c>
      <c r="K615" s="215"/>
      <c r="L615" s="215"/>
      <c r="M615" s="215"/>
      <c r="N615" s="201"/>
      <c r="O615" s="201"/>
      <c r="P615" s="201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</row>
    <row r="616" ht="39.75" customHeight="1">
      <c r="A616" s="215" t="s">
        <v>5072</v>
      </c>
      <c r="B616" s="201" t="s">
        <v>3459</v>
      </c>
      <c r="C616" s="215" t="s">
        <v>5072</v>
      </c>
      <c r="D616" s="201" t="s">
        <v>122</v>
      </c>
      <c r="E616" s="215" t="s">
        <v>5072</v>
      </c>
      <c r="F616" s="201">
        <v>8.8</v>
      </c>
      <c r="G616" s="201">
        <v>22.0</v>
      </c>
      <c r="H616" s="201">
        <v>78.0</v>
      </c>
      <c r="I616" s="215" t="s">
        <v>5072</v>
      </c>
      <c r="J616" s="215" t="s">
        <v>5073</v>
      </c>
      <c r="K616" s="215" t="s">
        <v>4049</v>
      </c>
      <c r="L616" s="215"/>
      <c r="M616" s="215" t="s">
        <v>4903</v>
      </c>
      <c r="N616" s="215" t="s">
        <v>126</v>
      </c>
      <c r="O616" s="215" t="s">
        <v>3852</v>
      </c>
      <c r="P616" s="201" t="s">
        <v>4904</v>
      </c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</row>
    <row r="617" ht="24.75" customHeight="1">
      <c r="A617" s="201" t="s">
        <v>5074</v>
      </c>
      <c r="B617" s="201" t="s">
        <v>3459</v>
      </c>
      <c r="C617" s="201" t="s">
        <v>5074</v>
      </c>
      <c r="D617" s="201" t="s">
        <v>122</v>
      </c>
      <c r="E617" s="201" t="s">
        <v>5074</v>
      </c>
      <c r="F617" s="201" t="s">
        <v>123</v>
      </c>
      <c r="G617" s="201">
        <v>880.0</v>
      </c>
      <c r="H617" s="201" t="s">
        <v>123</v>
      </c>
      <c r="I617" s="201" t="s">
        <v>5074</v>
      </c>
      <c r="J617" s="215" t="s">
        <v>4260</v>
      </c>
      <c r="K617" s="215"/>
      <c r="L617" s="215"/>
      <c r="M617" s="215"/>
      <c r="N617" s="201"/>
      <c r="O617" s="201"/>
      <c r="P617" s="201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</row>
    <row r="618" ht="24.75" customHeight="1">
      <c r="A618" s="201" t="s">
        <v>5075</v>
      </c>
      <c r="B618" s="201" t="s">
        <v>3459</v>
      </c>
      <c r="C618" s="201" t="s">
        <v>5075</v>
      </c>
      <c r="D618" s="201" t="s">
        <v>5076</v>
      </c>
      <c r="E618" s="201" t="s">
        <v>5075</v>
      </c>
      <c r="F618" s="201" t="s">
        <v>3579</v>
      </c>
      <c r="G618" s="201" t="s">
        <v>123</v>
      </c>
      <c r="H618" s="201" t="s">
        <v>123</v>
      </c>
      <c r="I618" s="201" t="s">
        <v>5075</v>
      </c>
      <c r="J618" s="215" t="s">
        <v>5077</v>
      </c>
      <c r="K618" s="215"/>
      <c r="L618" s="215"/>
      <c r="M618" s="215"/>
      <c r="N618" s="201"/>
      <c r="O618" s="201"/>
      <c r="P618" s="201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</row>
    <row r="619" ht="24.75" customHeight="1">
      <c r="A619" s="201" t="s">
        <v>3975</v>
      </c>
      <c r="B619" s="201" t="s">
        <v>3459</v>
      </c>
      <c r="C619" s="201" t="s">
        <v>3975</v>
      </c>
      <c r="D619" s="201" t="s">
        <v>5078</v>
      </c>
      <c r="E619" s="201" t="s">
        <v>3975</v>
      </c>
      <c r="F619" s="201" t="s">
        <v>3579</v>
      </c>
      <c r="G619" s="201" t="s">
        <v>123</v>
      </c>
      <c r="H619" s="201" t="s">
        <v>123</v>
      </c>
      <c r="I619" s="201" t="s">
        <v>3975</v>
      </c>
      <c r="J619" s="215" t="s">
        <v>3708</v>
      </c>
      <c r="K619" s="215"/>
      <c r="L619" s="215"/>
      <c r="M619" s="215"/>
      <c r="N619" s="201"/>
      <c r="O619" s="201"/>
      <c r="P619" s="201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</row>
    <row r="620" ht="24.75" customHeight="1">
      <c r="A620" s="201" t="s">
        <v>5079</v>
      </c>
      <c r="B620" s="201" t="s">
        <v>3459</v>
      </c>
      <c r="C620" s="201" t="s">
        <v>5079</v>
      </c>
      <c r="D620" s="201" t="s">
        <v>122</v>
      </c>
      <c r="E620" s="201" t="s">
        <v>5079</v>
      </c>
      <c r="F620" s="201">
        <v>0.44</v>
      </c>
      <c r="G620" s="201" t="s">
        <v>3729</v>
      </c>
      <c r="H620" s="201">
        <v>20.0</v>
      </c>
      <c r="I620" s="201" t="s">
        <v>5079</v>
      </c>
      <c r="J620" s="215" t="s">
        <v>5080</v>
      </c>
      <c r="K620" s="215"/>
      <c r="L620" s="215"/>
      <c r="M620" s="215"/>
      <c r="N620" s="201"/>
      <c r="O620" s="201"/>
      <c r="P620" s="201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</row>
    <row r="621" ht="24.75" customHeight="1">
      <c r="A621" s="201" t="s">
        <v>5081</v>
      </c>
      <c r="B621" s="201" t="s">
        <v>3459</v>
      </c>
      <c r="C621" s="201" t="s">
        <v>5081</v>
      </c>
      <c r="D621" s="201" t="s">
        <v>122</v>
      </c>
      <c r="E621" s="201" t="s">
        <v>5081</v>
      </c>
      <c r="F621" s="201">
        <v>880.0</v>
      </c>
      <c r="G621" s="201" t="s">
        <v>123</v>
      </c>
      <c r="H621" s="201" t="s">
        <v>123</v>
      </c>
      <c r="I621" s="201" t="s">
        <v>5081</v>
      </c>
      <c r="J621" s="215" t="s">
        <v>5082</v>
      </c>
      <c r="K621" s="215"/>
      <c r="L621" s="215"/>
      <c r="M621" s="215"/>
      <c r="N621" s="201"/>
      <c r="O621" s="201"/>
      <c r="P621" s="201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</row>
    <row r="622" ht="24.75" customHeight="1">
      <c r="A622" s="201" t="s">
        <v>5083</v>
      </c>
      <c r="B622" s="201" t="s">
        <v>3459</v>
      </c>
      <c r="C622" s="201" t="s">
        <v>5083</v>
      </c>
      <c r="D622" s="201" t="s">
        <v>122</v>
      </c>
      <c r="E622" s="201" t="s">
        <v>5083</v>
      </c>
      <c r="F622" s="201">
        <v>0.088</v>
      </c>
      <c r="G622" s="201">
        <v>0.616</v>
      </c>
      <c r="H622" s="201" t="s">
        <v>123</v>
      </c>
      <c r="I622" s="201" t="s">
        <v>5083</v>
      </c>
      <c r="J622" s="215" t="s">
        <v>5084</v>
      </c>
      <c r="K622" s="215"/>
      <c r="L622" s="215"/>
      <c r="M622" s="215"/>
      <c r="N622" s="201"/>
      <c r="O622" s="201"/>
      <c r="P622" s="201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</row>
    <row r="623" ht="24.75" customHeight="1">
      <c r="A623" s="201" t="s">
        <v>5085</v>
      </c>
      <c r="B623" s="201" t="s">
        <v>3459</v>
      </c>
      <c r="C623" s="201" t="s">
        <v>5085</v>
      </c>
      <c r="D623" s="201" t="s">
        <v>122</v>
      </c>
      <c r="E623" s="201" t="s">
        <v>5085</v>
      </c>
      <c r="F623" s="201" t="s">
        <v>123</v>
      </c>
      <c r="G623" s="201" t="s">
        <v>3662</v>
      </c>
      <c r="H623" s="201" t="s">
        <v>123</v>
      </c>
      <c r="I623" s="201" t="s">
        <v>5085</v>
      </c>
      <c r="J623" s="215" t="s">
        <v>5035</v>
      </c>
      <c r="K623" s="215"/>
      <c r="L623" s="215"/>
      <c r="M623" s="215"/>
      <c r="N623" s="201"/>
      <c r="O623" s="201"/>
      <c r="P623" s="201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</row>
    <row r="624" ht="24.75" customHeight="1">
      <c r="A624" s="201" t="s">
        <v>5086</v>
      </c>
      <c r="B624" s="201" t="s">
        <v>3459</v>
      </c>
      <c r="C624" s="201" t="s">
        <v>5086</v>
      </c>
      <c r="D624" s="201" t="s">
        <v>122</v>
      </c>
      <c r="E624" s="201" t="s">
        <v>5086</v>
      </c>
      <c r="F624" s="201" t="s">
        <v>3472</v>
      </c>
      <c r="G624" s="201" t="s">
        <v>123</v>
      </c>
      <c r="H624" s="201" t="s">
        <v>123</v>
      </c>
      <c r="I624" s="201" t="s">
        <v>5086</v>
      </c>
      <c r="J624" s="215" t="s">
        <v>5087</v>
      </c>
      <c r="K624" s="215"/>
      <c r="L624" s="215"/>
      <c r="M624" s="215"/>
      <c r="N624" s="201"/>
      <c r="O624" s="201"/>
      <c r="P624" s="201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</row>
    <row r="625" ht="24.75" customHeight="1">
      <c r="A625" s="215" t="s">
        <v>5088</v>
      </c>
      <c r="B625" s="201" t="s">
        <v>3459</v>
      </c>
      <c r="C625" s="215" t="s">
        <v>5088</v>
      </c>
      <c r="D625" s="201" t="s">
        <v>5089</v>
      </c>
      <c r="E625" s="215" t="s">
        <v>5088</v>
      </c>
      <c r="F625" s="201" t="s">
        <v>4214</v>
      </c>
      <c r="G625" s="201" t="s">
        <v>123</v>
      </c>
      <c r="H625" s="201" t="s">
        <v>123</v>
      </c>
      <c r="I625" s="215" t="s">
        <v>5088</v>
      </c>
      <c r="J625" s="215" t="s">
        <v>5090</v>
      </c>
      <c r="K625" s="215"/>
      <c r="L625" s="215"/>
      <c r="M625" s="215"/>
      <c r="N625" s="201"/>
      <c r="O625" s="201"/>
      <c r="P625" s="201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</row>
    <row r="626" ht="24.75" customHeight="1">
      <c r="A626" s="201" t="s">
        <v>5091</v>
      </c>
      <c r="B626" s="201" t="s">
        <v>3459</v>
      </c>
      <c r="C626" s="201" t="s">
        <v>5091</v>
      </c>
      <c r="D626" s="201" t="s">
        <v>122</v>
      </c>
      <c r="E626" s="201" t="s">
        <v>5091</v>
      </c>
      <c r="F626" s="201" t="s">
        <v>3579</v>
      </c>
      <c r="G626" s="201" t="s">
        <v>3560</v>
      </c>
      <c r="H626" s="201" t="s">
        <v>123</v>
      </c>
      <c r="I626" s="201" t="s">
        <v>5091</v>
      </c>
      <c r="J626" s="215" t="s">
        <v>5068</v>
      </c>
      <c r="K626" s="215"/>
      <c r="L626" s="215"/>
      <c r="M626" s="215"/>
      <c r="N626" s="201"/>
      <c r="O626" s="201"/>
      <c r="P626" s="201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</row>
    <row r="627" ht="24.75" customHeight="1">
      <c r="A627" s="201" t="s">
        <v>5092</v>
      </c>
      <c r="B627" s="201" t="s">
        <v>3459</v>
      </c>
      <c r="C627" s="201" t="s">
        <v>5092</v>
      </c>
      <c r="D627" s="201" t="s">
        <v>122</v>
      </c>
      <c r="E627" s="201" t="s">
        <v>5092</v>
      </c>
      <c r="F627" s="201">
        <v>22.0</v>
      </c>
      <c r="G627" s="201" t="s">
        <v>123</v>
      </c>
      <c r="H627" s="201" t="s">
        <v>123</v>
      </c>
      <c r="I627" s="201" t="s">
        <v>5092</v>
      </c>
      <c r="J627" s="215" t="s">
        <v>5093</v>
      </c>
      <c r="K627" s="215"/>
      <c r="L627" s="215"/>
      <c r="M627" s="215"/>
      <c r="N627" s="201"/>
      <c r="O627" s="201"/>
      <c r="P627" s="201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</row>
    <row r="628" ht="24.75" customHeight="1">
      <c r="A628" s="201" t="s">
        <v>5094</v>
      </c>
      <c r="B628" s="201" t="s">
        <v>3459</v>
      </c>
      <c r="C628" s="201" t="s">
        <v>5094</v>
      </c>
      <c r="D628" s="201" t="s">
        <v>123</v>
      </c>
      <c r="E628" s="201" t="s">
        <v>5094</v>
      </c>
      <c r="F628" s="201" t="s">
        <v>123</v>
      </c>
      <c r="G628" s="201" t="s">
        <v>123</v>
      </c>
      <c r="H628" s="201" t="s">
        <v>123</v>
      </c>
      <c r="I628" s="201" t="s">
        <v>5094</v>
      </c>
      <c r="J628" s="215" t="s">
        <v>5095</v>
      </c>
      <c r="K628" s="215"/>
      <c r="L628" s="215"/>
      <c r="M628" s="215"/>
      <c r="N628" s="201"/>
      <c r="O628" s="201"/>
      <c r="P628" s="201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</row>
    <row r="629" ht="24.75" customHeight="1">
      <c r="A629" s="201" t="s">
        <v>877</v>
      </c>
      <c r="B629" s="201" t="s">
        <v>3459</v>
      </c>
      <c r="C629" s="201" t="s">
        <v>877</v>
      </c>
      <c r="D629" s="201" t="s">
        <v>5096</v>
      </c>
      <c r="E629" s="201" t="s">
        <v>877</v>
      </c>
      <c r="F629" s="201">
        <v>2.64</v>
      </c>
      <c r="G629" s="201" t="s">
        <v>3472</v>
      </c>
      <c r="H629" s="201" t="s">
        <v>123</v>
      </c>
      <c r="I629" s="201" t="s">
        <v>877</v>
      </c>
      <c r="J629" s="215" t="s">
        <v>2955</v>
      </c>
      <c r="K629" s="215"/>
      <c r="L629" s="215"/>
      <c r="M629" s="215"/>
      <c r="N629" s="201"/>
      <c r="O629" s="201"/>
      <c r="P629" s="201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</row>
    <row r="630" ht="24.75" customHeight="1">
      <c r="A630" s="201" t="s">
        <v>5097</v>
      </c>
      <c r="B630" s="201" t="s">
        <v>3459</v>
      </c>
      <c r="C630" s="201" t="s">
        <v>5097</v>
      </c>
      <c r="D630" s="201" t="s">
        <v>5098</v>
      </c>
      <c r="E630" s="201" t="s">
        <v>5097</v>
      </c>
      <c r="F630" s="201" t="s">
        <v>3819</v>
      </c>
      <c r="G630" s="201" t="s">
        <v>4699</v>
      </c>
      <c r="H630" s="201" t="s">
        <v>123</v>
      </c>
      <c r="I630" s="201" t="s">
        <v>5097</v>
      </c>
      <c r="J630" s="215" t="s">
        <v>1920</v>
      </c>
      <c r="K630" s="215"/>
      <c r="L630" s="215"/>
      <c r="M630" s="215"/>
      <c r="N630" s="201"/>
      <c r="O630" s="201"/>
      <c r="P630" s="201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</row>
    <row r="631" ht="24.75" customHeight="1">
      <c r="A631" s="201" t="s">
        <v>5099</v>
      </c>
      <c r="B631" s="201" t="s">
        <v>3459</v>
      </c>
      <c r="C631" s="201" t="s">
        <v>5099</v>
      </c>
      <c r="D631" s="201" t="s">
        <v>122</v>
      </c>
      <c r="E631" s="201" t="s">
        <v>5099</v>
      </c>
      <c r="F631" s="201">
        <v>44.0</v>
      </c>
      <c r="G631" s="201" t="s">
        <v>123</v>
      </c>
      <c r="H631" s="201" t="s">
        <v>123</v>
      </c>
      <c r="I631" s="201" t="s">
        <v>5099</v>
      </c>
      <c r="J631" s="215" t="s">
        <v>1199</v>
      </c>
      <c r="K631" s="215"/>
      <c r="L631" s="215"/>
      <c r="M631" s="215"/>
      <c r="N631" s="201"/>
      <c r="O631" s="201"/>
      <c r="P631" s="201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</row>
    <row r="632" ht="24.75" customHeight="1">
      <c r="A632" s="201" t="s">
        <v>5100</v>
      </c>
      <c r="B632" s="201" t="s">
        <v>3459</v>
      </c>
      <c r="C632" s="201" t="s">
        <v>5100</v>
      </c>
      <c r="D632" s="201" t="s">
        <v>122</v>
      </c>
      <c r="E632" s="201" t="s">
        <v>5100</v>
      </c>
      <c r="F632" s="201" t="s">
        <v>3662</v>
      </c>
      <c r="G632" s="201" t="s">
        <v>123</v>
      </c>
      <c r="H632" s="201" t="s">
        <v>123</v>
      </c>
      <c r="I632" s="201" t="s">
        <v>5100</v>
      </c>
      <c r="J632" s="215" t="s">
        <v>5101</v>
      </c>
      <c r="K632" s="215"/>
      <c r="L632" s="215"/>
      <c r="M632" s="215"/>
      <c r="N632" s="201"/>
      <c r="O632" s="201"/>
      <c r="P632" s="201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</row>
    <row r="633" ht="24.75" customHeight="1">
      <c r="A633" s="201" t="s">
        <v>5102</v>
      </c>
      <c r="B633" s="201" t="s">
        <v>3459</v>
      </c>
      <c r="C633" s="201" t="s">
        <v>5102</v>
      </c>
      <c r="D633" s="201" t="s">
        <v>122</v>
      </c>
      <c r="E633" s="201" t="s">
        <v>5102</v>
      </c>
      <c r="F633" s="201" t="s">
        <v>4214</v>
      </c>
      <c r="G633" s="201" t="s">
        <v>123</v>
      </c>
      <c r="H633" s="201" t="s">
        <v>123</v>
      </c>
      <c r="I633" s="201" t="s">
        <v>5102</v>
      </c>
      <c r="J633" s="215" t="s">
        <v>124</v>
      </c>
      <c r="K633" s="215"/>
      <c r="L633" s="215"/>
      <c r="M633" s="215"/>
      <c r="N633" s="201"/>
      <c r="O633" s="201"/>
      <c r="P633" s="201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</row>
    <row r="634" ht="24.75" customHeight="1">
      <c r="A634" s="201" t="s">
        <v>5103</v>
      </c>
      <c r="B634" s="201" t="s">
        <v>3459</v>
      </c>
      <c r="C634" s="201" t="s">
        <v>5103</v>
      </c>
      <c r="D634" s="201" t="s">
        <v>5104</v>
      </c>
      <c r="E634" s="201" t="s">
        <v>5103</v>
      </c>
      <c r="F634" s="201" t="s">
        <v>3662</v>
      </c>
      <c r="G634" s="201" t="s">
        <v>123</v>
      </c>
      <c r="H634" s="201" t="s">
        <v>123</v>
      </c>
      <c r="I634" s="201" t="s">
        <v>5103</v>
      </c>
      <c r="J634" s="215" t="s">
        <v>4920</v>
      </c>
      <c r="K634" s="215"/>
      <c r="L634" s="215"/>
      <c r="M634" s="215"/>
      <c r="N634" s="201"/>
      <c r="O634" s="201"/>
      <c r="P634" s="201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</row>
    <row r="635" ht="39.75" customHeight="1">
      <c r="A635" s="215" t="s">
        <v>58</v>
      </c>
      <c r="B635" s="215" t="s">
        <v>5105</v>
      </c>
      <c r="C635" s="215" t="s">
        <v>58</v>
      </c>
      <c r="D635" s="201" t="s">
        <v>122</v>
      </c>
      <c r="E635" s="215" t="s">
        <v>58</v>
      </c>
      <c r="F635" s="201">
        <v>88.0</v>
      </c>
      <c r="G635" s="201">
        <v>132.0</v>
      </c>
      <c r="H635" s="201">
        <v>78.0</v>
      </c>
      <c r="I635" s="215" t="s">
        <v>58</v>
      </c>
      <c r="J635" s="215" t="s">
        <v>3520</v>
      </c>
      <c r="K635" s="215" t="s">
        <v>4049</v>
      </c>
      <c r="L635" s="215" t="s">
        <v>3907</v>
      </c>
      <c r="M635" s="215" t="s">
        <v>5106</v>
      </c>
      <c r="N635" s="215" t="s">
        <v>126</v>
      </c>
      <c r="O635" s="5" t="s">
        <v>4052</v>
      </c>
      <c r="P635" s="230" t="s">
        <v>5107</v>
      </c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</row>
    <row r="636" ht="24.75" customHeight="1">
      <c r="A636" s="201" t="s">
        <v>5108</v>
      </c>
      <c r="B636" s="201" t="s">
        <v>3459</v>
      </c>
      <c r="C636" s="201" t="s">
        <v>5108</v>
      </c>
      <c r="D636" s="201" t="s">
        <v>122</v>
      </c>
      <c r="E636" s="201" t="s">
        <v>5108</v>
      </c>
      <c r="F636" s="201" t="s">
        <v>3668</v>
      </c>
      <c r="G636" s="201" t="s">
        <v>123</v>
      </c>
      <c r="H636" s="201" t="s">
        <v>123</v>
      </c>
      <c r="I636" s="201" t="s">
        <v>5108</v>
      </c>
      <c r="J636" s="215" t="s">
        <v>5109</v>
      </c>
      <c r="K636" s="215"/>
      <c r="L636" s="215"/>
      <c r="M636" s="215"/>
      <c r="N636" s="201"/>
      <c r="O636" s="201"/>
      <c r="P636" s="201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</row>
    <row r="637" ht="24.75" customHeight="1">
      <c r="A637" s="201" t="s">
        <v>4009</v>
      </c>
      <c r="B637" s="201" t="s">
        <v>3459</v>
      </c>
      <c r="C637" s="201" t="s">
        <v>4009</v>
      </c>
      <c r="D637" s="201" t="s">
        <v>5110</v>
      </c>
      <c r="E637" s="201" t="s">
        <v>4009</v>
      </c>
      <c r="F637" s="257">
        <v>4.4</v>
      </c>
      <c r="G637" s="257" t="s">
        <v>3472</v>
      </c>
      <c r="H637" s="257" t="s">
        <v>123</v>
      </c>
      <c r="I637" s="201" t="s">
        <v>4009</v>
      </c>
      <c r="J637" s="224" t="s">
        <v>123</v>
      </c>
      <c r="K637" s="215"/>
      <c r="L637" s="215"/>
      <c r="M637" s="215"/>
      <c r="N637" s="201"/>
      <c r="O637" s="201"/>
      <c r="P637" s="201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</row>
    <row r="638" ht="24.75" customHeight="1">
      <c r="A638" s="201" t="s">
        <v>3713</v>
      </c>
      <c r="B638" s="201" t="s">
        <v>3459</v>
      </c>
      <c r="C638" s="201" t="s">
        <v>3713</v>
      </c>
      <c r="D638" s="258" t="s">
        <v>122</v>
      </c>
      <c r="E638" s="201" t="s">
        <v>3713</v>
      </c>
      <c r="F638" s="215">
        <v>264.0</v>
      </c>
      <c r="G638" s="215" t="s">
        <v>123</v>
      </c>
      <c r="H638" s="215" t="s">
        <v>123</v>
      </c>
      <c r="I638" s="201" t="s">
        <v>3713</v>
      </c>
      <c r="J638" s="215" t="s">
        <v>5111</v>
      </c>
      <c r="K638" s="215"/>
      <c r="L638" s="215"/>
      <c r="M638" s="215"/>
      <c r="N638" s="201"/>
      <c r="O638" s="201"/>
      <c r="P638" s="201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</row>
    <row r="639" ht="39.75" customHeight="1">
      <c r="A639" s="215" t="s">
        <v>3843</v>
      </c>
      <c r="B639" s="201" t="s">
        <v>3459</v>
      </c>
      <c r="C639" s="215" t="s">
        <v>3843</v>
      </c>
      <c r="D639" s="201" t="s">
        <v>5112</v>
      </c>
      <c r="E639" s="215" t="s">
        <v>3843</v>
      </c>
      <c r="F639" s="256">
        <v>2.64</v>
      </c>
      <c r="G639" s="256" t="s">
        <v>123</v>
      </c>
      <c r="H639" s="256" t="s">
        <v>123</v>
      </c>
      <c r="I639" s="215" t="s">
        <v>3843</v>
      </c>
      <c r="J639" s="227" t="s">
        <v>3839</v>
      </c>
      <c r="K639" s="215" t="s">
        <v>3755</v>
      </c>
      <c r="L639" s="215"/>
      <c r="M639" s="215" t="s">
        <v>3854</v>
      </c>
      <c r="N639" s="215" t="s">
        <v>5113</v>
      </c>
      <c r="O639" s="216">
        <v>1.7</v>
      </c>
      <c r="P639" s="201" t="s">
        <v>5114</v>
      </c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</row>
    <row r="640" ht="39.75" customHeight="1">
      <c r="A640" s="215" t="s">
        <v>5115</v>
      </c>
      <c r="B640" s="201" t="s">
        <v>3459</v>
      </c>
      <c r="C640" s="215" t="s">
        <v>5115</v>
      </c>
      <c r="D640" s="201" t="s">
        <v>5116</v>
      </c>
      <c r="E640" s="215" t="s">
        <v>5115</v>
      </c>
      <c r="F640" s="201">
        <v>8.8</v>
      </c>
      <c r="G640" s="201" t="s">
        <v>123</v>
      </c>
      <c r="H640" s="201" t="s">
        <v>123</v>
      </c>
      <c r="I640" s="215" t="s">
        <v>5115</v>
      </c>
      <c r="J640" s="215" t="s">
        <v>3839</v>
      </c>
      <c r="K640" s="215" t="s">
        <v>3755</v>
      </c>
      <c r="L640" s="215"/>
      <c r="M640" s="215" t="s">
        <v>3610</v>
      </c>
      <c r="N640" s="215" t="s">
        <v>5113</v>
      </c>
      <c r="O640" s="201" t="s">
        <v>5117</v>
      </c>
      <c r="P640" s="201" t="s">
        <v>5114</v>
      </c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</row>
    <row r="641" ht="39.75" customHeight="1">
      <c r="A641" s="215" t="s">
        <v>5118</v>
      </c>
      <c r="B641" s="201" t="s">
        <v>3459</v>
      </c>
      <c r="C641" s="215" t="s">
        <v>5118</v>
      </c>
      <c r="D641" s="201" t="s">
        <v>5119</v>
      </c>
      <c r="E641" s="215" t="s">
        <v>5118</v>
      </c>
      <c r="F641" s="201">
        <v>2.64</v>
      </c>
      <c r="G641" s="201" t="s">
        <v>123</v>
      </c>
      <c r="H641" s="201" t="s">
        <v>123</v>
      </c>
      <c r="I641" s="215" t="s">
        <v>5118</v>
      </c>
      <c r="J641" s="215" t="s">
        <v>3839</v>
      </c>
      <c r="K641" s="215" t="s">
        <v>3755</v>
      </c>
      <c r="L641" s="215"/>
      <c r="M641" s="215" t="s">
        <v>5120</v>
      </c>
      <c r="N641" s="215" t="s">
        <v>5113</v>
      </c>
      <c r="O641" s="201" t="s">
        <v>4847</v>
      </c>
      <c r="P641" s="201" t="s">
        <v>4848</v>
      </c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</row>
    <row r="642" ht="39.75" customHeight="1">
      <c r="A642" s="216"/>
      <c r="B642" s="216"/>
      <c r="C642" s="213"/>
      <c r="D642" s="213"/>
      <c r="E642" s="213"/>
      <c r="F642" s="213"/>
      <c r="G642" s="213"/>
      <c r="H642" s="213"/>
      <c r="I642" s="213"/>
      <c r="J642" s="216"/>
      <c r="K642" s="216"/>
      <c r="L642" s="216"/>
      <c r="M642" s="216"/>
      <c r="N642" s="216"/>
      <c r="O642" s="216"/>
      <c r="P642" s="216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</row>
    <row r="643" ht="39.75" customHeight="1">
      <c r="A643" s="216"/>
      <c r="B643" s="216"/>
      <c r="C643" s="213"/>
      <c r="D643" s="213"/>
      <c r="E643" s="213"/>
      <c r="F643" s="213"/>
      <c r="G643" s="213"/>
      <c r="H643" s="213"/>
      <c r="I643" s="213"/>
      <c r="J643" s="216"/>
      <c r="K643" s="216"/>
      <c r="L643" s="216"/>
      <c r="M643" s="216"/>
      <c r="N643" s="216"/>
      <c r="O643" s="216"/>
      <c r="P643" s="216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</row>
    <row r="644" ht="39.75" customHeight="1">
      <c r="A644" s="216"/>
      <c r="B644" s="216"/>
      <c r="C644" s="213"/>
      <c r="D644" s="213"/>
      <c r="E644" s="213"/>
      <c r="F644" s="213"/>
      <c r="G644" s="213"/>
      <c r="H644" s="213"/>
      <c r="I644" s="213"/>
      <c r="J644" s="216"/>
      <c r="K644" s="216"/>
      <c r="L644" s="216"/>
      <c r="M644" s="216"/>
      <c r="N644" s="216"/>
      <c r="O644" s="216"/>
      <c r="P644" s="216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</row>
    <row r="645" ht="39.75" customHeight="1">
      <c r="A645" s="216"/>
      <c r="B645" s="216"/>
      <c r="C645" s="213"/>
      <c r="D645" s="213"/>
      <c r="E645" s="213"/>
      <c r="F645" s="213"/>
      <c r="G645" s="213"/>
      <c r="H645" s="213"/>
      <c r="I645" s="213"/>
      <c r="J645" s="216"/>
      <c r="K645" s="216"/>
      <c r="L645" s="216"/>
      <c r="M645" s="216"/>
      <c r="N645" s="216"/>
      <c r="O645" s="216"/>
      <c r="P645" s="216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</row>
    <row r="646" ht="39.75" customHeight="1">
      <c r="A646" s="216"/>
      <c r="B646" s="216"/>
      <c r="C646" s="213"/>
      <c r="D646" s="213"/>
      <c r="E646" s="213"/>
      <c r="F646" s="213"/>
      <c r="G646" s="213"/>
      <c r="H646" s="213"/>
      <c r="I646" s="213"/>
      <c r="J646" s="216"/>
      <c r="K646" s="216"/>
      <c r="L646" s="216"/>
      <c r="M646" s="216"/>
      <c r="N646" s="216"/>
      <c r="O646" s="216"/>
      <c r="P646" s="216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</row>
    <row r="647" ht="39.75" customHeight="1">
      <c r="A647" s="216"/>
      <c r="B647" s="216"/>
      <c r="C647" s="213"/>
      <c r="D647" s="213"/>
      <c r="E647" s="213"/>
      <c r="F647" s="213"/>
      <c r="G647" s="213"/>
      <c r="H647" s="213"/>
      <c r="I647" s="213"/>
      <c r="J647" s="216"/>
      <c r="K647" s="216"/>
      <c r="L647" s="216"/>
      <c r="M647" s="216"/>
      <c r="N647" s="216"/>
      <c r="O647" s="216"/>
      <c r="P647" s="216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</row>
    <row r="648" ht="39.75" customHeight="1">
      <c r="A648" s="216"/>
      <c r="B648" s="216"/>
      <c r="C648" s="213"/>
      <c r="D648" s="213"/>
      <c r="E648" s="213"/>
      <c r="F648" s="213"/>
      <c r="G648" s="213"/>
      <c r="H648" s="213"/>
      <c r="I648" s="213"/>
      <c r="J648" s="216"/>
      <c r="K648" s="216"/>
      <c r="L648" s="216"/>
      <c r="M648" s="216"/>
      <c r="N648" s="216"/>
      <c r="O648" s="216"/>
      <c r="P648" s="216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</row>
    <row r="649" ht="39.75" customHeight="1">
      <c r="A649" s="216"/>
      <c r="B649" s="216"/>
      <c r="C649" s="213"/>
      <c r="D649" s="213"/>
      <c r="E649" s="213"/>
      <c r="F649" s="213"/>
      <c r="G649" s="213"/>
      <c r="H649" s="213"/>
      <c r="I649" s="213"/>
      <c r="J649" s="216"/>
      <c r="K649" s="216"/>
      <c r="L649" s="216"/>
      <c r="M649" s="216"/>
      <c r="N649" s="216"/>
      <c r="O649" s="216"/>
      <c r="P649" s="216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</row>
    <row r="650" ht="39.75" customHeight="1">
      <c r="A650" s="216"/>
      <c r="B650" s="216"/>
      <c r="C650" s="213"/>
      <c r="D650" s="213"/>
      <c r="E650" s="213"/>
      <c r="F650" s="213"/>
      <c r="G650" s="213"/>
      <c r="H650" s="213"/>
      <c r="I650" s="213"/>
      <c r="J650" s="216"/>
      <c r="K650" s="216"/>
      <c r="L650" s="216"/>
      <c r="M650" s="216"/>
      <c r="N650" s="216"/>
      <c r="O650" s="216"/>
      <c r="P650" s="216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</row>
    <row r="651" ht="39.75" customHeight="1">
      <c r="A651" s="216"/>
      <c r="B651" s="216"/>
      <c r="C651" s="213"/>
      <c r="D651" s="213"/>
      <c r="E651" s="213"/>
      <c r="F651" s="213"/>
      <c r="G651" s="213"/>
      <c r="H651" s="213"/>
      <c r="I651" s="213"/>
      <c r="J651" s="216"/>
      <c r="K651" s="216"/>
      <c r="L651" s="216"/>
      <c r="M651" s="216"/>
      <c r="N651" s="216"/>
      <c r="O651" s="216"/>
      <c r="P651" s="216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</row>
    <row r="652" ht="39.75" customHeight="1">
      <c r="A652" s="216"/>
      <c r="B652" s="216"/>
      <c r="C652" s="213"/>
      <c r="D652" s="213"/>
      <c r="E652" s="213"/>
      <c r="F652" s="213"/>
      <c r="G652" s="213"/>
      <c r="H652" s="213"/>
      <c r="I652" s="213"/>
      <c r="J652" s="216"/>
      <c r="K652" s="216"/>
      <c r="L652" s="216"/>
      <c r="M652" s="216"/>
      <c r="N652" s="216"/>
      <c r="O652" s="216"/>
      <c r="P652" s="216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</row>
    <row r="653" ht="39.75" customHeight="1">
      <c r="A653" s="216"/>
      <c r="B653" s="216"/>
      <c r="C653" s="213"/>
      <c r="D653" s="213"/>
      <c r="E653" s="213"/>
      <c r="F653" s="213"/>
      <c r="G653" s="213"/>
      <c r="H653" s="213"/>
      <c r="I653" s="213"/>
      <c r="J653" s="216"/>
      <c r="K653" s="216"/>
      <c r="L653" s="216"/>
      <c r="M653" s="216"/>
      <c r="N653" s="216"/>
      <c r="O653" s="216"/>
      <c r="P653" s="216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</row>
    <row r="654" ht="39.75" customHeight="1">
      <c r="A654" s="216"/>
      <c r="B654" s="216"/>
      <c r="C654" s="213"/>
      <c r="D654" s="213"/>
      <c r="E654" s="213"/>
      <c r="F654" s="213"/>
      <c r="G654" s="213"/>
      <c r="H654" s="213"/>
      <c r="I654" s="213"/>
      <c r="J654" s="216"/>
      <c r="K654" s="216"/>
      <c r="L654" s="216"/>
      <c r="M654" s="216"/>
      <c r="N654" s="216"/>
      <c r="O654" s="216"/>
      <c r="P654" s="216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</row>
    <row r="655" ht="39.75" customHeight="1">
      <c r="A655" s="216"/>
      <c r="B655" s="216"/>
      <c r="C655" s="213"/>
      <c r="D655" s="213"/>
      <c r="E655" s="213"/>
      <c r="F655" s="213"/>
      <c r="G655" s="213"/>
      <c r="H655" s="213"/>
      <c r="I655" s="213"/>
      <c r="J655" s="216"/>
      <c r="K655" s="216"/>
      <c r="L655" s="216"/>
      <c r="M655" s="216"/>
      <c r="N655" s="216"/>
      <c r="O655" s="216"/>
      <c r="P655" s="216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</row>
    <row r="656" ht="39.75" customHeight="1">
      <c r="A656" s="216"/>
      <c r="B656" s="216"/>
      <c r="C656" s="213"/>
      <c r="D656" s="213"/>
      <c r="E656" s="213"/>
      <c r="F656" s="213"/>
      <c r="G656" s="213"/>
      <c r="H656" s="213"/>
      <c r="I656" s="213"/>
      <c r="J656" s="216"/>
      <c r="K656" s="216"/>
      <c r="L656" s="216"/>
      <c r="M656" s="216"/>
      <c r="N656" s="216"/>
      <c r="O656" s="216"/>
      <c r="P656" s="216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</row>
    <row r="657" ht="39.75" customHeight="1">
      <c r="A657" s="216"/>
      <c r="B657" s="216"/>
      <c r="C657" s="213"/>
      <c r="D657" s="213"/>
      <c r="E657" s="213"/>
      <c r="F657" s="213"/>
      <c r="G657" s="213"/>
      <c r="H657" s="213"/>
      <c r="I657" s="213"/>
      <c r="J657" s="216"/>
      <c r="K657" s="216"/>
      <c r="L657" s="216"/>
      <c r="M657" s="216"/>
      <c r="N657" s="216"/>
      <c r="O657" s="216"/>
      <c r="P657" s="216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</row>
    <row r="658" ht="39.75" customHeight="1">
      <c r="A658" s="216"/>
      <c r="B658" s="216"/>
      <c r="C658" s="213"/>
      <c r="D658" s="213"/>
      <c r="E658" s="213"/>
      <c r="F658" s="213"/>
      <c r="G658" s="213"/>
      <c r="H658" s="213"/>
      <c r="I658" s="213"/>
      <c r="J658" s="216"/>
      <c r="K658" s="216"/>
      <c r="L658" s="216"/>
      <c r="M658" s="216"/>
      <c r="N658" s="216"/>
      <c r="O658" s="216"/>
      <c r="P658" s="216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</row>
    <row r="659" ht="39.75" customHeight="1">
      <c r="A659" s="216"/>
      <c r="B659" s="216"/>
      <c r="C659" s="213"/>
      <c r="D659" s="213"/>
      <c r="E659" s="213"/>
      <c r="F659" s="213"/>
      <c r="G659" s="213"/>
      <c r="H659" s="213"/>
      <c r="I659" s="213"/>
      <c r="J659" s="216"/>
      <c r="K659" s="216"/>
      <c r="L659" s="216"/>
      <c r="M659" s="216"/>
      <c r="N659" s="216"/>
      <c r="O659" s="216"/>
      <c r="P659" s="216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</row>
    <row r="660" ht="39.75" customHeight="1">
      <c r="A660" s="216"/>
      <c r="B660" s="216"/>
      <c r="C660" s="213"/>
      <c r="D660" s="213"/>
      <c r="E660" s="213"/>
      <c r="F660" s="213"/>
      <c r="G660" s="213"/>
      <c r="H660" s="213"/>
      <c r="I660" s="213"/>
      <c r="J660" s="216"/>
      <c r="K660" s="216"/>
      <c r="L660" s="216"/>
      <c r="M660" s="216"/>
      <c r="N660" s="216"/>
      <c r="O660" s="216"/>
      <c r="P660" s="216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</row>
    <row r="661" ht="39.75" customHeight="1">
      <c r="A661" s="216"/>
      <c r="B661" s="216"/>
      <c r="C661" s="213"/>
      <c r="D661" s="213"/>
      <c r="E661" s="213"/>
      <c r="F661" s="213"/>
      <c r="G661" s="213"/>
      <c r="H661" s="213"/>
      <c r="I661" s="213"/>
      <c r="J661" s="216"/>
      <c r="K661" s="216"/>
      <c r="L661" s="216"/>
      <c r="M661" s="216"/>
      <c r="N661" s="216"/>
      <c r="O661" s="216"/>
      <c r="P661" s="216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</row>
    <row r="662" ht="39.75" customHeight="1">
      <c r="A662" s="216"/>
      <c r="B662" s="216"/>
      <c r="C662" s="213"/>
      <c r="D662" s="213"/>
      <c r="E662" s="213"/>
      <c r="F662" s="213"/>
      <c r="G662" s="213"/>
      <c r="H662" s="213"/>
      <c r="I662" s="213"/>
      <c r="J662" s="216"/>
      <c r="K662" s="216"/>
      <c r="L662" s="216"/>
      <c r="M662" s="216"/>
      <c r="N662" s="216"/>
      <c r="O662" s="216"/>
      <c r="P662" s="216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</row>
    <row r="663" ht="39.75" customHeight="1">
      <c r="A663" s="216"/>
      <c r="B663" s="216"/>
      <c r="C663" s="213"/>
      <c r="D663" s="213"/>
      <c r="E663" s="213"/>
      <c r="F663" s="213"/>
      <c r="G663" s="213"/>
      <c r="H663" s="213"/>
      <c r="I663" s="213"/>
      <c r="J663" s="216"/>
      <c r="K663" s="216"/>
      <c r="L663" s="216"/>
      <c r="M663" s="216"/>
      <c r="N663" s="216"/>
      <c r="O663" s="216"/>
      <c r="P663" s="216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</row>
    <row r="664" ht="39.75" customHeight="1">
      <c r="A664" s="216"/>
      <c r="B664" s="216"/>
      <c r="C664" s="213"/>
      <c r="D664" s="213"/>
      <c r="E664" s="213"/>
      <c r="F664" s="213"/>
      <c r="G664" s="213"/>
      <c r="H664" s="213"/>
      <c r="I664" s="213"/>
      <c r="J664" s="216"/>
      <c r="K664" s="216"/>
      <c r="L664" s="216"/>
      <c r="M664" s="216"/>
      <c r="N664" s="216"/>
      <c r="O664" s="216"/>
      <c r="P664" s="216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</row>
    <row r="665" ht="39.75" customHeight="1">
      <c r="A665" s="216"/>
      <c r="B665" s="216"/>
      <c r="C665" s="213"/>
      <c r="D665" s="213"/>
      <c r="E665" s="213"/>
      <c r="F665" s="213"/>
      <c r="G665" s="213"/>
      <c r="H665" s="213"/>
      <c r="I665" s="213"/>
      <c r="J665" s="216"/>
      <c r="K665" s="216"/>
      <c r="L665" s="216"/>
      <c r="M665" s="216"/>
      <c r="N665" s="216"/>
      <c r="O665" s="216"/>
      <c r="P665" s="216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</row>
    <row r="666" ht="39.75" customHeight="1">
      <c r="A666" s="216"/>
      <c r="B666" s="216"/>
      <c r="C666" s="213"/>
      <c r="D666" s="213"/>
      <c r="E666" s="213"/>
      <c r="F666" s="213"/>
      <c r="G666" s="213"/>
      <c r="H666" s="213"/>
      <c r="I666" s="213"/>
      <c r="J666" s="216"/>
      <c r="K666" s="216"/>
      <c r="L666" s="216"/>
      <c r="M666" s="216"/>
      <c r="N666" s="216"/>
      <c r="O666" s="216"/>
      <c r="P666" s="216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</row>
    <row r="667" ht="39.75" customHeight="1">
      <c r="A667" s="216"/>
      <c r="B667" s="216"/>
      <c r="C667" s="213"/>
      <c r="D667" s="213"/>
      <c r="E667" s="213"/>
      <c r="F667" s="213"/>
      <c r="G667" s="213"/>
      <c r="H667" s="213"/>
      <c r="I667" s="213"/>
      <c r="J667" s="216"/>
      <c r="K667" s="216"/>
      <c r="L667" s="216"/>
      <c r="M667" s="216"/>
      <c r="N667" s="216"/>
      <c r="O667" s="216"/>
      <c r="P667" s="216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</row>
    <row r="668" ht="39.75" customHeight="1">
      <c r="A668" s="216"/>
      <c r="B668" s="216"/>
      <c r="C668" s="213"/>
      <c r="D668" s="213"/>
      <c r="E668" s="213"/>
      <c r="F668" s="213"/>
      <c r="G668" s="213"/>
      <c r="H668" s="213"/>
      <c r="I668" s="213"/>
      <c r="J668" s="216"/>
      <c r="K668" s="216"/>
      <c r="L668" s="216"/>
      <c r="M668" s="216"/>
      <c r="N668" s="216"/>
      <c r="O668" s="216"/>
      <c r="P668" s="216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</row>
    <row r="669" ht="39.75" customHeight="1">
      <c r="A669" s="216"/>
      <c r="B669" s="216"/>
      <c r="C669" s="213"/>
      <c r="D669" s="213"/>
      <c r="E669" s="213"/>
      <c r="F669" s="213"/>
      <c r="G669" s="213"/>
      <c r="H669" s="213"/>
      <c r="I669" s="213"/>
      <c r="J669" s="216"/>
      <c r="K669" s="216"/>
      <c r="L669" s="216"/>
      <c r="M669" s="216"/>
      <c r="N669" s="216"/>
      <c r="O669" s="216"/>
      <c r="P669" s="216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</row>
    <row r="670" ht="39.75" customHeight="1">
      <c r="A670" s="216"/>
      <c r="B670" s="216"/>
      <c r="C670" s="213"/>
      <c r="D670" s="213"/>
      <c r="E670" s="213"/>
      <c r="F670" s="213"/>
      <c r="G670" s="213"/>
      <c r="H670" s="213"/>
      <c r="I670" s="213"/>
      <c r="J670" s="216"/>
      <c r="K670" s="216"/>
      <c r="L670" s="216"/>
      <c r="M670" s="216"/>
      <c r="N670" s="216"/>
      <c r="O670" s="216"/>
      <c r="P670" s="216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</row>
    <row r="671" ht="39.75" customHeight="1">
      <c r="A671" s="216"/>
      <c r="B671" s="216"/>
      <c r="C671" s="213"/>
      <c r="D671" s="213"/>
      <c r="E671" s="213"/>
      <c r="F671" s="213"/>
      <c r="G671" s="213"/>
      <c r="H671" s="213"/>
      <c r="I671" s="213"/>
      <c r="J671" s="216"/>
      <c r="K671" s="216"/>
      <c r="L671" s="216"/>
      <c r="M671" s="216"/>
      <c r="N671" s="216"/>
      <c r="O671" s="216"/>
      <c r="P671" s="216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</row>
    <row r="672" ht="39.75" customHeight="1">
      <c r="A672" s="216"/>
      <c r="B672" s="216"/>
      <c r="C672" s="213"/>
      <c r="D672" s="213"/>
      <c r="E672" s="213"/>
      <c r="F672" s="213"/>
      <c r="G672" s="213"/>
      <c r="H672" s="213"/>
      <c r="I672" s="213"/>
      <c r="J672" s="216"/>
      <c r="K672" s="216"/>
      <c r="L672" s="216"/>
      <c r="M672" s="216"/>
      <c r="N672" s="216"/>
      <c r="O672" s="216"/>
      <c r="P672" s="216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</row>
    <row r="673" ht="39.75" customHeight="1">
      <c r="A673" s="216"/>
      <c r="B673" s="216"/>
      <c r="C673" s="213"/>
      <c r="D673" s="213"/>
      <c r="E673" s="213"/>
      <c r="F673" s="213"/>
      <c r="G673" s="213"/>
      <c r="H673" s="213"/>
      <c r="I673" s="213"/>
      <c r="J673" s="216"/>
      <c r="K673" s="216"/>
      <c r="L673" s="216"/>
      <c r="M673" s="216"/>
      <c r="N673" s="216"/>
      <c r="O673" s="216"/>
      <c r="P673" s="216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</row>
    <row r="674" ht="39.75" customHeight="1">
      <c r="A674" s="216"/>
      <c r="B674" s="216"/>
      <c r="C674" s="213"/>
      <c r="D674" s="213"/>
      <c r="E674" s="213"/>
      <c r="F674" s="213"/>
      <c r="G674" s="213"/>
      <c r="H674" s="213"/>
      <c r="I674" s="213"/>
      <c r="J674" s="216"/>
      <c r="K674" s="216"/>
      <c r="L674" s="216"/>
      <c r="M674" s="216"/>
      <c r="N674" s="216"/>
      <c r="O674" s="216"/>
      <c r="P674" s="216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</row>
    <row r="675" ht="39.75" customHeight="1">
      <c r="A675" s="216"/>
      <c r="B675" s="216"/>
      <c r="C675" s="213"/>
      <c r="D675" s="213"/>
      <c r="E675" s="213"/>
      <c r="F675" s="213"/>
      <c r="G675" s="213"/>
      <c r="H675" s="213"/>
      <c r="I675" s="213"/>
      <c r="J675" s="216"/>
      <c r="K675" s="216"/>
      <c r="L675" s="216"/>
      <c r="M675" s="216"/>
      <c r="N675" s="216"/>
      <c r="O675" s="216"/>
      <c r="P675" s="216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</row>
    <row r="676" ht="39.75" customHeight="1">
      <c r="A676" s="216"/>
      <c r="B676" s="216"/>
      <c r="C676" s="213"/>
      <c r="D676" s="213"/>
      <c r="E676" s="213"/>
      <c r="F676" s="213"/>
      <c r="G676" s="213"/>
      <c r="H676" s="213"/>
      <c r="I676" s="213"/>
      <c r="J676" s="216"/>
      <c r="K676" s="216"/>
      <c r="L676" s="216"/>
      <c r="M676" s="216"/>
      <c r="N676" s="216"/>
      <c r="O676" s="216"/>
      <c r="P676" s="216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</row>
    <row r="677" ht="39.75" customHeight="1">
      <c r="A677" s="216"/>
      <c r="B677" s="216"/>
      <c r="C677" s="213"/>
      <c r="D677" s="213"/>
      <c r="E677" s="213"/>
      <c r="F677" s="213"/>
      <c r="G677" s="213"/>
      <c r="H677" s="213"/>
      <c r="I677" s="213"/>
      <c r="J677" s="216"/>
      <c r="K677" s="216"/>
      <c r="L677" s="216"/>
      <c r="M677" s="216"/>
      <c r="N677" s="216"/>
      <c r="O677" s="216"/>
      <c r="P677" s="216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</row>
    <row r="678" ht="39.75" customHeight="1">
      <c r="A678" s="216"/>
      <c r="B678" s="216"/>
      <c r="C678" s="213"/>
      <c r="D678" s="213"/>
      <c r="E678" s="213"/>
      <c r="F678" s="213"/>
      <c r="G678" s="213"/>
      <c r="H678" s="213"/>
      <c r="I678" s="213"/>
      <c r="J678" s="216"/>
      <c r="K678" s="216"/>
      <c r="L678" s="216"/>
      <c r="M678" s="216"/>
      <c r="N678" s="216"/>
      <c r="O678" s="216"/>
      <c r="P678" s="216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</row>
    <row r="679" ht="39.75" customHeight="1">
      <c r="A679" s="216"/>
      <c r="B679" s="216"/>
      <c r="C679" s="213"/>
      <c r="D679" s="213"/>
      <c r="E679" s="213"/>
      <c r="F679" s="213"/>
      <c r="G679" s="213"/>
      <c r="H679" s="213"/>
      <c r="I679" s="213"/>
      <c r="J679" s="216"/>
      <c r="K679" s="216"/>
      <c r="L679" s="216"/>
      <c r="M679" s="216"/>
      <c r="N679" s="216"/>
      <c r="O679" s="216"/>
      <c r="P679" s="216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</row>
    <row r="680" ht="39.75" customHeight="1">
      <c r="A680" s="216"/>
      <c r="B680" s="216"/>
      <c r="C680" s="213"/>
      <c r="D680" s="213"/>
      <c r="E680" s="213"/>
      <c r="F680" s="213"/>
      <c r="G680" s="213"/>
      <c r="H680" s="213"/>
      <c r="I680" s="213"/>
      <c r="J680" s="216"/>
      <c r="K680" s="216"/>
      <c r="L680" s="216"/>
      <c r="M680" s="216"/>
      <c r="N680" s="216"/>
      <c r="O680" s="216"/>
      <c r="P680" s="216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</row>
    <row r="681" ht="39.75" customHeight="1">
      <c r="A681" s="216"/>
      <c r="B681" s="216"/>
      <c r="C681" s="213"/>
      <c r="D681" s="213"/>
      <c r="E681" s="213"/>
      <c r="F681" s="213"/>
      <c r="G681" s="213"/>
      <c r="H681" s="213"/>
      <c r="I681" s="213"/>
      <c r="J681" s="216"/>
      <c r="K681" s="216"/>
      <c r="L681" s="216"/>
      <c r="M681" s="216"/>
      <c r="N681" s="216"/>
      <c r="O681" s="216"/>
      <c r="P681" s="216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</row>
    <row r="682" ht="39.75" customHeight="1">
      <c r="A682" s="216"/>
      <c r="B682" s="216"/>
      <c r="C682" s="213"/>
      <c r="D682" s="213"/>
      <c r="E682" s="213"/>
      <c r="F682" s="213"/>
      <c r="G682" s="213"/>
      <c r="H682" s="213"/>
      <c r="I682" s="213"/>
      <c r="J682" s="216"/>
      <c r="K682" s="216"/>
      <c r="L682" s="216"/>
      <c r="M682" s="216"/>
      <c r="N682" s="216"/>
      <c r="O682" s="216"/>
      <c r="P682" s="216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</row>
    <row r="683" ht="39.75" customHeight="1">
      <c r="A683" s="216"/>
      <c r="B683" s="216"/>
      <c r="C683" s="213"/>
      <c r="D683" s="213"/>
      <c r="E683" s="213"/>
      <c r="F683" s="213"/>
      <c r="G683" s="213"/>
      <c r="H683" s="213"/>
      <c r="I683" s="213"/>
      <c r="J683" s="216"/>
      <c r="K683" s="216"/>
      <c r="L683" s="216"/>
      <c r="M683" s="216"/>
      <c r="N683" s="216"/>
      <c r="O683" s="216"/>
      <c r="P683" s="216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</row>
    <row r="684" ht="39.75" customHeight="1">
      <c r="A684" s="216"/>
      <c r="B684" s="216"/>
      <c r="C684" s="213"/>
      <c r="D684" s="213"/>
      <c r="E684" s="213"/>
      <c r="F684" s="213"/>
      <c r="G684" s="213"/>
      <c r="H684" s="213"/>
      <c r="I684" s="213"/>
      <c r="J684" s="216"/>
      <c r="K684" s="216"/>
      <c r="L684" s="216"/>
      <c r="M684" s="216"/>
      <c r="N684" s="216"/>
      <c r="O684" s="216"/>
      <c r="P684" s="216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</row>
    <row r="685" ht="39.75" customHeight="1">
      <c r="A685" s="216"/>
      <c r="B685" s="216"/>
      <c r="C685" s="213"/>
      <c r="D685" s="213"/>
      <c r="E685" s="213"/>
      <c r="F685" s="213"/>
      <c r="G685" s="213"/>
      <c r="H685" s="213"/>
      <c r="I685" s="213"/>
      <c r="J685" s="216"/>
      <c r="K685" s="216"/>
      <c r="L685" s="216"/>
      <c r="M685" s="216"/>
      <c r="N685" s="216"/>
      <c r="O685" s="216"/>
      <c r="P685" s="216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</row>
    <row r="686" ht="39.75" customHeight="1">
      <c r="A686" s="216"/>
      <c r="B686" s="216"/>
      <c r="C686" s="213"/>
      <c r="D686" s="213"/>
      <c r="E686" s="213"/>
      <c r="F686" s="213"/>
      <c r="G686" s="213"/>
      <c r="H686" s="213"/>
      <c r="I686" s="213"/>
      <c r="J686" s="216"/>
      <c r="K686" s="216"/>
      <c r="L686" s="216"/>
      <c r="M686" s="216"/>
      <c r="N686" s="216"/>
      <c r="O686" s="216"/>
      <c r="P686" s="216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</row>
    <row r="687" ht="39.75" customHeight="1">
      <c r="A687" s="216"/>
      <c r="B687" s="216"/>
      <c r="C687" s="213"/>
      <c r="D687" s="213"/>
      <c r="E687" s="213"/>
      <c r="F687" s="213"/>
      <c r="G687" s="213"/>
      <c r="H687" s="213"/>
      <c r="I687" s="213"/>
      <c r="J687" s="216"/>
      <c r="K687" s="216"/>
      <c r="L687" s="216"/>
      <c r="M687" s="216"/>
      <c r="N687" s="216"/>
      <c r="O687" s="216"/>
      <c r="P687" s="216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</row>
    <row r="688" ht="39.75" customHeight="1">
      <c r="A688" s="216"/>
      <c r="B688" s="216"/>
      <c r="C688" s="213"/>
      <c r="D688" s="213"/>
      <c r="E688" s="213"/>
      <c r="F688" s="213"/>
      <c r="G688" s="213"/>
      <c r="H688" s="213"/>
      <c r="I688" s="213"/>
      <c r="J688" s="216"/>
      <c r="K688" s="216"/>
      <c r="L688" s="216"/>
      <c r="M688" s="216"/>
      <c r="N688" s="216"/>
      <c r="O688" s="216"/>
      <c r="P688" s="216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</row>
    <row r="689" ht="39.75" customHeight="1">
      <c r="A689" s="216"/>
      <c r="B689" s="216"/>
      <c r="C689" s="213"/>
      <c r="D689" s="213"/>
      <c r="E689" s="213"/>
      <c r="F689" s="213"/>
      <c r="G689" s="213"/>
      <c r="H689" s="213"/>
      <c r="I689" s="213"/>
      <c r="J689" s="216"/>
      <c r="K689" s="216"/>
      <c r="L689" s="216"/>
      <c r="M689" s="216"/>
      <c r="N689" s="216"/>
      <c r="O689" s="216"/>
      <c r="P689" s="216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</row>
    <row r="690" ht="39.75" customHeight="1">
      <c r="A690" s="216"/>
      <c r="B690" s="216"/>
      <c r="C690" s="213"/>
      <c r="D690" s="213"/>
      <c r="E690" s="213"/>
      <c r="F690" s="213"/>
      <c r="G690" s="213"/>
      <c r="H690" s="213"/>
      <c r="I690" s="213"/>
      <c r="J690" s="216"/>
      <c r="K690" s="216"/>
      <c r="L690" s="216"/>
      <c r="M690" s="216"/>
      <c r="N690" s="216"/>
      <c r="O690" s="216"/>
      <c r="P690" s="216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</row>
    <row r="691" ht="39.75" customHeight="1">
      <c r="A691" s="216"/>
      <c r="B691" s="216"/>
      <c r="C691" s="213"/>
      <c r="D691" s="213"/>
      <c r="E691" s="213"/>
      <c r="F691" s="213"/>
      <c r="G691" s="213"/>
      <c r="H691" s="213"/>
      <c r="I691" s="213"/>
      <c r="J691" s="216"/>
      <c r="K691" s="216"/>
      <c r="L691" s="216"/>
      <c r="M691" s="216"/>
      <c r="N691" s="216"/>
      <c r="O691" s="216"/>
      <c r="P691" s="216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</row>
    <row r="692" ht="39.75" customHeight="1">
      <c r="A692" s="216"/>
      <c r="B692" s="216"/>
      <c r="C692" s="213"/>
      <c r="D692" s="213"/>
      <c r="E692" s="213"/>
      <c r="F692" s="213"/>
      <c r="G692" s="213"/>
      <c r="H692" s="213"/>
      <c r="I692" s="213"/>
      <c r="J692" s="216"/>
      <c r="K692" s="216"/>
      <c r="L692" s="216"/>
      <c r="M692" s="216"/>
      <c r="N692" s="216"/>
      <c r="O692" s="216"/>
      <c r="P692" s="216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</row>
    <row r="693" ht="39.75" customHeight="1">
      <c r="A693" s="216"/>
      <c r="B693" s="216"/>
      <c r="C693" s="213"/>
      <c r="D693" s="213"/>
      <c r="E693" s="213"/>
      <c r="F693" s="213"/>
      <c r="G693" s="213"/>
      <c r="H693" s="213"/>
      <c r="I693" s="213"/>
      <c r="J693" s="216"/>
      <c r="K693" s="216"/>
      <c r="L693" s="216"/>
      <c r="M693" s="216"/>
      <c r="N693" s="216"/>
      <c r="O693" s="216"/>
      <c r="P693" s="216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</row>
    <row r="694" ht="39.75" customHeight="1">
      <c r="A694" s="216"/>
      <c r="B694" s="216"/>
      <c r="C694" s="213"/>
      <c r="D694" s="213"/>
      <c r="E694" s="213"/>
      <c r="F694" s="213"/>
      <c r="G694" s="213"/>
      <c r="H694" s="213"/>
      <c r="I694" s="213"/>
      <c r="J694" s="216"/>
      <c r="K694" s="216"/>
      <c r="L694" s="216"/>
      <c r="M694" s="216"/>
      <c r="N694" s="216"/>
      <c r="O694" s="216"/>
      <c r="P694" s="216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</row>
    <row r="695" ht="39.75" customHeight="1">
      <c r="A695" s="216"/>
      <c r="B695" s="216"/>
      <c r="C695" s="213"/>
      <c r="D695" s="213"/>
      <c r="E695" s="213"/>
      <c r="F695" s="213"/>
      <c r="G695" s="213"/>
      <c r="H695" s="213"/>
      <c r="I695" s="213"/>
      <c r="J695" s="216"/>
      <c r="K695" s="216"/>
      <c r="L695" s="216"/>
      <c r="M695" s="216"/>
      <c r="N695" s="216"/>
      <c r="O695" s="216"/>
      <c r="P695" s="216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</row>
    <row r="696" ht="39.75" customHeight="1">
      <c r="A696" s="216"/>
      <c r="B696" s="216"/>
      <c r="C696" s="213"/>
      <c r="D696" s="213"/>
      <c r="E696" s="213"/>
      <c r="F696" s="213"/>
      <c r="G696" s="213"/>
      <c r="H696" s="213"/>
      <c r="I696" s="213"/>
      <c r="J696" s="216"/>
      <c r="K696" s="216"/>
      <c r="L696" s="216"/>
      <c r="M696" s="216"/>
      <c r="N696" s="216"/>
      <c r="O696" s="216"/>
      <c r="P696" s="216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</row>
    <row r="697" ht="39.75" customHeight="1">
      <c r="A697" s="216"/>
      <c r="B697" s="216"/>
      <c r="C697" s="213"/>
      <c r="D697" s="213"/>
      <c r="E697" s="213"/>
      <c r="F697" s="213"/>
      <c r="G697" s="213"/>
      <c r="H697" s="213"/>
      <c r="I697" s="213"/>
      <c r="J697" s="216"/>
      <c r="K697" s="216"/>
      <c r="L697" s="216"/>
      <c r="M697" s="216"/>
      <c r="N697" s="216"/>
      <c r="O697" s="216"/>
      <c r="P697" s="216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</row>
    <row r="698" ht="39.75" customHeight="1">
      <c r="A698" s="216"/>
      <c r="B698" s="216"/>
      <c r="C698" s="213"/>
      <c r="D698" s="213"/>
      <c r="E698" s="213"/>
      <c r="F698" s="213"/>
      <c r="G698" s="213"/>
      <c r="H698" s="213"/>
      <c r="I698" s="213"/>
      <c r="J698" s="216"/>
      <c r="K698" s="216"/>
      <c r="L698" s="216"/>
      <c r="M698" s="216"/>
      <c r="N698" s="216"/>
      <c r="O698" s="216"/>
      <c r="P698" s="216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</row>
    <row r="699" ht="39.75" customHeight="1">
      <c r="A699" s="216"/>
      <c r="B699" s="216"/>
      <c r="C699" s="213"/>
      <c r="D699" s="213"/>
      <c r="E699" s="213"/>
      <c r="F699" s="213"/>
      <c r="G699" s="213"/>
      <c r="H699" s="213"/>
      <c r="I699" s="213"/>
      <c r="J699" s="216"/>
      <c r="K699" s="216"/>
      <c r="L699" s="216"/>
      <c r="M699" s="216"/>
      <c r="N699" s="216"/>
      <c r="O699" s="216"/>
      <c r="P699" s="216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</row>
    <row r="700" ht="39.75" customHeight="1">
      <c r="A700" s="216"/>
      <c r="B700" s="216"/>
      <c r="C700" s="213"/>
      <c r="D700" s="213"/>
      <c r="E700" s="213"/>
      <c r="F700" s="213"/>
      <c r="G700" s="213"/>
      <c r="H700" s="213"/>
      <c r="I700" s="213"/>
      <c r="J700" s="216"/>
      <c r="K700" s="216"/>
      <c r="L700" s="216"/>
      <c r="M700" s="216"/>
      <c r="N700" s="216"/>
      <c r="O700" s="216"/>
      <c r="P700" s="216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</row>
    <row r="701" ht="39.75" customHeight="1">
      <c r="A701" s="216"/>
      <c r="B701" s="216"/>
      <c r="C701" s="213"/>
      <c r="D701" s="213"/>
      <c r="E701" s="213"/>
      <c r="F701" s="213"/>
      <c r="G701" s="213"/>
      <c r="H701" s="213"/>
      <c r="I701" s="213"/>
      <c r="J701" s="216"/>
      <c r="K701" s="216"/>
      <c r="L701" s="216"/>
      <c r="M701" s="216"/>
      <c r="N701" s="216"/>
      <c r="O701" s="216"/>
      <c r="P701" s="216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</row>
    <row r="702" ht="39.75" customHeight="1">
      <c r="A702" s="216"/>
      <c r="B702" s="216"/>
      <c r="C702" s="213"/>
      <c r="D702" s="213"/>
      <c r="E702" s="213"/>
      <c r="F702" s="213"/>
      <c r="G702" s="213"/>
      <c r="H702" s="213"/>
      <c r="I702" s="213"/>
      <c r="J702" s="216"/>
      <c r="K702" s="216"/>
      <c r="L702" s="216"/>
      <c r="M702" s="216"/>
      <c r="N702" s="216"/>
      <c r="O702" s="216"/>
      <c r="P702" s="216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</row>
    <row r="703" ht="39.75" customHeight="1">
      <c r="A703" s="216"/>
      <c r="B703" s="216"/>
      <c r="C703" s="213"/>
      <c r="D703" s="213"/>
      <c r="E703" s="213"/>
      <c r="F703" s="213"/>
      <c r="G703" s="213"/>
      <c r="H703" s="213"/>
      <c r="I703" s="213"/>
      <c r="J703" s="216"/>
      <c r="K703" s="216"/>
      <c r="L703" s="216"/>
      <c r="M703" s="216"/>
      <c r="N703" s="216"/>
      <c r="O703" s="216"/>
      <c r="P703" s="216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</row>
    <row r="704" ht="39.75" customHeight="1">
      <c r="A704" s="216"/>
      <c r="B704" s="216"/>
      <c r="C704" s="213"/>
      <c r="D704" s="213"/>
      <c r="E704" s="213"/>
      <c r="F704" s="213"/>
      <c r="G704" s="213"/>
      <c r="H704" s="213"/>
      <c r="I704" s="213"/>
      <c r="J704" s="216"/>
      <c r="K704" s="216"/>
      <c r="L704" s="216"/>
      <c r="M704" s="216"/>
      <c r="N704" s="216"/>
      <c r="O704" s="216"/>
      <c r="P704" s="216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</row>
    <row r="705" ht="39.75" customHeight="1">
      <c r="A705" s="216"/>
      <c r="B705" s="216"/>
      <c r="C705" s="213"/>
      <c r="D705" s="213"/>
      <c r="E705" s="213"/>
      <c r="F705" s="213"/>
      <c r="G705" s="213"/>
      <c r="H705" s="213"/>
      <c r="I705" s="213"/>
      <c r="J705" s="216"/>
      <c r="K705" s="216"/>
      <c r="L705" s="216"/>
      <c r="M705" s="216"/>
      <c r="N705" s="216"/>
      <c r="O705" s="216"/>
      <c r="P705" s="216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</row>
    <row r="706" ht="39.75" customHeight="1">
      <c r="A706" s="216"/>
      <c r="B706" s="216"/>
      <c r="C706" s="213"/>
      <c r="D706" s="213"/>
      <c r="E706" s="213"/>
      <c r="F706" s="213"/>
      <c r="G706" s="213"/>
      <c r="H706" s="213"/>
      <c r="I706" s="213"/>
      <c r="J706" s="216"/>
      <c r="K706" s="216"/>
      <c r="L706" s="216"/>
      <c r="M706" s="216"/>
      <c r="N706" s="216"/>
      <c r="O706" s="216"/>
      <c r="P706" s="216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</row>
    <row r="707" ht="39.75" customHeight="1">
      <c r="A707" s="216"/>
      <c r="B707" s="216"/>
      <c r="C707" s="213"/>
      <c r="D707" s="213"/>
      <c r="E707" s="213"/>
      <c r="F707" s="213"/>
      <c r="G707" s="213"/>
      <c r="H707" s="213"/>
      <c r="I707" s="213"/>
      <c r="J707" s="216"/>
      <c r="K707" s="216"/>
      <c r="L707" s="216"/>
      <c r="M707" s="216"/>
      <c r="N707" s="216"/>
      <c r="O707" s="216"/>
      <c r="P707" s="216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</row>
    <row r="708" ht="39.75" customHeight="1">
      <c r="A708" s="216"/>
      <c r="B708" s="216"/>
      <c r="C708" s="213"/>
      <c r="D708" s="213"/>
      <c r="E708" s="213"/>
      <c r="F708" s="213"/>
      <c r="G708" s="213"/>
      <c r="H708" s="213"/>
      <c r="I708" s="213"/>
      <c r="J708" s="216"/>
      <c r="K708" s="216"/>
      <c r="L708" s="216"/>
      <c r="M708" s="216"/>
      <c r="N708" s="216"/>
      <c r="O708" s="216"/>
      <c r="P708" s="216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</row>
    <row r="709" ht="39.75" customHeight="1">
      <c r="A709" s="216"/>
      <c r="B709" s="216"/>
      <c r="C709" s="213"/>
      <c r="D709" s="213"/>
      <c r="E709" s="213"/>
      <c r="F709" s="213"/>
      <c r="G709" s="213"/>
      <c r="H709" s="213"/>
      <c r="I709" s="213"/>
      <c r="J709" s="216"/>
      <c r="K709" s="216"/>
      <c r="L709" s="216"/>
      <c r="M709" s="216"/>
      <c r="N709" s="216"/>
      <c r="O709" s="216"/>
      <c r="P709" s="216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</row>
    <row r="710" ht="39.75" customHeight="1">
      <c r="A710" s="216"/>
      <c r="B710" s="216"/>
      <c r="C710" s="213"/>
      <c r="D710" s="213"/>
      <c r="E710" s="213"/>
      <c r="F710" s="213"/>
      <c r="G710" s="213"/>
      <c r="H710" s="213"/>
      <c r="I710" s="213"/>
      <c r="J710" s="216"/>
      <c r="K710" s="216"/>
      <c r="L710" s="216"/>
      <c r="M710" s="216"/>
      <c r="N710" s="216"/>
      <c r="O710" s="216"/>
      <c r="P710" s="216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</row>
    <row r="711" ht="39.75" customHeight="1">
      <c r="A711" s="216"/>
      <c r="B711" s="216"/>
      <c r="C711" s="213"/>
      <c r="D711" s="213"/>
      <c r="E711" s="213"/>
      <c r="F711" s="213"/>
      <c r="G711" s="213"/>
      <c r="H711" s="213"/>
      <c r="I711" s="213"/>
      <c r="J711" s="216"/>
      <c r="K711" s="216"/>
      <c r="L711" s="216"/>
      <c r="M711" s="216"/>
      <c r="N711" s="216"/>
      <c r="O711" s="216"/>
      <c r="P711" s="216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</row>
    <row r="712" ht="39.75" customHeight="1">
      <c r="A712" s="216"/>
      <c r="B712" s="216"/>
      <c r="C712" s="213"/>
      <c r="D712" s="213"/>
      <c r="E712" s="213"/>
      <c r="F712" s="213"/>
      <c r="G712" s="213"/>
      <c r="H712" s="213"/>
      <c r="I712" s="213"/>
      <c r="J712" s="216"/>
      <c r="K712" s="216"/>
      <c r="L712" s="216"/>
      <c r="M712" s="216"/>
      <c r="N712" s="216"/>
      <c r="O712" s="216"/>
      <c r="P712" s="216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</row>
    <row r="713" ht="39.75" customHeight="1">
      <c r="A713" s="216"/>
      <c r="B713" s="216"/>
      <c r="C713" s="213"/>
      <c r="D713" s="213"/>
      <c r="E713" s="213"/>
      <c r="F713" s="213"/>
      <c r="G713" s="213"/>
      <c r="H713" s="213"/>
      <c r="I713" s="213"/>
      <c r="J713" s="216"/>
      <c r="K713" s="216"/>
      <c r="L713" s="216"/>
      <c r="M713" s="216"/>
      <c r="N713" s="216"/>
      <c r="O713" s="216"/>
      <c r="P713" s="216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</row>
    <row r="714" ht="39.75" customHeight="1">
      <c r="A714" s="216"/>
      <c r="B714" s="216"/>
      <c r="C714" s="213"/>
      <c r="D714" s="213"/>
      <c r="E714" s="213"/>
      <c r="F714" s="213"/>
      <c r="G714" s="213"/>
      <c r="H714" s="213"/>
      <c r="I714" s="213"/>
      <c r="J714" s="216"/>
      <c r="K714" s="216"/>
      <c r="L714" s="216"/>
      <c r="M714" s="216"/>
      <c r="N714" s="216"/>
      <c r="O714" s="216"/>
      <c r="P714" s="216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</row>
    <row r="715" ht="39.75" customHeight="1">
      <c r="A715" s="216"/>
      <c r="B715" s="216"/>
      <c r="C715" s="213"/>
      <c r="D715" s="213"/>
      <c r="E715" s="213"/>
      <c r="F715" s="213"/>
      <c r="G715" s="213"/>
      <c r="H715" s="213"/>
      <c r="I715" s="213"/>
      <c r="J715" s="216"/>
      <c r="K715" s="216"/>
      <c r="L715" s="216"/>
      <c r="M715" s="216"/>
      <c r="N715" s="216"/>
      <c r="O715" s="216"/>
      <c r="P715" s="216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</row>
    <row r="716" ht="39.75" customHeight="1">
      <c r="A716" s="216"/>
      <c r="B716" s="216"/>
      <c r="C716" s="213"/>
      <c r="D716" s="213"/>
      <c r="E716" s="213"/>
      <c r="F716" s="213"/>
      <c r="G716" s="213"/>
      <c r="H716" s="213"/>
      <c r="I716" s="213"/>
      <c r="J716" s="216"/>
      <c r="K716" s="216"/>
      <c r="L716" s="216"/>
      <c r="M716" s="216"/>
      <c r="N716" s="216"/>
      <c r="O716" s="216"/>
      <c r="P716" s="216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</row>
    <row r="717" ht="39.75" customHeight="1">
      <c r="A717" s="216"/>
      <c r="B717" s="216"/>
      <c r="C717" s="213"/>
      <c r="D717" s="213"/>
      <c r="E717" s="213"/>
      <c r="F717" s="213"/>
      <c r="G717" s="213"/>
      <c r="H717" s="213"/>
      <c r="I717" s="213"/>
      <c r="J717" s="216"/>
      <c r="K717" s="216"/>
      <c r="L717" s="216"/>
      <c r="M717" s="216"/>
      <c r="N717" s="216"/>
      <c r="O717" s="216"/>
      <c r="P717" s="216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</row>
    <row r="718" ht="39.75" customHeight="1">
      <c r="A718" s="216"/>
      <c r="B718" s="216"/>
      <c r="C718" s="213"/>
      <c r="D718" s="213"/>
      <c r="E718" s="213"/>
      <c r="F718" s="213"/>
      <c r="G718" s="213"/>
      <c r="H718" s="213"/>
      <c r="I718" s="213"/>
      <c r="J718" s="216"/>
      <c r="K718" s="216"/>
      <c r="L718" s="216"/>
      <c r="M718" s="216"/>
      <c r="N718" s="216"/>
      <c r="O718" s="216"/>
      <c r="P718" s="216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</row>
    <row r="719" ht="39.75" customHeight="1">
      <c r="A719" s="216"/>
      <c r="B719" s="216"/>
      <c r="C719" s="213"/>
      <c r="D719" s="213"/>
      <c r="E719" s="213"/>
      <c r="F719" s="213"/>
      <c r="G719" s="213"/>
      <c r="H719" s="213"/>
      <c r="I719" s="213"/>
      <c r="J719" s="216"/>
      <c r="K719" s="216"/>
      <c r="L719" s="216"/>
      <c r="M719" s="216"/>
      <c r="N719" s="216"/>
      <c r="O719" s="216"/>
      <c r="P719" s="216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</row>
    <row r="720" ht="39.75" customHeight="1">
      <c r="A720" s="216"/>
      <c r="B720" s="216"/>
      <c r="C720" s="213"/>
      <c r="D720" s="213"/>
      <c r="E720" s="213"/>
      <c r="F720" s="213"/>
      <c r="G720" s="213"/>
      <c r="H720" s="213"/>
      <c r="I720" s="213"/>
      <c r="J720" s="216"/>
      <c r="K720" s="216"/>
      <c r="L720" s="216"/>
      <c r="M720" s="216"/>
      <c r="N720" s="216"/>
      <c r="O720" s="216"/>
      <c r="P720" s="216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</row>
    <row r="721" ht="39.75" customHeight="1">
      <c r="A721" s="216"/>
      <c r="B721" s="216"/>
      <c r="C721" s="213"/>
      <c r="D721" s="213"/>
      <c r="E721" s="213"/>
      <c r="F721" s="213"/>
      <c r="G721" s="213"/>
      <c r="H721" s="213"/>
      <c r="I721" s="213"/>
      <c r="J721" s="216"/>
      <c r="K721" s="216"/>
      <c r="L721" s="216"/>
      <c r="M721" s="216"/>
      <c r="N721" s="216"/>
      <c r="O721" s="216"/>
      <c r="P721" s="216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</row>
    <row r="722" ht="39.75" customHeight="1">
      <c r="A722" s="216"/>
      <c r="B722" s="216"/>
      <c r="C722" s="213"/>
      <c r="D722" s="213"/>
      <c r="E722" s="213"/>
      <c r="F722" s="213"/>
      <c r="G722" s="213"/>
      <c r="H722" s="213"/>
      <c r="I722" s="213"/>
      <c r="J722" s="216"/>
      <c r="K722" s="216"/>
      <c r="L722" s="216"/>
      <c r="M722" s="216"/>
      <c r="N722" s="216"/>
      <c r="O722" s="216"/>
      <c r="P722" s="216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</row>
    <row r="723" ht="39.75" customHeight="1">
      <c r="A723" s="216"/>
      <c r="B723" s="216"/>
      <c r="C723" s="213"/>
      <c r="D723" s="213"/>
      <c r="E723" s="213"/>
      <c r="F723" s="213"/>
      <c r="G723" s="213"/>
      <c r="H723" s="213"/>
      <c r="I723" s="213"/>
      <c r="J723" s="216"/>
      <c r="K723" s="216"/>
      <c r="L723" s="216"/>
      <c r="M723" s="216"/>
      <c r="N723" s="216"/>
      <c r="O723" s="216"/>
      <c r="P723" s="216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</row>
    <row r="724" ht="39.75" customHeight="1">
      <c r="A724" s="216"/>
      <c r="B724" s="216"/>
      <c r="C724" s="213"/>
      <c r="D724" s="213"/>
      <c r="E724" s="213"/>
      <c r="F724" s="213"/>
      <c r="G724" s="213"/>
      <c r="H724" s="213"/>
      <c r="I724" s="213"/>
      <c r="J724" s="216"/>
      <c r="K724" s="216"/>
      <c r="L724" s="216"/>
      <c r="M724" s="216"/>
      <c r="N724" s="216"/>
      <c r="O724" s="216"/>
      <c r="P724" s="216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</row>
    <row r="725" ht="39.75" customHeight="1">
      <c r="A725" s="216"/>
      <c r="B725" s="216"/>
      <c r="C725" s="213"/>
      <c r="D725" s="213"/>
      <c r="E725" s="213"/>
      <c r="F725" s="213"/>
      <c r="G725" s="213"/>
      <c r="H725" s="213"/>
      <c r="I725" s="213"/>
      <c r="J725" s="216"/>
      <c r="K725" s="216"/>
      <c r="L725" s="216"/>
      <c r="M725" s="216"/>
      <c r="N725" s="216"/>
      <c r="O725" s="216"/>
      <c r="P725" s="216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</row>
    <row r="726" ht="39.75" customHeight="1">
      <c r="A726" s="216"/>
      <c r="B726" s="216"/>
      <c r="C726" s="213"/>
      <c r="D726" s="213"/>
      <c r="E726" s="213"/>
      <c r="F726" s="213"/>
      <c r="G726" s="213"/>
      <c r="H726" s="213"/>
      <c r="I726" s="213"/>
      <c r="J726" s="216"/>
      <c r="K726" s="216"/>
      <c r="L726" s="216"/>
      <c r="M726" s="216"/>
      <c r="N726" s="216"/>
      <c r="O726" s="216"/>
      <c r="P726" s="216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</row>
    <row r="727" ht="39.75" customHeight="1">
      <c r="A727" s="216"/>
      <c r="B727" s="216"/>
      <c r="C727" s="213"/>
      <c r="D727" s="213"/>
      <c r="E727" s="213"/>
      <c r="F727" s="213"/>
      <c r="G727" s="213"/>
      <c r="H727" s="213"/>
      <c r="I727" s="213"/>
      <c r="J727" s="216"/>
      <c r="K727" s="216"/>
      <c r="L727" s="216"/>
      <c r="M727" s="216"/>
      <c r="N727" s="216"/>
      <c r="O727" s="216"/>
      <c r="P727" s="216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</row>
    <row r="728" ht="39.75" customHeight="1">
      <c r="A728" s="216"/>
      <c r="B728" s="216"/>
      <c r="C728" s="213"/>
      <c r="D728" s="213"/>
      <c r="E728" s="213"/>
      <c r="F728" s="213"/>
      <c r="G728" s="213"/>
      <c r="H728" s="213"/>
      <c r="I728" s="213"/>
      <c r="J728" s="216"/>
      <c r="K728" s="216"/>
      <c r="L728" s="216"/>
      <c r="M728" s="216"/>
      <c r="N728" s="216"/>
      <c r="O728" s="216"/>
      <c r="P728" s="216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</row>
    <row r="729" ht="39.75" customHeight="1">
      <c r="A729" s="216"/>
      <c r="B729" s="216"/>
      <c r="C729" s="213"/>
      <c r="D729" s="213"/>
      <c r="E729" s="213"/>
      <c r="F729" s="213"/>
      <c r="G729" s="213"/>
      <c r="H729" s="213"/>
      <c r="I729" s="213"/>
      <c r="J729" s="216"/>
      <c r="K729" s="216"/>
      <c r="L729" s="216"/>
      <c r="M729" s="216"/>
      <c r="N729" s="216"/>
      <c r="O729" s="216"/>
      <c r="P729" s="216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</row>
    <row r="730" ht="39.75" customHeight="1">
      <c r="A730" s="216"/>
      <c r="B730" s="216"/>
      <c r="C730" s="213"/>
      <c r="D730" s="213"/>
      <c r="E730" s="213"/>
      <c r="F730" s="213"/>
      <c r="G730" s="213"/>
      <c r="H730" s="213"/>
      <c r="I730" s="213"/>
      <c r="J730" s="216"/>
      <c r="K730" s="216"/>
      <c r="L730" s="216"/>
      <c r="M730" s="216"/>
      <c r="N730" s="216"/>
      <c r="O730" s="216"/>
      <c r="P730" s="216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</row>
    <row r="731" ht="39.75" customHeight="1">
      <c r="A731" s="216"/>
      <c r="B731" s="216"/>
      <c r="C731" s="213"/>
      <c r="D731" s="213"/>
      <c r="E731" s="213"/>
      <c r="F731" s="213"/>
      <c r="G731" s="213"/>
      <c r="H731" s="213"/>
      <c r="I731" s="213"/>
      <c r="J731" s="216"/>
      <c r="K731" s="216"/>
      <c r="L731" s="216"/>
      <c r="M731" s="216"/>
      <c r="N731" s="216"/>
      <c r="O731" s="216"/>
      <c r="P731" s="216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</row>
    <row r="732" ht="39.75" customHeight="1">
      <c r="A732" s="216"/>
      <c r="B732" s="216"/>
      <c r="C732" s="213"/>
      <c r="D732" s="213"/>
      <c r="E732" s="213"/>
      <c r="F732" s="213"/>
      <c r="G732" s="213"/>
      <c r="H732" s="213"/>
      <c r="I732" s="213"/>
      <c r="J732" s="216"/>
      <c r="K732" s="216"/>
      <c r="L732" s="216"/>
      <c r="M732" s="216"/>
      <c r="N732" s="216"/>
      <c r="O732" s="216"/>
      <c r="P732" s="216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</row>
    <row r="733" ht="39.75" customHeight="1">
      <c r="A733" s="216"/>
      <c r="B733" s="216"/>
      <c r="C733" s="213"/>
      <c r="D733" s="213"/>
      <c r="E733" s="213"/>
      <c r="F733" s="213"/>
      <c r="G733" s="213"/>
      <c r="H733" s="213"/>
      <c r="I733" s="213"/>
      <c r="J733" s="216"/>
      <c r="K733" s="216"/>
      <c r="L733" s="216"/>
      <c r="M733" s="216"/>
      <c r="N733" s="216"/>
      <c r="O733" s="216"/>
      <c r="P733" s="216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</row>
    <row r="734" ht="39.75" customHeight="1">
      <c r="A734" s="216"/>
      <c r="B734" s="216"/>
      <c r="C734" s="213"/>
      <c r="D734" s="213"/>
      <c r="E734" s="213"/>
      <c r="F734" s="213"/>
      <c r="G734" s="213"/>
      <c r="H734" s="213"/>
      <c r="I734" s="213"/>
      <c r="J734" s="216"/>
      <c r="K734" s="216"/>
      <c r="L734" s="216"/>
      <c r="M734" s="216"/>
      <c r="N734" s="216"/>
      <c r="O734" s="216"/>
      <c r="P734" s="216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</row>
    <row r="735" ht="39.75" customHeight="1">
      <c r="A735" s="216"/>
      <c r="B735" s="216"/>
      <c r="C735" s="213"/>
      <c r="D735" s="213"/>
      <c r="E735" s="213"/>
      <c r="F735" s="213"/>
      <c r="G735" s="213"/>
      <c r="H735" s="213"/>
      <c r="I735" s="213"/>
      <c r="J735" s="216"/>
      <c r="K735" s="216"/>
      <c r="L735" s="216"/>
      <c r="M735" s="216"/>
      <c r="N735" s="216"/>
      <c r="O735" s="216"/>
      <c r="P735" s="216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</row>
    <row r="736" ht="39.75" customHeight="1">
      <c r="A736" s="216"/>
      <c r="B736" s="216"/>
      <c r="C736" s="213"/>
      <c r="D736" s="213"/>
      <c r="E736" s="213"/>
      <c r="F736" s="213"/>
      <c r="G736" s="213"/>
      <c r="H736" s="213"/>
      <c r="I736" s="213"/>
      <c r="J736" s="216"/>
      <c r="K736" s="216"/>
      <c r="L736" s="216"/>
      <c r="M736" s="216"/>
      <c r="N736" s="216"/>
      <c r="O736" s="216"/>
      <c r="P736" s="216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</row>
    <row r="737" ht="39.75" customHeight="1">
      <c r="A737" s="216"/>
      <c r="B737" s="216"/>
      <c r="C737" s="213"/>
      <c r="D737" s="213"/>
      <c r="E737" s="213"/>
      <c r="F737" s="213"/>
      <c r="G737" s="213"/>
      <c r="H737" s="213"/>
      <c r="I737" s="213"/>
      <c r="J737" s="216"/>
      <c r="K737" s="216"/>
      <c r="L737" s="216"/>
      <c r="M737" s="216"/>
      <c r="N737" s="216"/>
      <c r="O737" s="216"/>
      <c r="P737" s="216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</row>
    <row r="738" ht="39.75" customHeight="1">
      <c r="A738" s="216"/>
      <c r="B738" s="216"/>
      <c r="C738" s="213"/>
      <c r="D738" s="213"/>
      <c r="E738" s="213"/>
      <c r="F738" s="213"/>
      <c r="G738" s="213"/>
      <c r="H738" s="213"/>
      <c r="I738" s="213"/>
      <c r="J738" s="216"/>
      <c r="K738" s="216"/>
      <c r="L738" s="216"/>
      <c r="M738" s="216"/>
      <c r="N738" s="216"/>
      <c r="O738" s="216"/>
      <c r="P738" s="216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</row>
    <row r="739" ht="39.75" customHeight="1">
      <c r="A739" s="216"/>
      <c r="B739" s="216"/>
      <c r="C739" s="213"/>
      <c r="D739" s="213"/>
      <c r="E739" s="213"/>
      <c r="F739" s="213"/>
      <c r="G739" s="213"/>
      <c r="H739" s="213"/>
      <c r="I739" s="213"/>
      <c r="J739" s="216"/>
      <c r="K739" s="216"/>
      <c r="L739" s="216"/>
      <c r="M739" s="216"/>
      <c r="N739" s="216"/>
      <c r="O739" s="216"/>
      <c r="P739" s="216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</row>
    <row r="740" ht="39.75" customHeight="1">
      <c r="A740" s="216"/>
      <c r="B740" s="216"/>
      <c r="C740" s="213"/>
      <c r="D740" s="213"/>
      <c r="E740" s="213"/>
      <c r="F740" s="213"/>
      <c r="G740" s="213"/>
      <c r="H740" s="213"/>
      <c r="I740" s="213"/>
      <c r="J740" s="216"/>
      <c r="K740" s="216"/>
      <c r="L740" s="216"/>
      <c r="M740" s="216"/>
      <c r="N740" s="216"/>
      <c r="O740" s="216"/>
      <c r="P740" s="216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</row>
    <row r="741" ht="39.75" customHeight="1">
      <c r="A741" s="216"/>
      <c r="B741" s="216"/>
      <c r="C741" s="213"/>
      <c r="D741" s="213"/>
      <c r="E741" s="213"/>
      <c r="F741" s="213"/>
      <c r="G741" s="213"/>
      <c r="H741" s="213"/>
      <c r="I741" s="213"/>
      <c r="J741" s="216"/>
      <c r="K741" s="216"/>
      <c r="L741" s="216"/>
      <c r="M741" s="216"/>
      <c r="N741" s="216"/>
      <c r="O741" s="216"/>
      <c r="P741" s="216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</row>
    <row r="742" ht="39.75" customHeight="1">
      <c r="A742" s="216"/>
      <c r="B742" s="216"/>
      <c r="C742" s="213"/>
      <c r="D742" s="213"/>
      <c r="E742" s="213"/>
      <c r="F742" s="213"/>
      <c r="G742" s="213"/>
      <c r="H742" s="213"/>
      <c r="I742" s="213"/>
      <c r="J742" s="216"/>
      <c r="K742" s="216"/>
      <c r="L742" s="216"/>
      <c r="M742" s="216"/>
      <c r="N742" s="216"/>
      <c r="O742" s="216"/>
      <c r="P742" s="216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</row>
    <row r="743" ht="39.75" customHeight="1">
      <c r="A743" s="216"/>
      <c r="B743" s="216"/>
      <c r="C743" s="213"/>
      <c r="D743" s="213"/>
      <c r="E743" s="213"/>
      <c r="F743" s="213"/>
      <c r="G743" s="213"/>
      <c r="H743" s="213"/>
      <c r="I743" s="213"/>
      <c r="J743" s="216"/>
      <c r="K743" s="216"/>
      <c r="L743" s="216"/>
      <c r="M743" s="216"/>
      <c r="N743" s="216"/>
      <c r="O743" s="216"/>
      <c r="P743" s="216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</row>
    <row r="744" ht="39.75" customHeight="1">
      <c r="A744" s="216"/>
      <c r="B744" s="216"/>
      <c r="C744" s="213"/>
      <c r="D744" s="213"/>
      <c r="E744" s="213"/>
      <c r="F744" s="213"/>
      <c r="G744" s="213"/>
      <c r="H744" s="213"/>
      <c r="I744" s="213"/>
      <c r="J744" s="216"/>
      <c r="K744" s="216"/>
      <c r="L744" s="216"/>
      <c r="M744" s="216"/>
      <c r="N744" s="216"/>
      <c r="O744" s="216"/>
      <c r="P744" s="216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</row>
    <row r="745" ht="39.75" customHeight="1">
      <c r="A745" s="216"/>
      <c r="B745" s="216"/>
      <c r="C745" s="213"/>
      <c r="D745" s="213"/>
      <c r="E745" s="213"/>
      <c r="F745" s="213"/>
      <c r="G745" s="213"/>
      <c r="H745" s="213"/>
      <c r="I745" s="213"/>
      <c r="J745" s="216"/>
      <c r="K745" s="216"/>
      <c r="L745" s="216"/>
      <c r="M745" s="216"/>
      <c r="N745" s="216"/>
      <c r="O745" s="216"/>
      <c r="P745" s="216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</row>
    <row r="746" ht="39.75" customHeight="1">
      <c r="A746" s="216"/>
      <c r="B746" s="216"/>
      <c r="C746" s="213"/>
      <c r="D746" s="213"/>
      <c r="E746" s="213"/>
      <c r="F746" s="213"/>
      <c r="G746" s="213"/>
      <c r="H746" s="213"/>
      <c r="I746" s="213"/>
      <c r="J746" s="216"/>
      <c r="K746" s="216"/>
      <c r="L746" s="216"/>
      <c r="M746" s="216"/>
      <c r="N746" s="216"/>
      <c r="O746" s="216"/>
      <c r="P746" s="216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</row>
    <row r="747" ht="39.75" customHeight="1">
      <c r="A747" s="216"/>
      <c r="B747" s="216"/>
      <c r="C747" s="213"/>
      <c r="D747" s="213"/>
      <c r="E747" s="213"/>
      <c r="F747" s="213"/>
      <c r="G747" s="213"/>
      <c r="H747" s="213"/>
      <c r="I747" s="213"/>
      <c r="J747" s="216"/>
      <c r="K747" s="216"/>
      <c r="L747" s="216"/>
      <c r="M747" s="216"/>
      <c r="N747" s="216"/>
      <c r="O747" s="216"/>
      <c r="P747" s="216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</row>
    <row r="748" ht="39.75" customHeight="1">
      <c r="A748" s="216"/>
      <c r="B748" s="216"/>
      <c r="C748" s="213"/>
      <c r="D748" s="213"/>
      <c r="E748" s="213"/>
      <c r="F748" s="213"/>
      <c r="G748" s="213"/>
      <c r="H748" s="213"/>
      <c r="I748" s="213"/>
      <c r="J748" s="216"/>
      <c r="K748" s="216"/>
      <c r="L748" s="216"/>
      <c r="M748" s="216"/>
      <c r="N748" s="216"/>
      <c r="O748" s="216"/>
      <c r="P748" s="216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</row>
    <row r="749" ht="39.75" customHeight="1">
      <c r="A749" s="216"/>
      <c r="B749" s="216"/>
      <c r="C749" s="213"/>
      <c r="D749" s="213"/>
      <c r="E749" s="213"/>
      <c r="F749" s="213"/>
      <c r="G749" s="213"/>
      <c r="H749" s="213"/>
      <c r="I749" s="213"/>
      <c r="J749" s="216"/>
      <c r="K749" s="216"/>
      <c r="L749" s="216"/>
      <c r="M749" s="216"/>
      <c r="N749" s="216"/>
      <c r="O749" s="216"/>
      <c r="P749" s="216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</row>
    <row r="750" ht="39.75" customHeight="1">
      <c r="A750" s="216"/>
      <c r="B750" s="216"/>
      <c r="C750" s="213"/>
      <c r="D750" s="213"/>
      <c r="E750" s="213"/>
      <c r="F750" s="213"/>
      <c r="G750" s="213"/>
      <c r="H750" s="213"/>
      <c r="I750" s="213"/>
      <c r="J750" s="216"/>
      <c r="K750" s="216"/>
      <c r="L750" s="216"/>
      <c r="M750" s="216"/>
      <c r="N750" s="216"/>
      <c r="O750" s="216"/>
      <c r="P750" s="216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</row>
    <row r="751" ht="39.75" customHeight="1">
      <c r="A751" s="216"/>
      <c r="B751" s="216"/>
      <c r="C751" s="213"/>
      <c r="D751" s="213"/>
      <c r="E751" s="213"/>
      <c r="F751" s="213"/>
      <c r="G751" s="213"/>
      <c r="H751" s="213"/>
      <c r="I751" s="213"/>
      <c r="J751" s="216"/>
      <c r="K751" s="216"/>
      <c r="L751" s="216"/>
      <c r="M751" s="216"/>
      <c r="N751" s="216"/>
      <c r="O751" s="216"/>
      <c r="P751" s="216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</row>
    <row r="752" ht="39.75" customHeight="1">
      <c r="A752" s="216"/>
      <c r="B752" s="216"/>
      <c r="C752" s="213"/>
      <c r="D752" s="213"/>
      <c r="E752" s="213"/>
      <c r="F752" s="213"/>
      <c r="G752" s="213"/>
      <c r="H752" s="213"/>
      <c r="I752" s="213"/>
      <c r="J752" s="216"/>
      <c r="K752" s="216"/>
      <c r="L752" s="216"/>
      <c r="M752" s="216"/>
      <c r="N752" s="216"/>
      <c r="O752" s="216"/>
      <c r="P752" s="216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</row>
    <row r="753" ht="39.75" customHeight="1">
      <c r="A753" s="216"/>
      <c r="B753" s="216"/>
      <c r="C753" s="213"/>
      <c r="D753" s="213"/>
      <c r="E753" s="213"/>
      <c r="F753" s="213"/>
      <c r="G753" s="213"/>
      <c r="H753" s="213"/>
      <c r="I753" s="213"/>
      <c r="J753" s="216"/>
      <c r="K753" s="216"/>
      <c r="L753" s="216"/>
      <c r="M753" s="216"/>
      <c r="N753" s="216"/>
      <c r="O753" s="216"/>
      <c r="P753" s="216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</row>
    <row r="754" ht="39.75" customHeight="1">
      <c r="A754" s="216"/>
      <c r="B754" s="216"/>
      <c r="C754" s="213"/>
      <c r="D754" s="213"/>
      <c r="E754" s="213"/>
      <c r="F754" s="213"/>
      <c r="G754" s="213"/>
      <c r="H754" s="213"/>
      <c r="I754" s="213"/>
      <c r="J754" s="216"/>
      <c r="K754" s="216"/>
      <c r="L754" s="216"/>
      <c r="M754" s="216"/>
      <c r="N754" s="216"/>
      <c r="O754" s="216"/>
      <c r="P754" s="216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</row>
    <row r="755" ht="39.75" customHeight="1">
      <c r="A755" s="216"/>
      <c r="B755" s="216"/>
      <c r="C755" s="213"/>
      <c r="D755" s="213"/>
      <c r="E755" s="213"/>
      <c r="F755" s="213"/>
      <c r="G755" s="213"/>
      <c r="H755" s="213"/>
      <c r="I755" s="213"/>
      <c r="J755" s="216"/>
      <c r="K755" s="216"/>
      <c r="L755" s="216"/>
      <c r="M755" s="216"/>
      <c r="N755" s="216"/>
      <c r="O755" s="216"/>
      <c r="P755" s="216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</row>
    <row r="756" ht="39.75" customHeight="1">
      <c r="A756" s="216"/>
      <c r="B756" s="216"/>
      <c r="C756" s="213"/>
      <c r="D756" s="213"/>
      <c r="E756" s="213"/>
      <c r="F756" s="213"/>
      <c r="G756" s="213"/>
      <c r="H756" s="213"/>
      <c r="I756" s="213"/>
      <c r="J756" s="216"/>
      <c r="K756" s="216"/>
      <c r="L756" s="216"/>
      <c r="M756" s="216"/>
      <c r="N756" s="216"/>
      <c r="O756" s="216"/>
      <c r="P756" s="216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</row>
    <row r="757" ht="39.75" customHeight="1">
      <c r="A757" s="216"/>
      <c r="B757" s="216"/>
      <c r="C757" s="213"/>
      <c r="D757" s="213"/>
      <c r="E757" s="213"/>
      <c r="F757" s="213"/>
      <c r="G757" s="213"/>
      <c r="H757" s="213"/>
      <c r="I757" s="213"/>
      <c r="J757" s="216"/>
      <c r="K757" s="216"/>
      <c r="L757" s="216"/>
      <c r="M757" s="216"/>
      <c r="N757" s="216"/>
      <c r="O757" s="216"/>
      <c r="P757" s="216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</row>
    <row r="758" ht="39.75" customHeight="1">
      <c r="A758" s="216"/>
      <c r="B758" s="216"/>
      <c r="C758" s="213"/>
      <c r="D758" s="213"/>
      <c r="E758" s="213"/>
      <c r="F758" s="213"/>
      <c r="G758" s="213"/>
      <c r="H758" s="213"/>
      <c r="I758" s="213"/>
      <c r="J758" s="216"/>
      <c r="K758" s="216"/>
      <c r="L758" s="216"/>
      <c r="M758" s="216"/>
      <c r="N758" s="216"/>
      <c r="O758" s="216"/>
      <c r="P758" s="216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</row>
    <row r="759" ht="39.75" customHeight="1">
      <c r="A759" s="216"/>
      <c r="B759" s="216"/>
      <c r="C759" s="213"/>
      <c r="D759" s="213"/>
      <c r="E759" s="213"/>
      <c r="F759" s="213"/>
      <c r="G759" s="213"/>
      <c r="H759" s="213"/>
      <c r="I759" s="213"/>
      <c r="J759" s="216"/>
      <c r="K759" s="216"/>
      <c r="L759" s="216"/>
      <c r="M759" s="216"/>
      <c r="N759" s="216"/>
      <c r="O759" s="216"/>
      <c r="P759" s="216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</row>
    <row r="760" ht="39.75" customHeight="1">
      <c r="A760" s="216"/>
      <c r="B760" s="216"/>
      <c r="C760" s="213"/>
      <c r="D760" s="213"/>
      <c r="E760" s="213"/>
      <c r="F760" s="213"/>
      <c r="G760" s="213"/>
      <c r="H760" s="213"/>
      <c r="I760" s="213"/>
      <c r="J760" s="216"/>
      <c r="K760" s="216"/>
      <c r="L760" s="216"/>
      <c r="M760" s="216"/>
      <c r="N760" s="216"/>
      <c r="O760" s="216"/>
      <c r="P760" s="216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</row>
    <row r="761" ht="39.75" customHeight="1">
      <c r="A761" s="216"/>
      <c r="B761" s="216"/>
      <c r="C761" s="213"/>
      <c r="D761" s="213"/>
      <c r="E761" s="213"/>
      <c r="F761" s="213"/>
      <c r="G761" s="213"/>
      <c r="H761" s="213"/>
      <c r="I761" s="213"/>
      <c r="J761" s="216"/>
      <c r="K761" s="216"/>
      <c r="L761" s="216"/>
      <c r="M761" s="216"/>
      <c r="N761" s="216"/>
      <c r="O761" s="216"/>
      <c r="P761" s="216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</row>
    <row r="762" ht="39.75" customHeight="1">
      <c r="A762" s="216"/>
      <c r="B762" s="216"/>
      <c r="C762" s="213"/>
      <c r="D762" s="213"/>
      <c r="E762" s="213"/>
      <c r="F762" s="213"/>
      <c r="G762" s="213"/>
      <c r="H762" s="213"/>
      <c r="I762" s="213"/>
      <c r="J762" s="216"/>
      <c r="K762" s="216"/>
      <c r="L762" s="216"/>
      <c r="M762" s="216"/>
      <c r="N762" s="216"/>
      <c r="O762" s="216"/>
      <c r="P762" s="216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</row>
    <row r="763" ht="39.75" customHeight="1">
      <c r="A763" s="216"/>
      <c r="B763" s="216"/>
      <c r="C763" s="213"/>
      <c r="D763" s="213"/>
      <c r="E763" s="213"/>
      <c r="F763" s="213"/>
      <c r="G763" s="213"/>
      <c r="H763" s="213"/>
      <c r="I763" s="213"/>
      <c r="J763" s="216"/>
      <c r="K763" s="216"/>
      <c r="L763" s="216"/>
      <c r="M763" s="216"/>
      <c r="N763" s="216"/>
      <c r="O763" s="216"/>
      <c r="P763" s="216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</row>
    <row r="764" ht="39.75" customHeight="1">
      <c r="A764" s="216"/>
      <c r="B764" s="216"/>
      <c r="C764" s="213"/>
      <c r="D764" s="213"/>
      <c r="E764" s="213"/>
      <c r="F764" s="213"/>
      <c r="G764" s="213"/>
      <c r="H764" s="213"/>
      <c r="I764" s="213"/>
      <c r="J764" s="216"/>
      <c r="K764" s="216"/>
      <c r="L764" s="216"/>
      <c r="M764" s="216"/>
      <c r="N764" s="216"/>
      <c r="O764" s="216"/>
      <c r="P764" s="216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</row>
    <row r="765" ht="39.75" customHeight="1">
      <c r="A765" s="216"/>
      <c r="B765" s="216"/>
      <c r="C765" s="213"/>
      <c r="D765" s="213"/>
      <c r="E765" s="213"/>
      <c r="F765" s="213"/>
      <c r="G765" s="213"/>
      <c r="H765" s="213"/>
      <c r="I765" s="213"/>
      <c r="J765" s="216"/>
      <c r="K765" s="216"/>
      <c r="L765" s="216"/>
      <c r="M765" s="216"/>
      <c r="N765" s="216"/>
      <c r="O765" s="216"/>
      <c r="P765" s="216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</row>
    <row r="766" ht="39.75" customHeight="1">
      <c r="A766" s="216"/>
      <c r="B766" s="216"/>
      <c r="C766" s="213"/>
      <c r="D766" s="213"/>
      <c r="E766" s="213"/>
      <c r="F766" s="213"/>
      <c r="G766" s="213"/>
      <c r="H766" s="213"/>
      <c r="I766" s="213"/>
      <c r="J766" s="216"/>
      <c r="K766" s="216"/>
      <c r="L766" s="216"/>
      <c r="M766" s="216"/>
      <c r="N766" s="216"/>
      <c r="O766" s="216"/>
      <c r="P766" s="216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</row>
    <row r="767" ht="39.75" customHeight="1">
      <c r="A767" s="216"/>
      <c r="B767" s="216"/>
      <c r="C767" s="213"/>
      <c r="D767" s="213"/>
      <c r="E767" s="213"/>
      <c r="F767" s="213"/>
      <c r="G767" s="213"/>
      <c r="H767" s="213"/>
      <c r="I767" s="213"/>
      <c r="J767" s="216"/>
      <c r="K767" s="216"/>
      <c r="L767" s="216"/>
      <c r="M767" s="216"/>
      <c r="N767" s="216"/>
      <c r="O767" s="216"/>
      <c r="P767" s="216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</row>
    <row r="768" ht="39.75" customHeight="1">
      <c r="A768" s="216"/>
      <c r="B768" s="216"/>
      <c r="C768" s="213"/>
      <c r="D768" s="213"/>
      <c r="E768" s="213"/>
      <c r="F768" s="213"/>
      <c r="G768" s="213"/>
      <c r="H768" s="213"/>
      <c r="I768" s="213"/>
      <c r="J768" s="216"/>
      <c r="K768" s="216"/>
      <c r="L768" s="216"/>
      <c r="M768" s="216"/>
      <c r="N768" s="216"/>
      <c r="O768" s="216"/>
      <c r="P768" s="216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</row>
    <row r="769" ht="39.75" customHeight="1">
      <c r="A769" s="216"/>
      <c r="B769" s="216"/>
      <c r="C769" s="213"/>
      <c r="D769" s="213"/>
      <c r="E769" s="213"/>
      <c r="F769" s="213"/>
      <c r="G769" s="213"/>
      <c r="H769" s="213"/>
      <c r="I769" s="213"/>
      <c r="J769" s="216"/>
      <c r="K769" s="216"/>
      <c r="L769" s="216"/>
      <c r="M769" s="216"/>
      <c r="N769" s="216"/>
      <c r="O769" s="216"/>
      <c r="P769" s="216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</row>
    <row r="770" ht="39.75" customHeight="1">
      <c r="A770" s="216"/>
      <c r="B770" s="216"/>
      <c r="C770" s="213"/>
      <c r="D770" s="213"/>
      <c r="E770" s="213"/>
      <c r="F770" s="213"/>
      <c r="G770" s="213"/>
      <c r="H770" s="213"/>
      <c r="I770" s="213"/>
      <c r="J770" s="216"/>
      <c r="K770" s="216"/>
      <c r="L770" s="216"/>
      <c r="M770" s="216"/>
      <c r="N770" s="216"/>
      <c r="O770" s="216"/>
      <c r="P770" s="216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</row>
    <row r="771" ht="39.75" customHeight="1">
      <c r="A771" s="216"/>
      <c r="B771" s="216"/>
      <c r="C771" s="213"/>
      <c r="D771" s="213"/>
      <c r="E771" s="213"/>
      <c r="F771" s="213"/>
      <c r="G771" s="213"/>
      <c r="H771" s="213"/>
      <c r="I771" s="213"/>
      <c r="J771" s="216"/>
      <c r="K771" s="216"/>
      <c r="L771" s="216"/>
      <c r="M771" s="216"/>
      <c r="N771" s="216"/>
      <c r="O771" s="216"/>
      <c r="P771" s="216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</row>
    <row r="772" ht="39.75" customHeight="1">
      <c r="A772" s="216"/>
      <c r="B772" s="216"/>
      <c r="C772" s="213"/>
      <c r="D772" s="213"/>
      <c r="E772" s="213"/>
      <c r="F772" s="213"/>
      <c r="G772" s="213"/>
      <c r="H772" s="213"/>
      <c r="I772" s="213"/>
      <c r="J772" s="216"/>
      <c r="K772" s="216"/>
      <c r="L772" s="216"/>
      <c r="M772" s="216"/>
      <c r="N772" s="216"/>
      <c r="O772" s="216"/>
      <c r="P772" s="216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</row>
    <row r="773" ht="39.75" customHeight="1">
      <c r="A773" s="216"/>
      <c r="B773" s="216"/>
      <c r="C773" s="213"/>
      <c r="D773" s="213"/>
      <c r="E773" s="213"/>
      <c r="F773" s="213"/>
      <c r="G773" s="213"/>
      <c r="H773" s="213"/>
      <c r="I773" s="213"/>
      <c r="J773" s="216"/>
      <c r="K773" s="216"/>
      <c r="L773" s="216"/>
      <c r="M773" s="216"/>
      <c r="N773" s="216"/>
      <c r="O773" s="216"/>
      <c r="P773" s="216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</row>
    <row r="774" ht="39.75" customHeight="1">
      <c r="A774" s="216"/>
      <c r="B774" s="216"/>
      <c r="C774" s="213"/>
      <c r="D774" s="213"/>
      <c r="E774" s="213"/>
      <c r="F774" s="213"/>
      <c r="G774" s="213"/>
      <c r="H774" s="213"/>
      <c r="I774" s="213"/>
      <c r="J774" s="216"/>
      <c r="K774" s="216"/>
      <c r="L774" s="216"/>
      <c r="M774" s="216"/>
      <c r="N774" s="216"/>
      <c r="O774" s="216"/>
      <c r="P774" s="216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</row>
    <row r="775" ht="39.75" customHeight="1">
      <c r="A775" s="216"/>
      <c r="B775" s="216"/>
      <c r="C775" s="213"/>
      <c r="D775" s="213"/>
      <c r="E775" s="213"/>
      <c r="F775" s="213"/>
      <c r="G775" s="213"/>
      <c r="H775" s="213"/>
      <c r="I775" s="213"/>
      <c r="J775" s="216"/>
      <c r="K775" s="216"/>
      <c r="L775" s="216"/>
      <c r="M775" s="216"/>
      <c r="N775" s="216"/>
      <c r="O775" s="216"/>
      <c r="P775" s="216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</row>
    <row r="776" ht="39.75" customHeight="1">
      <c r="A776" s="216"/>
      <c r="B776" s="216"/>
      <c r="C776" s="213"/>
      <c r="D776" s="213"/>
      <c r="E776" s="213"/>
      <c r="F776" s="213"/>
      <c r="G776" s="213"/>
      <c r="H776" s="213"/>
      <c r="I776" s="213"/>
      <c r="J776" s="216"/>
      <c r="K776" s="216"/>
      <c r="L776" s="216"/>
      <c r="M776" s="216"/>
      <c r="N776" s="216"/>
      <c r="O776" s="216"/>
      <c r="P776" s="216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</row>
    <row r="777" ht="39.75" customHeight="1">
      <c r="A777" s="216"/>
      <c r="B777" s="216"/>
      <c r="C777" s="213"/>
      <c r="D777" s="213"/>
      <c r="E777" s="213"/>
      <c r="F777" s="213"/>
      <c r="G777" s="213"/>
      <c r="H777" s="213"/>
      <c r="I777" s="213"/>
      <c r="J777" s="216"/>
      <c r="K777" s="216"/>
      <c r="L777" s="216"/>
      <c r="M777" s="216"/>
      <c r="N777" s="216"/>
      <c r="O777" s="216"/>
      <c r="P777" s="216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</row>
    <row r="778" ht="39.75" customHeight="1">
      <c r="A778" s="216"/>
      <c r="B778" s="216"/>
      <c r="C778" s="213"/>
      <c r="D778" s="213"/>
      <c r="E778" s="213"/>
      <c r="F778" s="213"/>
      <c r="G778" s="213"/>
      <c r="H778" s="213"/>
      <c r="I778" s="213"/>
      <c r="J778" s="216"/>
      <c r="K778" s="216"/>
      <c r="L778" s="216"/>
      <c r="M778" s="216"/>
      <c r="N778" s="216"/>
      <c r="O778" s="216"/>
      <c r="P778" s="216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</row>
    <row r="779" ht="39.75" customHeight="1">
      <c r="A779" s="216"/>
      <c r="B779" s="216"/>
      <c r="C779" s="213"/>
      <c r="D779" s="213"/>
      <c r="E779" s="213"/>
      <c r="F779" s="213"/>
      <c r="G779" s="213"/>
      <c r="H779" s="213"/>
      <c r="I779" s="213"/>
      <c r="J779" s="216"/>
      <c r="K779" s="216"/>
      <c r="L779" s="216"/>
      <c r="M779" s="216"/>
      <c r="N779" s="216"/>
      <c r="O779" s="216"/>
      <c r="P779" s="216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</row>
    <row r="780" ht="39.75" customHeight="1">
      <c r="A780" s="216"/>
      <c r="B780" s="216"/>
      <c r="C780" s="213"/>
      <c r="D780" s="213"/>
      <c r="E780" s="213"/>
      <c r="F780" s="213"/>
      <c r="G780" s="213"/>
      <c r="H780" s="213"/>
      <c r="I780" s="213"/>
      <c r="J780" s="216"/>
      <c r="K780" s="216"/>
      <c r="L780" s="216"/>
      <c r="M780" s="216"/>
      <c r="N780" s="216"/>
      <c r="O780" s="216"/>
      <c r="P780" s="216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</row>
    <row r="781" ht="39.75" customHeight="1">
      <c r="A781" s="216"/>
      <c r="B781" s="216"/>
      <c r="C781" s="213"/>
      <c r="D781" s="213"/>
      <c r="E781" s="213"/>
      <c r="F781" s="213"/>
      <c r="G781" s="213"/>
      <c r="H781" s="213"/>
      <c r="I781" s="213"/>
      <c r="J781" s="216"/>
      <c r="K781" s="216"/>
      <c r="L781" s="216"/>
      <c r="M781" s="216"/>
      <c r="N781" s="216"/>
      <c r="O781" s="216"/>
      <c r="P781" s="216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</row>
    <row r="782" ht="39.75" customHeight="1">
      <c r="A782" s="216"/>
      <c r="B782" s="216"/>
      <c r="C782" s="213"/>
      <c r="D782" s="213"/>
      <c r="E782" s="213"/>
      <c r="F782" s="213"/>
      <c r="G782" s="213"/>
      <c r="H782" s="213"/>
      <c r="I782" s="213"/>
      <c r="J782" s="216"/>
      <c r="K782" s="216"/>
      <c r="L782" s="216"/>
      <c r="M782" s="216"/>
      <c r="N782" s="216"/>
      <c r="O782" s="216"/>
      <c r="P782" s="216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</row>
    <row r="783" ht="39.75" customHeight="1">
      <c r="A783" s="216"/>
      <c r="B783" s="216"/>
      <c r="C783" s="213"/>
      <c r="D783" s="213"/>
      <c r="E783" s="213"/>
      <c r="F783" s="213"/>
      <c r="G783" s="213"/>
      <c r="H783" s="213"/>
      <c r="I783" s="213"/>
      <c r="J783" s="216"/>
      <c r="K783" s="216"/>
      <c r="L783" s="216"/>
      <c r="M783" s="216"/>
      <c r="N783" s="216"/>
      <c r="O783" s="216"/>
      <c r="P783" s="216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</row>
    <row r="784" ht="39.75" customHeight="1">
      <c r="A784" s="216"/>
      <c r="B784" s="216"/>
      <c r="C784" s="213"/>
      <c r="D784" s="213"/>
      <c r="E784" s="213"/>
      <c r="F784" s="213"/>
      <c r="G784" s="213"/>
      <c r="H784" s="213"/>
      <c r="I784" s="213"/>
      <c r="J784" s="216"/>
      <c r="K784" s="216"/>
      <c r="L784" s="216"/>
      <c r="M784" s="216"/>
      <c r="N784" s="216"/>
      <c r="O784" s="216"/>
      <c r="P784" s="216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</row>
    <row r="785" ht="39.75" customHeight="1">
      <c r="A785" s="216"/>
      <c r="B785" s="216"/>
      <c r="C785" s="213"/>
      <c r="D785" s="213"/>
      <c r="E785" s="213"/>
      <c r="F785" s="213"/>
      <c r="G785" s="213"/>
      <c r="H785" s="213"/>
      <c r="I785" s="213"/>
      <c r="J785" s="216"/>
      <c r="K785" s="216"/>
      <c r="L785" s="216"/>
      <c r="M785" s="216"/>
      <c r="N785" s="216"/>
      <c r="O785" s="216"/>
      <c r="P785" s="216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</row>
    <row r="786" ht="39.75" customHeight="1">
      <c r="A786" s="216"/>
      <c r="B786" s="216"/>
      <c r="C786" s="213"/>
      <c r="D786" s="213"/>
      <c r="E786" s="213"/>
      <c r="F786" s="213"/>
      <c r="G786" s="213"/>
      <c r="H786" s="213"/>
      <c r="I786" s="213"/>
      <c r="J786" s="216"/>
      <c r="K786" s="216"/>
      <c r="L786" s="216"/>
      <c r="M786" s="216"/>
      <c r="N786" s="216"/>
      <c r="O786" s="216"/>
      <c r="P786" s="216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</row>
    <row r="787" ht="39.75" customHeight="1">
      <c r="A787" s="216"/>
      <c r="B787" s="216"/>
      <c r="C787" s="213"/>
      <c r="D787" s="213"/>
      <c r="E787" s="213"/>
      <c r="F787" s="213"/>
      <c r="G787" s="213"/>
      <c r="H787" s="213"/>
      <c r="I787" s="213"/>
      <c r="J787" s="216"/>
      <c r="K787" s="216"/>
      <c r="L787" s="216"/>
      <c r="M787" s="216"/>
      <c r="N787" s="216"/>
      <c r="O787" s="216"/>
      <c r="P787" s="216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</row>
    <row r="788" ht="39.75" customHeight="1">
      <c r="A788" s="216"/>
      <c r="B788" s="216"/>
      <c r="C788" s="213"/>
      <c r="D788" s="213"/>
      <c r="E788" s="213"/>
      <c r="F788" s="213"/>
      <c r="G788" s="213"/>
      <c r="H788" s="213"/>
      <c r="I788" s="213"/>
      <c r="J788" s="216"/>
      <c r="K788" s="216"/>
      <c r="L788" s="216"/>
      <c r="M788" s="216"/>
      <c r="N788" s="216"/>
      <c r="O788" s="216"/>
      <c r="P788" s="216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</row>
    <row r="789" ht="39.75" customHeight="1">
      <c r="A789" s="216"/>
      <c r="B789" s="216"/>
      <c r="C789" s="213"/>
      <c r="D789" s="213"/>
      <c r="E789" s="213"/>
      <c r="F789" s="213"/>
      <c r="G789" s="213"/>
      <c r="H789" s="213"/>
      <c r="I789" s="213"/>
      <c r="J789" s="216"/>
      <c r="K789" s="216"/>
      <c r="L789" s="216"/>
      <c r="M789" s="216"/>
      <c r="N789" s="216"/>
      <c r="O789" s="216"/>
      <c r="P789" s="216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</row>
    <row r="790" ht="39.75" customHeight="1">
      <c r="A790" s="216"/>
      <c r="B790" s="216"/>
      <c r="C790" s="213"/>
      <c r="D790" s="213"/>
      <c r="E790" s="213"/>
      <c r="F790" s="213"/>
      <c r="G790" s="213"/>
      <c r="H790" s="213"/>
      <c r="I790" s="213"/>
      <c r="J790" s="216"/>
      <c r="K790" s="216"/>
      <c r="L790" s="216"/>
      <c r="M790" s="216"/>
      <c r="N790" s="216"/>
      <c r="O790" s="216"/>
      <c r="P790" s="216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</row>
    <row r="791" ht="39.75" customHeight="1">
      <c r="A791" s="216"/>
      <c r="B791" s="216"/>
      <c r="C791" s="213"/>
      <c r="D791" s="213"/>
      <c r="E791" s="213"/>
      <c r="F791" s="213"/>
      <c r="G791" s="213"/>
      <c r="H791" s="213"/>
      <c r="I791" s="213"/>
      <c r="J791" s="216"/>
      <c r="K791" s="216"/>
      <c r="L791" s="216"/>
      <c r="M791" s="216"/>
      <c r="N791" s="216"/>
      <c r="O791" s="216"/>
      <c r="P791" s="216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</row>
    <row r="792" ht="39.75" customHeight="1">
      <c r="A792" s="216"/>
      <c r="B792" s="216"/>
      <c r="C792" s="213"/>
      <c r="D792" s="213"/>
      <c r="E792" s="213"/>
      <c r="F792" s="213"/>
      <c r="G792" s="213"/>
      <c r="H792" s="213"/>
      <c r="I792" s="213"/>
      <c r="J792" s="216"/>
      <c r="K792" s="216"/>
      <c r="L792" s="216"/>
      <c r="M792" s="216"/>
      <c r="N792" s="216"/>
      <c r="O792" s="216"/>
      <c r="P792" s="216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</row>
    <row r="793" ht="39.75" customHeight="1">
      <c r="A793" s="216"/>
      <c r="B793" s="216"/>
      <c r="C793" s="213"/>
      <c r="D793" s="213"/>
      <c r="E793" s="213"/>
      <c r="F793" s="213"/>
      <c r="G793" s="213"/>
      <c r="H793" s="213"/>
      <c r="I793" s="213"/>
      <c r="J793" s="216"/>
      <c r="K793" s="216"/>
      <c r="L793" s="216"/>
      <c r="M793" s="216"/>
      <c r="N793" s="216"/>
      <c r="O793" s="216"/>
      <c r="P793" s="216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</row>
    <row r="794" ht="39.75" customHeight="1">
      <c r="A794" s="216"/>
      <c r="B794" s="216"/>
      <c r="C794" s="213"/>
      <c r="D794" s="213"/>
      <c r="E794" s="213"/>
      <c r="F794" s="213"/>
      <c r="G794" s="213"/>
      <c r="H794" s="213"/>
      <c r="I794" s="213"/>
      <c r="J794" s="216"/>
      <c r="K794" s="216"/>
      <c r="L794" s="216"/>
      <c r="M794" s="216"/>
      <c r="N794" s="216"/>
      <c r="O794" s="216"/>
      <c r="P794" s="216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</row>
    <row r="795" ht="39.75" customHeight="1">
      <c r="A795" s="216"/>
      <c r="B795" s="216"/>
      <c r="C795" s="213"/>
      <c r="D795" s="213"/>
      <c r="E795" s="213"/>
      <c r="F795" s="213"/>
      <c r="G795" s="213"/>
      <c r="H795" s="213"/>
      <c r="I795" s="213"/>
      <c r="J795" s="216"/>
      <c r="K795" s="216"/>
      <c r="L795" s="216"/>
      <c r="M795" s="216"/>
      <c r="N795" s="216"/>
      <c r="O795" s="216"/>
      <c r="P795" s="216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</row>
    <row r="796" ht="39.75" customHeight="1">
      <c r="A796" s="216"/>
      <c r="B796" s="216"/>
      <c r="C796" s="213"/>
      <c r="D796" s="213"/>
      <c r="E796" s="213"/>
      <c r="F796" s="213"/>
      <c r="G796" s="213"/>
      <c r="H796" s="213"/>
      <c r="I796" s="213"/>
      <c r="J796" s="216"/>
      <c r="K796" s="216"/>
      <c r="L796" s="216"/>
      <c r="M796" s="216"/>
      <c r="N796" s="216"/>
      <c r="O796" s="216"/>
      <c r="P796" s="216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</row>
    <row r="797" ht="39.75" customHeight="1">
      <c r="A797" s="216"/>
      <c r="B797" s="216"/>
      <c r="C797" s="213"/>
      <c r="D797" s="213"/>
      <c r="E797" s="213"/>
      <c r="F797" s="213"/>
      <c r="G797" s="213"/>
      <c r="H797" s="213"/>
      <c r="I797" s="213"/>
      <c r="J797" s="216"/>
      <c r="K797" s="216"/>
      <c r="L797" s="216"/>
      <c r="M797" s="216"/>
      <c r="N797" s="216"/>
      <c r="O797" s="216"/>
      <c r="P797" s="216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</row>
    <row r="798" ht="39.75" customHeight="1">
      <c r="A798" s="216"/>
      <c r="B798" s="216"/>
      <c r="C798" s="213"/>
      <c r="D798" s="213"/>
      <c r="E798" s="213"/>
      <c r="F798" s="213"/>
      <c r="G798" s="213"/>
      <c r="H798" s="213"/>
      <c r="I798" s="213"/>
      <c r="J798" s="216"/>
      <c r="K798" s="216"/>
      <c r="L798" s="216"/>
      <c r="M798" s="216"/>
      <c r="N798" s="216"/>
      <c r="O798" s="216"/>
      <c r="P798" s="216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</row>
    <row r="799" ht="39.75" customHeight="1">
      <c r="A799" s="216"/>
      <c r="B799" s="216"/>
      <c r="C799" s="213"/>
      <c r="D799" s="213"/>
      <c r="E799" s="213"/>
      <c r="F799" s="213"/>
      <c r="G799" s="213"/>
      <c r="H799" s="213"/>
      <c r="I799" s="213"/>
      <c r="J799" s="216"/>
      <c r="K799" s="216"/>
      <c r="L799" s="216"/>
      <c r="M799" s="216"/>
      <c r="N799" s="216"/>
      <c r="O799" s="216"/>
      <c r="P799" s="216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</row>
    <row r="800" ht="39.75" customHeight="1">
      <c r="A800" s="216"/>
      <c r="B800" s="216"/>
      <c r="C800" s="213"/>
      <c r="D800" s="213"/>
      <c r="E800" s="213"/>
      <c r="F800" s="213"/>
      <c r="G800" s="213"/>
      <c r="H800" s="213"/>
      <c r="I800" s="213"/>
      <c r="J800" s="216"/>
      <c r="K800" s="216"/>
      <c r="L800" s="216"/>
      <c r="M800" s="216"/>
      <c r="N800" s="216"/>
      <c r="O800" s="216"/>
      <c r="P800" s="216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</row>
    <row r="801" ht="39.75" customHeight="1">
      <c r="A801" s="216"/>
      <c r="B801" s="216"/>
      <c r="C801" s="213"/>
      <c r="D801" s="213"/>
      <c r="E801" s="213"/>
      <c r="F801" s="213"/>
      <c r="G801" s="213"/>
      <c r="H801" s="213"/>
      <c r="I801" s="213"/>
      <c r="J801" s="216"/>
      <c r="K801" s="216"/>
      <c r="L801" s="216"/>
      <c r="M801" s="216"/>
      <c r="N801" s="216"/>
      <c r="O801" s="216"/>
      <c r="P801" s="216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</row>
    <row r="802" ht="39.75" customHeight="1">
      <c r="A802" s="216"/>
      <c r="B802" s="216"/>
      <c r="C802" s="213"/>
      <c r="D802" s="213"/>
      <c r="E802" s="213"/>
      <c r="F802" s="213"/>
      <c r="G802" s="213"/>
      <c r="H802" s="213"/>
      <c r="I802" s="213"/>
      <c r="J802" s="216"/>
      <c r="K802" s="216"/>
      <c r="L802" s="216"/>
      <c r="M802" s="216"/>
      <c r="N802" s="216"/>
      <c r="O802" s="216"/>
      <c r="P802" s="216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</row>
    <row r="803" ht="39.75" customHeight="1">
      <c r="A803" s="216"/>
      <c r="B803" s="216"/>
      <c r="C803" s="213"/>
      <c r="D803" s="213"/>
      <c r="E803" s="213"/>
      <c r="F803" s="213"/>
      <c r="G803" s="213"/>
      <c r="H803" s="213"/>
      <c r="I803" s="213"/>
      <c r="J803" s="216"/>
      <c r="K803" s="216"/>
      <c r="L803" s="216"/>
      <c r="M803" s="216"/>
      <c r="N803" s="216"/>
      <c r="O803" s="216"/>
      <c r="P803" s="216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</row>
    <row r="804" ht="39.75" customHeight="1">
      <c r="A804" s="216"/>
      <c r="B804" s="216"/>
      <c r="C804" s="213"/>
      <c r="D804" s="213"/>
      <c r="E804" s="213"/>
      <c r="F804" s="213"/>
      <c r="G804" s="213"/>
      <c r="H804" s="213"/>
      <c r="I804" s="213"/>
      <c r="J804" s="216"/>
      <c r="K804" s="216"/>
      <c r="L804" s="216"/>
      <c r="M804" s="216"/>
      <c r="N804" s="216"/>
      <c r="O804" s="216"/>
      <c r="P804" s="216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</row>
    <row r="805" ht="39.75" customHeight="1">
      <c r="A805" s="216"/>
      <c r="B805" s="216"/>
      <c r="C805" s="213"/>
      <c r="D805" s="213"/>
      <c r="E805" s="213"/>
      <c r="F805" s="213"/>
      <c r="G805" s="213"/>
      <c r="H805" s="213"/>
      <c r="I805" s="213"/>
      <c r="J805" s="216"/>
      <c r="K805" s="216"/>
      <c r="L805" s="216"/>
      <c r="M805" s="216"/>
      <c r="N805" s="216"/>
      <c r="O805" s="216"/>
      <c r="P805" s="216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</row>
    <row r="806" ht="39.75" customHeight="1">
      <c r="A806" s="216"/>
      <c r="B806" s="216"/>
      <c r="C806" s="213"/>
      <c r="D806" s="213"/>
      <c r="E806" s="213"/>
      <c r="F806" s="213"/>
      <c r="G806" s="213"/>
      <c r="H806" s="213"/>
      <c r="I806" s="213"/>
      <c r="J806" s="216"/>
      <c r="K806" s="216"/>
      <c r="L806" s="216"/>
      <c r="M806" s="216"/>
      <c r="N806" s="216"/>
      <c r="O806" s="216"/>
      <c r="P806" s="216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</row>
    <row r="807" ht="39.75" customHeight="1">
      <c r="A807" s="216"/>
      <c r="B807" s="216"/>
      <c r="C807" s="213"/>
      <c r="D807" s="213"/>
      <c r="E807" s="213"/>
      <c r="F807" s="213"/>
      <c r="G807" s="213"/>
      <c r="H807" s="213"/>
      <c r="I807" s="213"/>
      <c r="J807" s="216"/>
      <c r="K807" s="216"/>
      <c r="L807" s="216"/>
      <c r="M807" s="216"/>
      <c r="N807" s="216"/>
      <c r="O807" s="216"/>
      <c r="P807" s="216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</row>
    <row r="808" ht="39.75" customHeight="1">
      <c r="A808" s="216"/>
      <c r="B808" s="216"/>
      <c r="C808" s="213"/>
      <c r="D808" s="213"/>
      <c r="E808" s="213"/>
      <c r="F808" s="213"/>
      <c r="G808" s="213"/>
      <c r="H808" s="213"/>
      <c r="I808" s="213"/>
      <c r="J808" s="216"/>
      <c r="K808" s="216"/>
      <c r="L808" s="216"/>
      <c r="M808" s="216"/>
      <c r="N808" s="216"/>
      <c r="O808" s="216"/>
      <c r="P808" s="216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</row>
    <row r="809" ht="39.75" customHeight="1">
      <c r="A809" s="216"/>
      <c r="B809" s="216"/>
      <c r="C809" s="213"/>
      <c r="D809" s="213"/>
      <c r="E809" s="213"/>
      <c r="F809" s="213"/>
      <c r="G809" s="213"/>
      <c r="H809" s="213"/>
      <c r="I809" s="213"/>
      <c r="J809" s="216"/>
      <c r="K809" s="216"/>
      <c r="L809" s="216"/>
      <c r="M809" s="216"/>
      <c r="N809" s="216"/>
      <c r="O809" s="216"/>
      <c r="P809" s="216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</row>
    <row r="810" ht="39.75" customHeight="1">
      <c r="A810" s="216"/>
      <c r="B810" s="216"/>
      <c r="C810" s="213"/>
      <c r="D810" s="213"/>
      <c r="E810" s="213"/>
      <c r="F810" s="213"/>
      <c r="G810" s="213"/>
      <c r="H810" s="213"/>
      <c r="I810" s="213"/>
      <c r="J810" s="216"/>
      <c r="K810" s="216"/>
      <c r="L810" s="216"/>
      <c r="M810" s="216"/>
      <c r="N810" s="216"/>
      <c r="O810" s="216"/>
      <c r="P810" s="216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</row>
    <row r="811" ht="39.75" customHeight="1">
      <c r="A811" s="216"/>
      <c r="B811" s="216"/>
      <c r="C811" s="213"/>
      <c r="D811" s="213"/>
      <c r="E811" s="213"/>
      <c r="F811" s="213"/>
      <c r="G811" s="213"/>
      <c r="H811" s="213"/>
      <c r="I811" s="213"/>
      <c r="J811" s="216"/>
      <c r="K811" s="216"/>
      <c r="L811" s="216"/>
      <c r="M811" s="216"/>
      <c r="N811" s="216"/>
      <c r="O811" s="216"/>
      <c r="P811" s="216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</row>
    <row r="812" ht="39.75" customHeight="1">
      <c r="A812" s="216"/>
      <c r="B812" s="216"/>
      <c r="C812" s="213"/>
      <c r="D812" s="213"/>
      <c r="E812" s="213"/>
      <c r="F812" s="213"/>
      <c r="G812" s="213"/>
      <c r="H812" s="213"/>
      <c r="I812" s="213"/>
      <c r="J812" s="216"/>
      <c r="K812" s="216"/>
      <c r="L812" s="216"/>
      <c r="M812" s="216"/>
      <c r="N812" s="216"/>
      <c r="O812" s="216"/>
      <c r="P812" s="216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</row>
    <row r="813" ht="39.75" customHeight="1">
      <c r="A813" s="216"/>
      <c r="B813" s="216"/>
      <c r="C813" s="213"/>
      <c r="D813" s="213"/>
      <c r="E813" s="213"/>
      <c r="F813" s="213"/>
      <c r="G813" s="213"/>
      <c r="H813" s="213"/>
      <c r="I813" s="213"/>
      <c r="J813" s="216"/>
      <c r="K813" s="216"/>
      <c r="L813" s="216"/>
      <c r="M813" s="216"/>
      <c r="N813" s="216"/>
      <c r="O813" s="216"/>
      <c r="P813" s="216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</row>
    <row r="814" ht="39.75" customHeight="1">
      <c r="A814" s="216"/>
      <c r="B814" s="216"/>
      <c r="C814" s="213"/>
      <c r="D814" s="213"/>
      <c r="E814" s="213"/>
      <c r="F814" s="213"/>
      <c r="G814" s="213"/>
      <c r="H814" s="213"/>
      <c r="I814" s="213"/>
      <c r="J814" s="216"/>
      <c r="K814" s="216"/>
      <c r="L814" s="216"/>
      <c r="M814" s="216"/>
      <c r="N814" s="216"/>
      <c r="O814" s="216"/>
      <c r="P814" s="216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</row>
    <row r="815" ht="39.75" customHeight="1">
      <c r="A815" s="216"/>
      <c r="B815" s="216"/>
      <c r="C815" s="213"/>
      <c r="D815" s="213"/>
      <c r="E815" s="213"/>
      <c r="F815" s="213"/>
      <c r="G815" s="213"/>
      <c r="H815" s="213"/>
      <c r="I815" s="213"/>
      <c r="J815" s="216"/>
      <c r="K815" s="216"/>
      <c r="L815" s="216"/>
      <c r="M815" s="216"/>
      <c r="N815" s="216"/>
      <c r="O815" s="216"/>
      <c r="P815" s="216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</row>
    <row r="816" ht="39.75" customHeight="1">
      <c r="A816" s="216"/>
      <c r="B816" s="216"/>
      <c r="C816" s="213"/>
      <c r="D816" s="213"/>
      <c r="E816" s="213"/>
      <c r="F816" s="213"/>
      <c r="G816" s="213"/>
      <c r="H816" s="213"/>
      <c r="I816" s="213"/>
      <c r="J816" s="216"/>
      <c r="K816" s="216"/>
      <c r="L816" s="216"/>
      <c r="M816" s="216"/>
      <c r="N816" s="216"/>
      <c r="O816" s="216"/>
      <c r="P816" s="216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</row>
    <row r="817" ht="39.75" customHeight="1">
      <c r="A817" s="216"/>
      <c r="B817" s="216"/>
      <c r="C817" s="213"/>
      <c r="D817" s="213"/>
      <c r="E817" s="213"/>
      <c r="F817" s="213"/>
      <c r="G817" s="213"/>
      <c r="H817" s="213"/>
      <c r="I817" s="213"/>
      <c r="J817" s="216"/>
      <c r="K817" s="216"/>
      <c r="L817" s="216"/>
      <c r="M817" s="216"/>
      <c r="N817" s="216"/>
      <c r="O817" s="216"/>
      <c r="P817" s="216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</row>
    <row r="818" ht="39.75" customHeight="1">
      <c r="A818" s="216"/>
      <c r="B818" s="216"/>
      <c r="C818" s="213"/>
      <c r="D818" s="213"/>
      <c r="E818" s="213"/>
      <c r="F818" s="213"/>
      <c r="G818" s="213"/>
      <c r="H818" s="213"/>
      <c r="I818" s="213"/>
      <c r="J818" s="216"/>
      <c r="K818" s="216"/>
      <c r="L818" s="216"/>
      <c r="M818" s="216"/>
      <c r="N818" s="216"/>
      <c r="O818" s="216"/>
      <c r="P818" s="216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</row>
    <row r="819" ht="39.75" customHeight="1">
      <c r="A819" s="216"/>
      <c r="B819" s="216"/>
      <c r="C819" s="213"/>
      <c r="D819" s="213"/>
      <c r="E819" s="213"/>
      <c r="F819" s="213"/>
      <c r="G819" s="213"/>
      <c r="H819" s="213"/>
      <c r="I819" s="213"/>
      <c r="J819" s="216"/>
      <c r="K819" s="216"/>
      <c r="L819" s="216"/>
      <c r="M819" s="216"/>
      <c r="N819" s="216"/>
      <c r="O819" s="216"/>
      <c r="P819" s="216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</row>
    <row r="820" ht="39.75" customHeight="1">
      <c r="A820" s="216"/>
      <c r="B820" s="216"/>
      <c r="C820" s="213"/>
      <c r="D820" s="213"/>
      <c r="E820" s="213"/>
      <c r="F820" s="213"/>
      <c r="G820" s="213"/>
      <c r="H820" s="213"/>
      <c r="I820" s="213"/>
      <c r="J820" s="216"/>
      <c r="K820" s="216"/>
      <c r="L820" s="216"/>
      <c r="M820" s="216"/>
      <c r="N820" s="216"/>
      <c r="O820" s="216"/>
      <c r="P820" s="216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</row>
    <row r="821" ht="39.75" customHeight="1">
      <c r="A821" s="216"/>
      <c r="B821" s="216"/>
      <c r="C821" s="213"/>
      <c r="D821" s="213"/>
      <c r="E821" s="213"/>
      <c r="F821" s="213"/>
      <c r="G821" s="213"/>
      <c r="H821" s="213"/>
      <c r="I821" s="213"/>
      <c r="J821" s="216"/>
      <c r="K821" s="216"/>
      <c r="L821" s="216"/>
      <c r="M821" s="216"/>
      <c r="N821" s="216"/>
      <c r="O821" s="216"/>
      <c r="P821" s="216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</row>
    <row r="822" ht="39.75" customHeight="1">
      <c r="A822" s="216"/>
      <c r="B822" s="216"/>
      <c r="C822" s="213"/>
      <c r="D822" s="213"/>
      <c r="E822" s="213"/>
      <c r="F822" s="213"/>
      <c r="G822" s="213"/>
      <c r="H822" s="213"/>
      <c r="I822" s="213"/>
      <c r="J822" s="216"/>
      <c r="K822" s="216"/>
      <c r="L822" s="216"/>
      <c r="M822" s="216"/>
      <c r="N822" s="216"/>
      <c r="O822" s="216"/>
      <c r="P822" s="216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</row>
    <row r="823" ht="39.75" customHeight="1">
      <c r="A823" s="216"/>
      <c r="B823" s="216"/>
      <c r="C823" s="213"/>
      <c r="D823" s="213"/>
      <c r="E823" s="213"/>
      <c r="F823" s="213"/>
      <c r="G823" s="213"/>
      <c r="H823" s="213"/>
      <c r="I823" s="213"/>
      <c r="J823" s="216"/>
      <c r="K823" s="216"/>
      <c r="L823" s="216"/>
      <c r="M823" s="216"/>
      <c r="N823" s="216"/>
      <c r="O823" s="216"/>
      <c r="P823" s="216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</row>
    <row r="824" ht="39.75" customHeight="1">
      <c r="A824" s="216"/>
      <c r="B824" s="216"/>
      <c r="C824" s="213"/>
      <c r="D824" s="213"/>
      <c r="E824" s="213"/>
      <c r="F824" s="213"/>
      <c r="G824" s="213"/>
      <c r="H824" s="213"/>
      <c r="I824" s="213"/>
      <c r="J824" s="216"/>
      <c r="K824" s="216"/>
      <c r="L824" s="216"/>
      <c r="M824" s="216"/>
      <c r="N824" s="216"/>
      <c r="O824" s="216"/>
      <c r="P824" s="216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</row>
    <row r="825" ht="39.75" customHeight="1">
      <c r="A825" s="216"/>
      <c r="B825" s="216"/>
      <c r="C825" s="213"/>
      <c r="D825" s="213"/>
      <c r="E825" s="213"/>
      <c r="F825" s="213"/>
      <c r="G825" s="213"/>
      <c r="H825" s="213"/>
      <c r="I825" s="213"/>
      <c r="J825" s="216"/>
      <c r="K825" s="216"/>
      <c r="L825" s="216"/>
      <c r="M825" s="216"/>
      <c r="N825" s="216"/>
      <c r="O825" s="216"/>
      <c r="P825" s="216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</row>
    <row r="826" ht="39.75" customHeight="1">
      <c r="A826" s="216"/>
      <c r="B826" s="216"/>
      <c r="C826" s="213"/>
      <c r="D826" s="213"/>
      <c r="E826" s="213"/>
      <c r="F826" s="213"/>
      <c r="G826" s="213"/>
      <c r="H826" s="213"/>
      <c r="I826" s="213"/>
      <c r="J826" s="216"/>
      <c r="K826" s="216"/>
      <c r="L826" s="216"/>
      <c r="M826" s="216"/>
      <c r="N826" s="216"/>
      <c r="O826" s="216"/>
      <c r="P826" s="216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</row>
    <row r="827" ht="39.75" customHeight="1">
      <c r="A827" s="216"/>
      <c r="B827" s="216"/>
      <c r="C827" s="213"/>
      <c r="D827" s="213"/>
      <c r="E827" s="213"/>
      <c r="F827" s="213"/>
      <c r="G827" s="213"/>
      <c r="H827" s="213"/>
      <c r="I827" s="213"/>
      <c r="J827" s="216"/>
      <c r="K827" s="216"/>
      <c r="L827" s="216"/>
      <c r="M827" s="216"/>
      <c r="N827" s="216"/>
      <c r="O827" s="216"/>
      <c r="P827" s="216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</row>
    <row r="828" ht="39.75" customHeight="1">
      <c r="A828" s="216"/>
      <c r="B828" s="216"/>
      <c r="C828" s="213"/>
      <c r="D828" s="213"/>
      <c r="E828" s="213"/>
      <c r="F828" s="213"/>
      <c r="G828" s="213"/>
      <c r="H828" s="213"/>
      <c r="I828" s="213"/>
      <c r="J828" s="216"/>
      <c r="K828" s="216"/>
      <c r="L828" s="216"/>
      <c r="M828" s="216"/>
      <c r="N828" s="216"/>
      <c r="O828" s="216"/>
      <c r="P828" s="216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</row>
    <row r="829" ht="39.75" customHeight="1">
      <c r="A829" s="216"/>
      <c r="B829" s="216"/>
      <c r="C829" s="213"/>
      <c r="D829" s="213"/>
      <c r="E829" s="213"/>
      <c r="F829" s="213"/>
      <c r="G829" s="213"/>
      <c r="H829" s="213"/>
      <c r="I829" s="213"/>
      <c r="J829" s="216"/>
      <c r="K829" s="216"/>
      <c r="L829" s="216"/>
      <c r="M829" s="216"/>
      <c r="N829" s="216"/>
      <c r="O829" s="216"/>
      <c r="P829" s="216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</row>
    <row r="830" ht="39.75" customHeight="1">
      <c r="A830" s="216"/>
      <c r="B830" s="216"/>
      <c r="C830" s="213"/>
      <c r="D830" s="213"/>
      <c r="E830" s="213"/>
      <c r="F830" s="213"/>
      <c r="G830" s="213"/>
      <c r="H830" s="213"/>
      <c r="I830" s="213"/>
      <c r="J830" s="216"/>
      <c r="K830" s="216"/>
      <c r="L830" s="216"/>
      <c r="M830" s="216"/>
      <c r="N830" s="216"/>
      <c r="O830" s="216"/>
      <c r="P830" s="216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</row>
    <row r="831" ht="39.75" customHeight="1">
      <c r="A831" s="216"/>
      <c r="B831" s="216"/>
      <c r="C831" s="213"/>
      <c r="D831" s="213"/>
      <c r="E831" s="213"/>
      <c r="F831" s="213"/>
      <c r="G831" s="213"/>
      <c r="H831" s="213"/>
      <c r="I831" s="213"/>
      <c r="J831" s="216"/>
      <c r="K831" s="216"/>
      <c r="L831" s="216"/>
      <c r="M831" s="216"/>
      <c r="N831" s="216"/>
      <c r="O831" s="216"/>
      <c r="P831" s="216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</row>
    <row r="832" ht="39.75" customHeight="1">
      <c r="A832" s="216"/>
      <c r="B832" s="216"/>
      <c r="C832" s="213"/>
      <c r="D832" s="213"/>
      <c r="E832" s="213"/>
      <c r="F832" s="213"/>
      <c r="G832" s="213"/>
      <c r="H832" s="213"/>
      <c r="I832" s="213"/>
      <c r="J832" s="216"/>
      <c r="K832" s="216"/>
      <c r="L832" s="216"/>
      <c r="M832" s="216"/>
      <c r="N832" s="216"/>
      <c r="O832" s="216"/>
      <c r="P832" s="216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</row>
    <row r="833" ht="39.75" customHeight="1">
      <c r="A833" s="216"/>
      <c r="B833" s="216"/>
      <c r="C833" s="213"/>
      <c r="D833" s="213"/>
      <c r="E833" s="213"/>
      <c r="F833" s="213"/>
      <c r="G833" s="213"/>
      <c r="H833" s="213"/>
      <c r="I833" s="213"/>
      <c r="J833" s="216"/>
      <c r="K833" s="216"/>
      <c r="L833" s="216"/>
      <c r="M833" s="216"/>
      <c r="N833" s="216"/>
      <c r="O833" s="216"/>
      <c r="P833" s="216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</row>
    <row r="834" ht="39.75" customHeight="1">
      <c r="A834" s="216"/>
      <c r="B834" s="216"/>
      <c r="C834" s="213"/>
      <c r="D834" s="213"/>
      <c r="E834" s="213"/>
      <c r="F834" s="213"/>
      <c r="G834" s="213"/>
      <c r="H834" s="213"/>
      <c r="I834" s="213"/>
      <c r="J834" s="216"/>
      <c r="K834" s="216"/>
      <c r="L834" s="216"/>
      <c r="M834" s="216"/>
      <c r="N834" s="216"/>
      <c r="O834" s="216"/>
      <c r="P834" s="216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</row>
    <row r="835" ht="39.75" customHeight="1">
      <c r="A835" s="216"/>
      <c r="B835" s="216"/>
      <c r="C835" s="213"/>
      <c r="D835" s="213"/>
      <c r="E835" s="213"/>
      <c r="F835" s="213"/>
      <c r="G835" s="213"/>
      <c r="H835" s="213"/>
      <c r="I835" s="213"/>
      <c r="J835" s="216"/>
      <c r="K835" s="216"/>
      <c r="L835" s="216"/>
      <c r="M835" s="216"/>
      <c r="N835" s="216"/>
      <c r="O835" s="216"/>
      <c r="P835" s="216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</row>
    <row r="836" ht="39.75" customHeight="1">
      <c r="A836" s="216"/>
      <c r="B836" s="216"/>
      <c r="C836" s="213"/>
      <c r="D836" s="213"/>
      <c r="E836" s="213"/>
      <c r="F836" s="213"/>
      <c r="G836" s="213"/>
      <c r="H836" s="213"/>
      <c r="I836" s="213"/>
      <c r="J836" s="216"/>
      <c r="K836" s="216"/>
      <c r="L836" s="216"/>
      <c r="M836" s="216"/>
      <c r="N836" s="216"/>
      <c r="O836" s="216"/>
      <c r="P836" s="216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</row>
    <row r="837" ht="39.75" customHeight="1">
      <c r="A837" s="216"/>
      <c r="B837" s="216"/>
      <c r="C837" s="213"/>
      <c r="D837" s="213"/>
      <c r="E837" s="213"/>
      <c r="F837" s="213"/>
      <c r="G837" s="213"/>
      <c r="H837" s="213"/>
      <c r="I837" s="213"/>
      <c r="J837" s="216"/>
      <c r="K837" s="216"/>
      <c r="L837" s="216"/>
      <c r="M837" s="216"/>
      <c r="N837" s="216"/>
      <c r="O837" s="216"/>
      <c r="P837" s="216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</row>
    <row r="838" ht="39.75" customHeight="1">
      <c r="A838" s="216"/>
      <c r="B838" s="216"/>
      <c r="C838" s="213"/>
      <c r="D838" s="213"/>
      <c r="E838" s="213"/>
      <c r="F838" s="213"/>
      <c r="G838" s="213"/>
      <c r="H838" s="213"/>
      <c r="I838" s="213"/>
      <c r="J838" s="216"/>
      <c r="K838" s="216"/>
      <c r="L838" s="216"/>
      <c r="M838" s="216"/>
      <c r="N838" s="216"/>
      <c r="O838" s="216"/>
      <c r="P838" s="216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</row>
    <row r="839" ht="39.75" customHeight="1">
      <c r="A839" s="216"/>
      <c r="B839" s="216"/>
      <c r="C839" s="213"/>
      <c r="D839" s="213"/>
      <c r="E839" s="213"/>
      <c r="F839" s="213"/>
      <c r="G839" s="213"/>
      <c r="H839" s="213"/>
      <c r="I839" s="213"/>
      <c r="J839" s="216"/>
      <c r="K839" s="216"/>
      <c r="L839" s="216"/>
      <c r="M839" s="216"/>
      <c r="N839" s="216"/>
      <c r="O839" s="216"/>
      <c r="P839" s="216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</row>
    <row r="840" ht="39.75" customHeight="1">
      <c r="A840" s="216"/>
      <c r="B840" s="216"/>
      <c r="C840" s="213"/>
      <c r="D840" s="213"/>
      <c r="E840" s="213"/>
      <c r="F840" s="213"/>
      <c r="G840" s="213"/>
      <c r="H840" s="213"/>
      <c r="I840" s="213"/>
      <c r="J840" s="216"/>
      <c r="K840" s="216"/>
      <c r="L840" s="216"/>
      <c r="M840" s="216"/>
      <c r="N840" s="216"/>
      <c r="O840" s="216"/>
      <c r="P840" s="216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</row>
    <row r="841" ht="39.75" customHeight="1">
      <c r="A841" s="216"/>
      <c r="B841" s="216"/>
      <c r="C841" s="213"/>
      <c r="D841" s="213"/>
      <c r="E841" s="213"/>
      <c r="F841" s="213"/>
      <c r="G841" s="213"/>
      <c r="H841" s="213"/>
      <c r="I841" s="213"/>
      <c r="J841" s="216"/>
      <c r="K841" s="216"/>
      <c r="L841" s="216"/>
      <c r="M841" s="216"/>
      <c r="N841" s="216"/>
      <c r="O841" s="216"/>
      <c r="P841" s="216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</row>
    <row r="842" ht="39.75" customHeight="1">
      <c r="A842" s="216"/>
      <c r="B842" s="216"/>
      <c r="C842" s="213"/>
      <c r="D842" s="213"/>
      <c r="E842" s="213"/>
      <c r="F842" s="213"/>
      <c r="G842" s="213"/>
      <c r="H842" s="213"/>
      <c r="I842" s="213"/>
      <c r="J842" s="216"/>
      <c r="K842" s="216"/>
      <c r="L842" s="216"/>
      <c r="M842" s="216"/>
      <c r="N842" s="216"/>
      <c r="O842" s="216"/>
      <c r="P842" s="216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</row>
    <row r="843" ht="39.75" customHeight="1">
      <c r="A843" s="216"/>
      <c r="B843" s="216"/>
      <c r="C843" s="213"/>
      <c r="D843" s="213"/>
      <c r="E843" s="213"/>
      <c r="F843" s="213"/>
      <c r="G843" s="213"/>
      <c r="H843" s="213"/>
      <c r="I843" s="213"/>
      <c r="J843" s="216"/>
      <c r="K843" s="216"/>
      <c r="L843" s="216"/>
      <c r="M843" s="216"/>
      <c r="N843" s="216"/>
      <c r="O843" s="216"/>
      <c r="P843" s="216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</row>
    <row r="844" ht="39.75" customHeight="1">
      <c r="A844" s="216"/>
      <c r="B844" s="216"/>
      <c r="C844" s="213"/>
      <c r="D844" s="213"/>
      <c r="E844" s="213"/>
      <c r="F844" s="213"/>
      <c r="G844" s="213"/>
      <c r="H844" s="213"/>
      <c r="I844" s="213"/>
      <c r="J844" s="216"/>
      <c r="K844" s="216"/>
      <c r="L844" s="216"/>
      <c r="M844" s="216"/>
      <c r="N844" s="216"/>
      <c r="O844" s="216"/>
      <c r="P844" s="216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</row>
    <row r="845" ht="39.75" customHeight="1">
      <c r="A845" s="216"/>
      <c r="B845" s="216"/>
      <c r="C845" s="213"/>
      <c r="D845" s="213"/>
      <c r="E845" s="213"/>
      <c r="F845" s="213"/>
      <c r="G845" s="213"/>
      <c r="H845" s="213"/>
      <c r="I845" s="213"/>
      <c r="J845" s="216"/>
      <c r="K845" s="216"/>
      <c r="L845" s="216"/>
      <c r="M845" s="216"/>
      <c r="N845" s="216"/>
      <c r="O845" s="216"/>
      <c r="P845" s="216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</row>
    <row r="846" ht="39.75" customHeight="1">
      <c r="A846" s="216"/>
      <c r="B846" s="216"/>
      <c r="C846" s="213"/>
      <c r="D846" s="213"/>
      <c r="E846" s="213"/>
      <c r="F846" s="213"/>
      <c r="G846" s="213"/>
      <c r="H846" s="213"/>
      <c r="I846" s="213"/>
      <c r="J846" s="216"/>
      <c r="K846" s="216"/>
      <c r="L846" s="216"/>
      <c r="M846" s="216"/>
      <c r="N846" s="216"/>
      <c r="O846" s="216"/>
      <c r="P846" s="216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</row>
    <row r="847" ht="39.75" customHeight="1">
      <c r="A847" s="216"/>
      <c r="B847" s="216"/>
      <c r="C847" s="213"/>
      <c r="D847" s="213"/>
      <c r="E847" s="213"/>
      <c r="F847" s="213"/>
      <c r="G847" s="213"/>
      <c r="H847" s="213"/>
      <c r="I847" s="213"/>
      <c r="J847" s="216"/>
      <c r="K847" s="216"/>
      <c r="L847" s="216"/>
      <c r="M847" s="216"/>
      <c r="N847" s="216"/>
      <c r="O847" s="216"/>
      <c r="P847" s="216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</row>
    <row r="848" ht="39.75" customHeight="1">
      <c r="A848" s="216"/>
      <c r="B848" s="216"/>
      <c r="C848" s="213"/>
      <c r="D848" s="213"/>
      <c r="E848" s="213"/>
      <c r="F848" s="213"/>
      <c r="G848" s="213"/>
      <c r="H848" s="213"/>
      <c r="I848" s="213"/>
      <c r="J848" s="216"/>
      <c r="K848" s="216"/>
      <c r="L848" s="216"/>
      <c r="M848" s="216"/>
      <c r="N848" s="216"/>
      <c r="O848" s="216"/>
      <c r="P848" s="216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</row>
    <row r="849" ht="39.75" customHeight="1">
      <c r="A849" s="216"/>
      <c r="B849" s="216"/>
      <c r="C849" s="213"/>
      <c r="D849" s="213"/>
      <c r="E849" s="213"/>
      <c r="F849" s="213"/>
      <c r="G849" s="213"/>
      <c r="H849" s="213"/>
      <c r="I849" s="213"/>
      <c r="J849" s="216"/>
      <c r="K849" s="216"/>
      <c r="L849" s="216"/>
      <c r="M849" s="216"/>
      <c r="N849" s="216"/>
      <c r="O849" s="216"/>
      <c r="P849" s="216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</row>
    <row r="850" ht="39.75" customHeight="1">
      <c r="A850" s="216"/>
      <c r="B850" s="216"/>
      <c r="C850" s="213"/>
      <c r="D850" s="213"/>
      <c r="E850" s="213"/>
      <c r="F850" s="213"/>
      <c r="G850" s="213"/>
      <c r="H850" s="213"/>
      <c r="I850" s="213"/>
      <c r="J850" s="216"/>
      <c r="K850" s="216"/>
      <c r="L850" s="216"/>
      <c r="M850" s="216"/>
      <c r="N850" s="216"/>
      <c r="O850" s="216"/>
      <c r="P850" s="216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</row>
    <row r="851" ht="39.75" customHeight="1">
      <c r="A851" s="216"/>
      <c r="B851" s="216"/>
      <c r="C851" s="213"/>
      <c r="D851" s="213"/>
      <c r="E851" s="213"/>
      <c r="F851" s="213"/>
      <c r="G851" s="213"/>
      <c r="H851" s="213"/>
      <c r="I851" s="213"/>
      <c r="J851" s="216"/>
      <c r="K851" s="216"/>
      <c r="L851" s="216"/>
      <c r="M851" s="216"/>
      <c r="N851" s="216"/>
      <c r="O851" s="216"/>
      <c r="P851" s="216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</row>
    <row r="852" ht="39.75" customHeight="1">
      <c r="A852" s="216"/>
      <c r="B852" s="216"/>
      <c r="C852" s="213"/>
      <c r="D852" s="213"/>
      <c r="E852" s="213"/>
      <c r="F852" s="213"/>
      <c r="G852" s="213"/>
      <c r="H852" s="213"/>
      <c r="I852" s="213"/>
      <c r="J852" s="216"/>
      <c r="K852" s="216"/>
      <c r="L852" s="216"/>
      <c r="M852" s="216"/>
      <c r="N852" s="216"/>
      <c r="O852" s="216"/>
      <c r="P852" s="216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</row>
    <row r="853" ht="39.75" customHeight="1">
      <c r="A853" s="216"/>
      <c r="B853" s="216"/>
      <c r="C853" s="213"/>
      <c r="D853" s="213"/>
      <c r="E853" s="213"/>
      <c r="F853" s="213"/>
      <c r="G853" s="213"/>
      <c r="H853" s="213"/>
      <c r="I853" s="213"/>
      <c r="J853" s="216"/>
      <c r="K853" s="216"/>
      <c r="L853" s="216"/>
      <c r="M853" s="216"/>
      <c r="N853" s="216"/>
      <c r="O853" s="216"/>
      <c r="P853" s="216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</row>
    <row r="854" ht="39.75" customHeight="1">
      <c r="A854" s="216"/>
      <c r="B854" s="216"/>
      <c r="C854" s="213"/>
      <c r="D854" s="213"/>
      <c r="E854" s="213"/>
      <c r="F854" s="213"/>
      <c r="G854" s="213"/>
      <c r="H854" s="213"/>
      <c r="I854" s="213"/>
      <c r="J854" s="216"/>
      <c r="K854" s="216"/>
      <c r="L854" s="216"/>
      <c r="M854" s="216"/>
      <c r="N854" s="216"/>
      <c r="O854" s="216"/>
      <c r="P854" s="216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</row>
    <row r="855" ht="39.75" customHeight="1">
      <c r="A855" s="216"/>
      <c r="B855" s="216"/>
      <c r="C855" s="213"/>
      <c r="D855" s="213"/>
      <c r="E855" s="213"/>
      <c r="F855" s="213"/>
      <c r="G855" s="213"/>
      <c r="H855" s="213"/>
      <c r="I855" s="213"/>
      <c r="J855" s="216"/>
      <c r="K855" s="216"/>
      <c r="L855" s="216"/>
      <c r="M855" s="216"/>
      <c r="N855" s="216"/>
      <c r="O855" s="216"/>
      <c r="P855" s="216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</row>
    <row r="856" ht="39.75" customHeight="1">
      <c r="A856" s="216"/>
      <c r="B856" s="216"/>
      <c r="C856" s="213"/>
      <c r="D856" s="213"/>
      <c r="E856" s="213"/>
      <c r="F856" s="213"/>
      <c r="G856" s="213"/>
      <c r="H856" s="213"/>
      <c r="I856" s="213"/>
      <c r="J856" s="216"/>
      <c r="K856" s="216"/>
      <c r="L856" s="216"/>
      <c r="M856" s="216"/>
      <c r="N856" s="216"/>
      <c r="O856" s="216"/>
      <c r="P856" s="216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</row>
    <row r="857" ht="39.75" customHeight="1">
      <c r="A857" s="216"/>
      <c r="B857" s="216"/>
      <c r="C857" s="213"/>
      <c r="D857" s="213"/>
      <c r="E857" s="213"/>
      <c r="F857" s="213"/>
      <c r="G857" s="213"/>
      <c r="H857" s="213"/>
      <c r="I857" s="213"/>
      <c r="J857" s="216"/>
      <c r="K857" s="216"/>
      <c r="L857" s="216"/>
      <c r="M857" s="216"/>
      <c r="N857" s="216"/>
      <c r="O857" s="216"/>
      <c r="P857" s="216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</row>
    <row r="858" ht="39.75" customHeight="1">
      <c r="A858" s="216"/>
      <c r="B858" s="216"/>
      <c r="C858" s="213"/>
      <c r="D858" s="213"/>
      <c r="E858" s="213"/>
      <c r="F858" s="213"/>
      <c r="G858" s="213"/>
      <c r="H858" s="213"/>
      <c r="I858" s="213"/>
      <c r="J858" s="216"/>
      <c r="K858" s="216"/>
      <c r="L858" s="216"/>
      <c r="M858" s="216"/>
      <c r="N858" s="216"/>
      <c r="O858" s="216"/>
      <c r="P858" s="216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</row>
    <row r="859" ht="39.75" customHeight="1">
      <c r="A859" s="216"/>
      <c r="B859" s="216"/>
      <c r="C859" s="213"/>
      <c r="D859" s="213"/>
      <c r="E859" s="213"/>
      <c r="F859" s="213"/>
      <c r="G859" s="213"/>
      <c r="H859" s="213"/>
      <c r="I859" s="213"/>
      <c r="J859" s="216"/>
      <c r="K859" s="216"/>
      <c r="L859" s="216"/>
      <c r="M859" s="216"/>
      <c r="N859" s="216"/>
      <c r="O859" s="216"/>
      <c r="P859" s="216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</row>
    <row r="860" ht="39.75" customHeight="1">
      <c r="A860" s="216"/>
      <c r="B860" s="216"/>
      <c r="C860" s="213"/>
      <c r="D860" s="213"/>
      <c r="E860" s="213"/>
      <c r="F860" s="213"/>
      <c r="G860" s="213"/>
      <c r="H860" s="213"/>
      <c r="I860" s="213"/>
      <c r="J860" s="216"/>
      <c r="K860" s="216"/>
      <c r="L860" s="216"/>
      <c r="M860" s="216"/>
      <c r="N860" s="216"/>
      <c r="O860" s="216"/>
      <c r="P860" s="216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</row>
    <row r="861" ht="39.75" customHeight="1">
      <c r="A861" s="216"/>
      <c r="B861" s="216"/>
      <c r="C861" s="213"/>
      <c r="D861" s="213"/>
      <c r="E861" s="213"/>
      <c r="F861" s="213"/>
      <c r="G861" s="213"/>
      <c r="H861" s="213"/>
      <c r="I861" s="213"/>
      <c r="J861" s="216"/>
      <c r="K861" s="216"/>
      <c r="L861" s="216"/>
      <c r="M861" s="216"/>
      <c r="N861" s="216"/>
      <c r="O861" s="216"/>
      <c r="P861" s="216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</row>
    <row r="862" ht="39.75" customHeight="1">
      <c r="A862" s="216"/>
      <c r="B862" s="216"/>
      <c r="C862" s="213"/>
      <c r="D862" s="213"/>
      <c r="E862" s="213"/>
      <c r="F862" s="213"/>
      <c r="G862" s="213"/>
      <c r="H862" s="213"/>
      <c r="I862" s="213"/>
      <c r="J862" s="216"/>
      <c r="K862" s="216"/>
      <c r="L862" s="216"/>
      <c r="M862" s="216"/>
      <c r="N862" s="216"/>
      <c r="O862" s="216"/>
      <c r="P862" s="216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</row>
    <row r="863" ht="39.75" customHeight="1">
      <c r="A863" s="216"/>
      <c r="B863" s="216"/>
      <c r="C863" s="213"/>
      <c r="D863" s="213"/>
      <c r="E863" s="213"/>
      <c r="F863" s="213"/>
      <c r="G863" s="213"/>
      <c r="H863" s="213"/>
      <c r="I863" s="213"/>
      <c r="J863" s="216"/>
      <c r="K863" s="216"/>
      <c r="L863" s="216"/>
      <c r="M863" s="216"/>
      <c r="N863" s="216"/>
      <c r="O863" s="216"/>
      <c r="P863" s="216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</row>
    <row r="864" ht="39.75" customHeight="1">
      <c r="A864" s="216"/>
      <c r="B864" s="216"/>
      <c r="C864" s="213"/>
      <c r="D864" s="213"/>
      <c r="E864" s="213"/>
      <c r="F864" s="213"/>
      <c r="G864" s="213"/>
      <c r="H864" s="213"/>
      <c r="I864" s="213"/>
      <c r="J864" s="216"/>
      <c r="K864" s="216"/>
      <c r="L864" s="216"/>
      <c r="M864" s="216"/>
      <c r="N864" s="216"/>
      <c r="O864" s="216"/>
      <c r="P864" s="216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</row>
    <row r="865" ht="39.75" customHeight="1">
      <c r="A865" s="216"/>
      <c r="B865" s="216"/>
      <c r="C865" s="213"/>
      <c r="D865" s="213"/>
      <c r="E865" s="213"/>
      <c r="F865" s="213"/>
      <c r="G865" s="213"/>
      <c r="H865" s="213"/>
      <c r="I865" s="213"/>
      <c r="J865" s="216"/>
      <c r="K865" s="216"/>
      <c r="L865" s="216"/>
      <c r="M865" s="216"/>
      <c r="N865" s="216"/>
      <c r="O865" s="216"/>
      <c r="P865" s="216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</row>
    <row r="866" ht="39.75" customHeight="1">
      <c r="A866" s="216"/>
      <c r="B866" s="216"/>
      <c r="C866" s="213"/>
      <c r="D866" s="213"/>
      <c r="E866" s="213"/>
      <c r="F866" s="213"/>
      <c r="G866" s="213"/>
      <c r="H866" s="213"/>
      <c r="I866" s="213"/>
      <c r="J866" s="216"/>
      <c r="K866" s="216"/>
      <c r="L866" s="216"/>
      <c r="M866" s="216"/>
      <c r="N866" s="216"/>
      <c r="O866" s="216"/>
      <c r="P866" s="216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</row>
    <row r="867" ht="39.75" customHeight="1">
      <c r="A867" s="216"/>
      <c r="B867" s="216"/>
      <c r="C867" s="213"/>
      <c r="D867" s="213"/>
      <c r="E867" s="213"/>
      <c r="F867" s="213"/>
      <c r="G867" s="213"/>
      <c r="H867" s="213"/>
      <c r="I867" s="213"/>
      <c r="J867" s="216"/>
      <c r="K867" s="216"/>
      <c r="L867" s="216"/>
      <c r="M867" s="216"/>
      <c r="N867" s="216"/>
      <c r="O867" s="216"/>
      <c r="P867" s="216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</row>
    <row r="868" ht="39.75" customHeight="1">
      <c r="A868" s="216"/>
      <c r="B868" s="216"/>
      <c r="C868" s="213"/>
      <c r="D868" s="213"/>
      <c r="E868" s="213"/>
      <c r="F868" s="213"/>
      <c r="G868" s="213"/>
      <c r="H868" s="213"/>
      <c r="I868" s="213"/>
      <c r="J868" s="216"/>
      <c r="K868" s="216"/>
      <c r="L868" s="216"/>
      <c r="M868" s="216"/>
      <c r="N868" s="216"/>
      <c r="O868" s="216"/>
      <c r="P868" s="216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</row>
    <row r="869" ht="39.75" customHeight="1">
      <c r="A869" s="216"/>
      <c r="B869" s="216"/>
      <c r="C869" s="213"/>
      <c r="D869" s="213"/>
      <c r="E869" s="213"/>
      <c r="F869" s="213"/>
      <c r="G869" s="213"/>
      <c r="H869" s="213"/>
      <c r="I869" s="213"/>
      <c r="J869" s="216"/>
      <c r="K869" s="216"/>
      <c r="L869" s="216"/>
      <c r="M869" s="216"/>
      <c r="N869" s="216"/>
      <c r="O869" s="216"/>
      <c r="P869" s="216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</row>
    <row r="870" ht="39.75" customHeight="1">
      <c r="A870" s="216"/>
      <c r="B870" s="216"/>
      <c r="C870" s="213"/>
      <c r="D870" s="213"/>
      <c r="E870" s="213"/>
      <c r="F870" s="213"/>
      <c r="G870" s="213"/>
      <c r="H870" s="213"/>
      <c r="I870" s="213"/>
      <c r="J870" s="216"/>
      <c r="K870" s="216"/>
      <c r="L870" s="216"/>
      <c r="M870" s="216"/>
      <c r="N870" s="216"/>
      <c r="O870" s="216"/>
      <c r="P870" s="216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</row>
    <row r="871" ht="39.75" customHeight="1">
      <c r="A871" s="216"/>
      <c r="B871" s="216"/>
      <c r="C871" s="213"/>
      <c r="D871" s="213"/>
      <c r="E871" s="213"/>
      <c r="F871" s="213"/>
      <c r="G871" s="213"/>
      <c r="H871" s="213"/>
      <c r="I871" s="213"/>
      <c r="J871" s="216"/>
      <c r="K871" s="216"/>
      <c r="L871" s="216"/>
      <c r="M871" s="216"/>
      <c r="N871" s="216"/>
      <c r="O871" s="216"/>
      <c r="P871" s="216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</row>
    <row r="872" ht="39.75" customHeight="1">
      <c r="A872" s="216"/>
      <c r="B872" s="216"/>
      <c r="C872" s="213"/>
      <c r="D872" s="213"/>
      <c r="E872" s="213"/>
      <c r="F872" s="213"/>
      <c r="G872" s="213"/>
      <c r="H872" s="213"/>
      <c r="I872" s="213"/>
      <c r="J872" s="216"/>
      <c r="K872" s="216"/>
      <c r="L872" s="216"/>
      <c r="M872" s="216"/>
      <c r="N872" s="216"/>
      <c r="O872" s="216"/>
      <c r="P872" s="216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</row>
    <row r="873" ht="39.75" customHeight="1">
      <c r="A873" s="216"/>
      <c r="B873" s="216"/>
      <c r="C873" s="213"/>
      <c r="D873" s="213"/>
      <c r="E873" s="213"/>
      <c r="F873" s="213"/>
      <c r="G873" s="213"/>
      <c r="H873" s="213"/>
      <c r="I873" s="213"/>
      <c r="J873" s="216"/>
      <c r="K873" s="216"/>
      <c r="L873" s="216"/>
      <c r="M873" s="216"/>
      <c r="N873" s="216"/>
      <c r="O873" s="216"/>
      <c r="P873" s="216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</row>
    <row r="874" ht="39.75" customHeight="1">
      <c r="A874" s="216"/>
      <c r="B874" s="216"/>
      <c r="C874" s="213"/>
      <c r="D874" s="213"/>
      <c r="E874" s="213"/>
      <c r="F874" s="213"/>
      <c r="G874" s="213"/>
      <c r="H874" s="213"/>
      <c r="I874" s="213"/>
      <c r="J874" s="216"/>
      <c r="K874" s="216"/>
      <c r="L874" s="216"/>
      <c r="M874" s="216"/>
      <c r="N874" s="216"/>
      <c r="O874" s="216"/>
      <c r="P874" s="216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</row>
    <row r="875" ht="39.75" customHeight="1">
      <c r="A875" s="216"/>
      <c r="B875" s="216"/>
      <c r="C875" s="213"/>
      <c r="D875" s="213"/>
      <c r="E875" s="213"/>
      <c r="F875" s="213"/>
      <c r="G875" s="213"/>
      <c r="H875" s="213"/>
      <c r="I875" s="213"/>
      <c r="J875" s="216"/>
      <c r="K875" s="216"/>
      <c r="L875" s="216"/>
      <c r="M875" s="216"/>
      <c r="N875" s="216"/>
      <c r="O875" s="216"/>
      <c r="P875" s="216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</row>
    <row r="876" ht="39.75" customHeight="1">
      <c r="A876" s="216"/>
      <c r="B876" s="216"/>
      <c r="C876" s="213"/>
      <c r="D876" s="213"/>
      <c r="E876" s="213"/>
      <c r="F876" s="213"/>
      <c r="G876" s="213"/>
      <c r="H876" s="213"/>
      <c r="I876" s="213"/>
      <c r="J876" s="216"/>
      <c r="K876" s="216"/>
      <c r="L876" s="216"/>
      <c r="M876" s="216"/>
      <c r="N876" s="216"/>
      <c r="O876" s="216"/>
      <c r="P876" s="216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</row>
    <row r="877" ht="39.75" customHeight="1">
      <c r="A877" s="216"/>
      <c r="B877" s="216"/>
      <c r="C877" s="213"/>
      <c r="D877" s="213"/>
      <c r="E877" s="213"/>
      <c r="F877" s="213"/>
      <c r="G877" s="213"/>
      <c r="H877" s="213"/>
      <c r="I877" s="213"/>
      <c r="J877" s="216"/>
      <c r="K877" s="216"/>
      <c r="L877" s="216"/>
      <c r="M877" s="216"/>
      <c r="N877" s="216"/>
      <c r="O877" s="216"/>
      <c r="P877" s="216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</row>
    <row r="878" ht="39.75" customHeight="1">
      <c r="A878" s="216"/>
      <c r="B878" s="216"/>
      <c r="C878" s="213"/>
      <c r="D878" s="213"/>
      <c r="E878" s="213"/>
      <c r="F878" s="213"/>
      <c r="G878" s="213"/>
      <c r="H878" s="213"/>
      <c r="I878" s="213"/>
      <c r="J878" s="216"/>
      <c r="K878" s="216"/>
      <c r="L878" s="216"/>
      <c r="M878" s="216"/>
      <c r="N878" s="216"/>
      <c r="O878" s="216"/>
      <c r="P878" s="216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</row>
    <row r="879" ht="39.75" customHeight="1">
      <c r="A879" s="216"/>
      <c r="B879" s="216"/>
      <c r="C879" s="213"/>
      <c r="D879" s="213"/>
      <c r="E879" s="213"/>
      <c r="F879" s="213"/>
      <c r="G879" s="213"/>
      <c r="H879" s="213"/>
      <c r="I879" s="213"/>
      <c r="J879" s="216"/>
      <c r="K879" s="216"/>
      <c r="L879" s="216"/>
      <c r="M879" s="216"/>
      <c r="N879" s="216"/>
      <c r="O879" s="216"/>
      <c r="P879" s="216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</row>
    <row r="880" ht="39.75" customHeight="1">
      <c r="A880" s="216"/>
      <c r="B880" s="216"/>
      <c r="C880" s="213"/>
      <c r="D880" s="213"/>
      <c r="E880" s="213"/>
      <c r="F880" s="213"/>
      <c r="G880" s="213"/>
      <c r="H880" s="213"/>
      <c r="I880" s="213"/>
      <c r="J880" s="216"/>
      <c r="K880" s="216"/>
      <c r="L880" s="216"/>
      <c r="M880" s="216"/>
      <c r="N880" s="216"/>
      <c r="O880" s="216"/>
      <c r="P880" s="216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</row>
    <row r="881" ht="39.75" customHeight="1">
      <c r="A881" s="216"/>
      <c r="B881" s="216"/>
      <c r="C881" s="213"/>
      <c r="D881" s="213"/>
      <c r="E881" s="213"/>
      <c r="F881" s="213"/>
      <c r="G881" s="213"/>
      <c r="H881" s="213"/>
      <c r="I881" s="213"/>
      <c r="J881" s="216"/>
      <c r="K881" s="216"/>
      <c r="L881" s="216"/>
      <c r="M881" s="216"/>
      <c r="N881" s="216"/>
      <c r="O881" s="216"/>
      <c r="P881" s="216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</row>
    <row r="882" ht="39.75" customHeight="1">
      <c r="A882" s="216"/>
      <c r="B882" s="216"/>
      <c r="C882" s="213"/>
      <c r="D882" s="213"/>
      <c r="E882" s="213"/>
      <c r="F882" s="213"/>
      <c r="G882" s="213"/>
      <c r="H882" s="213"/>
      <c r="I882" s="213"/>
      <c r="J882" s="216"/>
      <c r="K882" s="216"/>
      <c r="L882" s="216"/>
      <c r="M882" s="216"/>
      <c r="N882" s="216"/>
      <c r="O882" s="216"/>
      <c r="P882" s="216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</row>
    <row r="883" ht="39.75" customHeight="1">
      <c r="A883" s="216"/>
      <c r="B883" s="216"/>
      <c r="C883" s="213"/>
      <c r="D883" s="213"/>
      <c r="E883" s="213"/>
      <c r="F883" s="213"/>
      <c r="G883" s="213"/>
      <c r="H883" s="213"/>
      <c r="I883" s="213"/>
      <c r="J883" s="216"/>
      <c r="K883" s="216"/>
      <c r="L883" s="216"/>
      <c r="M883" s="216"/>
      <c r="N883" s="216"/>
      <c r="O883" s="216"/>
      <c r="P883" s="216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</row>
    <row r="884" ht="39.75" customHeight="1">
      <c r="A884" s="216"/>
      <c r="B884" s="216"/>
      <c r="C884" s="213"/>
      <c r="D884" s="213"/>
      <c r="E884" s="213"/>
      <c r="F884" s="213"/>
      <c r="G884" s="213"/>
      <c r="H884" s="213"/>
      <c r="I884" s="213"/>
      <c r="J884" s="216"/>
      <c r="K884" s="216"/>
      <c r="L884" s="216"/>
      <c r="M884" s="216"/>
      <c r="N884" s="216"/>
      <c r="O884" s="216"/>
      <c r="P884" s="216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</row>
    <row r="885" ht="39.75" customHeight="1">
      <c r="A885" s="216"/>
      <c r="B885" s="216"/>
      <c r="C885" s="213"/>
      <c r="D885" s="213"/>
      <c r="E885" s="213"/>
      <c r="F885" s="213"/>
      <c r="G885" s="213"/>
      <c r="H885" s="213"/>
      <c r="I885" s="213"/>
      <c r="J885" s="216"/>
      <c r="K885" s="216"/>
      <c r="L885" s="216"/>
      <c r="M885" s="216"/>
      <c r="N885" s="216"/>
      <c r="O885" s="216"/>
      <c r="P885" s="216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</row>
    <row r="886" ht="39.75" customHeight="1">
      <c r="A886" s="216"/>
      <c r="B886" s="216"/>
      <c r="C886" s="213"/>
      <c r="D886" s="213"/>
      <c r="E886" s="213"/>
      <c r="F886" s="213"/>
      <c r="G886" s="213"/>
      <c r="H886" s="213"/>
      <c r="I886" s="213"/>
      <c r="J886" s="216"/>
      <c r="K886" s="216"/>
      <c r="L886" s="216"/>
      <c r="M886" s="216"/>
      <c r="N886" s="216"/>
      <c r="O886" s="216"/>
      <c r="P886" s="216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</row>
    <row r="887" ht="39.75" customHeight="1">
      <c r="A887" s="216"/>
      <c r="B887" s="216"/>
      <c r="C887" s="213"/>
      <c r="D887" s="213"/>
      <c r="E887" s="213"/>
      <c r="F887" s="213"/>
      <c r="G887" s="213"/>
      <c r="H887" s="213"/>
      <c r="I887" s="213"/>
      <c r="J887" s="216"/>
      <c r="K887" s="216"/>
      <c r="L887" s="216"/>
      <c r="M887" s="216"/>
      <c r="N887" s="216"/>
      <c r="O887" s="216"/>
      <c r="P887" s="216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</row>
    <row r="888" ht="39.75" customHeight="1">
      <c r="A888" s="216"/>
      <c r="B888" s="216"/>
      <c r="C888" s="213"/>
      <c r="D888" s="213"/>
      <c r="E888" s="213"/>
      <c r="F888" s="213"/>
      <c r="G888" s="213"/>
      <c r="H888" s="213"/>
      <c r="I888" s="213"/>
      <c r="J888" s="216"/>
      <c r="K888" s="216"/>
      <c r="L888" s="216"/>
      <c r="M888" s="216"/>
      <c r="N888" s="216"/>
      <c r="O888" s="216"/>
      <c r="P888" s="216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</row>
    <row r="889" ht="39.75" customHeight="1">
      <c r="A889" s="216"/>
      <c r="B889" s="216"/>
      <c r="C889" s="213"/>
      <c r="D889" s="213"/>
      <c r="E889" s="213"/>
      <c r="F889" s="213"/>
      <c r="G889" s="213"/>
      <c r="H889" s="213"/>
      <c r="I889" s="213"/>
      <c r="J889" s="216"/>
      <c r="K889" s="216"/>
      <c r="L889" s="216"/>
      <c r="M889" s="216"/>
      <c r="N889" s="216"/>
      <c r="O889" s="216"/>
      <c r="P889" s="216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</row>
    <row r="890" ht="39.75" customHeight="1">
      <c r="A890" s="216"/>
      <c r="B890" s="216"/>
      <c r="C890" s="213"/>
      <c r="D890" s="213"/>
      <c r="E890" s="213"/>
      <c r="F890" s="213"/>
      <c r="G890" s="213"/>
      <c r="H890" s="213"/>
      <c r="I890" s="213"/>
      <c r="J890" s="216"/>
      <c r="K890" s="216"/>
      <c r="L890" s="216"/>
      <c r="M890" s="216"/>
      <c r="N890" s="216"/>
      <c r="O890" s="216"/>
      <c r="P890" s="216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</row>
    <row r="891" ht="39.75" customHeight="1">
      <c r="A891" s="216"/>
      <c r="B891" s="216"/>
      <c r="C891" s="213"/>
      <c r="D891" s="213"/>
      <c r="E891" s="213"/>
      <c r="F891" s="213"/>
      <c r="G891" s="213"/>
      <c r="H891" s="213"/>
      <c r="I891" s="213"/>
      <c r="J891" s="216"/>
      <c r="K891" s="216"/>
      <c r="L891" s="216"/>
      <c r="M891" s="216"/>
      <c r="N891" s="216"/>
      <c r="O891" s="216"/>
      <c r="P891" s="216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</row>
    <row r="892" ht="39.75" customHeight="1">
      <c r="A892" s="216"/>
      <c r="B892" s="216"/>
      <c r="C892" s="213"/>
      <c r="D892" s="213"/>
      <c r="E892" s="213"/>
      <c r="F892" s="213"/>
      <c r="G892" s="213"/>
      <c r="H892" s="213"/>
      <c r="I892" s="213"/>
      <c r="J892" s="216"/>
      <c r="K892" s="216"/>
      <c r="L892" s="216"/>
      <c r="M892" s="216"/>
      <c r="N892" s="216"/>
      <c r="O892" s="216"/>
      <c r="P892" s="216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</row>
    <row r="893" ht="39.75" customHeight="1">
      <c r="A893" s="216"/>
      <c r="B893" s="216"/>
      <c r="C893" s="213"/>
      <c r="D893" s="213"/>
      <c r="E893" s="213"/>
      <c r="F893" s="213"/>
      <c r="G893" s="213"/>
      <c r="H893" s="213"/>
      <c r="I893" s="213"/>
      <c r="J893" s="216"/>
      <c r="K893" s="216"/>
      <c r="L893" s="216"/>
      <c r="M893" s="216"/>
      <c r="N893" s="216"/>
      <c r="O893" s="216"/>
      <c r="P893" s="216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</row>
    <row r="894" ht="39.75" customHeight="1">
      <c r="A894" s="216"/>
      <c r="B894" s="216"/>
      <c r="C894" s="213"/>
      <c r="D894" s="213"/>
      <c r="E894" s="213"/>
      <c r="F894" s="213"/>
      <c r="G894" s="213"/>
      <c r="H894" s="213"/>
      <c r="I894" s="213"/>
      <c r="J894" s="216"/>
      <c r="K894" s="216"/>
      <c r="L894" s="216"/>
      <c r="M894" s="216"/>
      <c r="N894" s="216"/>
      <c r="O894" s="216"/>
      <c r="P894" s="216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</row>
    <row r="895" ht="39.75" customHeight="1">
      <c r="A895" s="216"/>
      <c r="B895" s="216"/>
      <c r="C895" s="213"/>
      <c r="D895" s="213"/>
      <c r="E895" s="213"/>
      <c r="F895" s="213"/>
      <c r="G895" s="213"/>
      <c r="H895" s="213"/>
      <c r="I895" s="213"/>
      <c r="J895" s="216"/>
      <c r="K895" s="216"/>
      <c r="L895" s="216"/>
      <c r="M895" s="216"/>
      <c r="N895" s="216"/>
      <c r="O895" s="216"/>
      <c r="P895" s="216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</row>
    <row r="896" ht="39.75" customHeight="1">
      <c r="A896" s="216"/>
      <c r="B896" s="216"/>
      <c r="C896" s="213"/>
      <c r="D896" s="213"/>
      <c r="E896" s="213"/>
      <c r="F896" s="213"/>
      <c r="G896" s="213"/>
      <c r="H896" s="213"/>
      <c r="I896" s="213"/>
      <c r="J896" s="216"/>
      <c r="K896" s="216"/>
      <c r="L896" s="216"/>
      <c r="M896" s="216"/>
      <c r="N896" s="216"/>
      <c r="O896" s="216"/>
      <c r="P896" s="216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</row>
    <row r="897" ht="39.75" customHeight="1">
      <c r="A897" s="216"/>
      <c r="B897" s="216"/>
      <c r="C897" s="213"/>
      <c r="D897" s="213"/>
      <c r="E897" s="213"/>
      <c r="F897" s="213"/>
      <c r="G897" s="213"/>
      <c r="H897" s="213"/>
      <c r="I897" s="213"/>
      <c r="J897" s="216"/>
      <c r="K897" s="216"/>
      <c r="L897" s="216"/>
      <c r="M897" s="216"/>
      <c r="N897" s="216"/>
      <c r="O897" s="216"/>
      <c r="P897" s="216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</row>
    <row r="898" ht="39.75" customHeight="1">
      <c r="A898" s="216"/>
      <c r="B898" s="216"/>
      <c r="C898" s="213"/>
      <c r="D898" s="213"/>
      <c r="E898" s="213"/>
      <c r="F898" s="213"/>
      <c r="G898" s="213"/>
      <c r="H898" s="213"/>
      <c r="I898" s="213"/>
      <c r="J898" s="216"/>
      <c r="K898" s="216"/>
      <c r="L898" s="216"/>
      <c r="M898" s="216"/>
      <c r="N898" s="216"/>
      <c r="O898" s="216"/>
      <c r="P898" s="216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</row>
    <row r="899" ht="39.75" customHeight="1">
      <c r="A899" s="216"/>
      <c r="B899" s="216"/>
      <c r="C899" s="213"/>
      <c r="D899" s="213"/>
      <c r="E899" s="213"/>
      <c r="F899" s="213"/>
      <c r="G899" s="213"/>
      <c r="H899" s="213"/>
      <c r="I899" s="213"/>
      <c r="J899" s="216"/>
      <c r="K899" s="216"/>
      <c r="L899" s="216"/>
      <c r="M899" s="216"/>
      <c r="N899" s="216"/>
      <c r="O899" s="216"/>
      <c r="P899" s="216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</row>
    <row r="900" ht="39.75" customHeight="1">
      <c r="A900" s="216"/>
      <c r="B900" s="216"/>
      <c r="C900" s="213"/>
      <c r="D900" s="213"/>
      <c r="E900" s="213"/>
      <c r="F900" s="213"/>
      <c r="G900" s="213"/>
      <c r="H900" s="213"/>
      <c r="I900" s="213"/>
      <c r="J900" s="216"/>
      <c r="K900" s="216"/>
      <c r="L900" s="216"/>
      <c r="M900" s="216"/>
      <c r="N900" s="216"/>
      <c r="O900" s="216"/>
      <c r="P900" s="216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</row>
    <row r="901" ht="39.75" customHeight="1">
      <c r="A901" s="216"/>
      <c r="B901" s="216"/>
      <c r="C901" s="213"/>
      <c r="D901" s="213"/>
      <c r="E901" s="213"/>
      <c r="F901" s="213"/>
      <c r="G901" s="213"/>
      <c r="H901" s="213"/>
      <c r="I901" s="213"/>
      <c r="J901" s="216"/>
      <c r="K901" s="216"/>
      <c r="L901" s="216"/>
      <c r="M901" s="216"/>
      <c r="N901" s="216"/>
      <c r="O901" s="216"/>
      <c r="P901" s="216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</row>
    <row r="902" ht="39.75" customHeight="1">
      <c r="A902" s="216"/>
      <c r="B902" s="216"/>
      <c r="C902" s="213"/>
      <c r="D902" s="213"/>
      <c r="E902" s="213"/>
      <c r="F902" s="213"/>
      <c r="G902" s="213"/>
      <c r="H902" s="213"/>
      <c r="I902" s="213"/>
      <c r="J902" s="216"/>
      <c r="K902" s="216"/>
      <c r="L902" s="216"/>
      <c r="M902" s="216"/>
      <c r="N902" s="216"/>
      <c r="O902" s="216"/>
      <c r="P902" s="216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</row>
    <row r="903" ht="39.75" customHeight="1">
      <c r="A903" s="216"/>
      <c r="B903" s="216"/>
      <c r="C903" s="213"/>
      <c r="D903" s="213"/>
      <c r="E903" s="213"/>
      <c r="F903" s="213"/>
      <c r="G903" s="213"/>
      <c r="H903" s="213"/>
      <c r="I903" s="213"/>
      <c r="J903" s="216"/>
      <c r="K903" s="216"/>
      <c r="L903" s="216"/>
      <c r="M903" s="216"/>
      <c r="N903" s="216"/>
      <c r="O903" s="216"/>
      <c r="P903" s="216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</row>
    <row r="904" ht="39.75" customHeight="1">
      <c r="A904" s="216"/>
      <c r="B904" s="216"/>
      <c r="C904" s="213"/>
      <c r="D904" s="213"/>
      <c r="E904" s="213"/>
      <c r="F904" s="213"/>
      <c r="G904" s="213"/>
      <c r="H904" s="213"/>
      <c r="I904" s="213"/>
      <c r="J904" s="216"/>
      <c r="K904" s="216"/>
      <c r="L904" s="216"/>
      <c r="M904" s="216"/>
      <c r="N904" s="216"/>
      <c r="O904" s="216"/>
      <c r="P904" s="216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</row>
    <row r="905" ht="39.75" customHeight="1">
      <c r="A905" s="216"/>
      <c r="B905" s="216"/>
      <c r="C905" s="213"/>
      <c r="D905" s="213"/>
      <c r="E905" s="213"/>
      <c r="F905" s="213"/>
      <c r="G905" s="213"/>
      <c r="H905" s="213"/>
      <c r="I905" s="213"/>
      <c r="J905" s="216"/>
      <c r="K905" s="216"/>
      <c r="L905" s="216"/>
      <c r="M905" s="216"/>
      <c r="N905" s="216"/>
      <c r="O905" s="216"/>
      <c r="P905" s="216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</row>
    <row r="906" ht="39.75" customHeight="1">
      <c r="A906" s="216"/>
      <c r="B906" s="216"/>
      <c r="C906" s="213"/>
      <c r="D906" s="213"/>
      <c r="E906" s="213"/>
      <c r="F906" s="213"/>
      <c r="G906" s="213"/>
      <c r="H906" s="213"/>
      <c r="I906" s="213"/>
      <c r="J906" s="216"/>
      <c r="K906" s="216"/>
      <c r="L906" s="216"/>
      <c r="M906" s="216"/>
      <c r="N906" s="216"/>
      <c r="O906" s="216"/>
      <c r="P906" s="216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</row>
    <row r="907" ht="39.75" customHeight="1">
      <c r="A907" s="216"/>
      <c r="B907" s="216"/>
      <c r="C907" s="213"/>
      <c r="D907" s="213"/>
      <c r="E907" s="213"/>
      <c r="F907" s="213"/>
      <c r="G907" s="213"/>
      <c r="H907" s="213"/>
      <c r="I907" s="213"/>
      <c r="J907" s="216"/>
      <c r="K907" s="216"/>
      <c r="L907" s="216"/>
      <c r="M907" s="216"/>
      <c r="N907" s="216"/>
      <c r="O907" s="216"/>
      <c r="P907" s="216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</row>
    <row r="908" ht="39.75" customHeight="1">
      <c r="A908" s="216"/>
      <c r="B908" s="216"/>
      <c r="C908" s="213"/>
      <c r="D908" s="213"/>
      <c r="E908" s="213"/>
      <c r="F908" s="213"/>
      <c r="G908" s="213"/>
      <c r="H908" s="213"/>
      <c r="I908" s="213"/>
      <c r="J908" s="216"/>
      <c r="K908" s="216"/>
      <c r="L908" s="216"/>
      <c r="M908" s="216"/>
      <c r="N908" s="216"/>
      <c r="O908" s="216"/>
      <c r="P908" s="216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</row>
    <row r="909" ht="39.75" customHeight="1">
      <c r="A909" s="216"/>
      <c r="B909" s="216"/>
      <c r="C909" s="213"/>
      <c r="D909" s="213"/>
      <c r="E909" s="213"/>
      <c r="F909" s="213"/>
      <c r="G909" s="213"/>
      <c r="H909" s="213"/>
      <c r="I909" s="213"/>
      <c r="J909" s="216"/>
      <c r="K909" s="216"/>
      <c r="L909" s="216"/>
      <c r="M909" s="216"/>
      <c r="N909" s="216"/>
      <c r="O909" s="216"/>
      <c r="P909" s="216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</row>
    <row r="910" ht="39.75" customHeight="1">
      <c r="A910" s="216"/>
      <c r="B910" s="216"/>
      <c r="C910" s="213"/>
      <c r="D910" s="213"/>
      <c r="E910" s="213"/>
      <c r="F910" s="213"/>
      <c r="G910" s="213"/>
      <c r="H910" s="213"/>
      <c r="I910" s="213"/>
      <c r="J910" s="216"/>
      <c r="K910" s="216"/>
      <c r="L910" s="216"/>
      <c r="M910" s="216"/>
      <c r="N910" s="216"/>
      <c r="O910" s="216"/>
      <c r="P910" s="216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</row>
    <row r="911" ht="39.75" customHeight="1">
      <c r="A911" s="216"/>
      <c r="B911" s="216"/>
      <c r="C911" s="213"/>
      <c r="D911" s="213"/>
      <c r="E911" s="213"/>
      <c r="F911" s="213"/>
      <c r="G911" s="213"/>
      <c r="H911" s="213"/>
      <c r="I911" s="213"/>
      <c r="J911" s="216"/>
      <c r="K911" s="216"/>
      <c r="L911" s="216"/>
      <c r="M911" s="216"/>
      <c r="N911" s="216"/>
      <c r="O911" s="216"/>
      <c r="P911" s="216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</row>
    <row r="912" ht="39.75" customHeight="1">
      <c r="A912" s="216"/>
      <c r="B912" s="216"/>
      <c r="C912" s="213"/>
      <c r="D912" s="213"/>
      <c r="E912" s="213"/>
      <c r="F912" s="213"/>
      <c r="G912" s="213"/>
      <c r="H912" s="213"/>
      <c r="I912" s="213"/>
      <c r="J912" s="216"/>
      <c r="K912" s="216"/>
      <c r="L912" s="216"/>
      <c r="M912" s="216"/>
      <c r="N912" s="216"/>
      <c r="O912" s="216"/>
      <c r="P912" s="216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</row>
    <row r="913" ht="39.75" customHeight="1">
      <c r="A913" s="216"/>
      <c r="B913" s="216"/>
      <c r="C913" s="213"/>
      <c r="D913" s="213"/>
      <c r="E913" s="213"/>
      <c r="F913" s="213"/>
      <c r="G913" s="213"/>
      <c r="H913" s="213"/>
      <c r="I913" s="213"/>
      <c r="J913" s="216"/>
      <c r="K913" s="216"/>
      <c r="L913" s="216"/>
      <c r="M913" s="216"/>
      <c r="N913" s="216"/>
      <c r="O913" s="216"/>
      <c r="P913" s="216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</row>
    <row r="914" ht="39.75" customHeight="1">
      <c r="A914" s="216"/>
      <c r="B914" s="216"/>
      <c r="C914" s="213"/>
      <c r="D914" s="213"/>
      <c r="E914" s="213"/>
      <c r="F914" s="213"/>
      <c r="G914" s="213"/>
      <c r="H914" s="213"/>
      <c r="I914" s="213"/>
      <c r="J914" s="216"/>
      <c r="K914" s="216"/>
      <c r="L914" s="216"/>
      <c r="M914" s="216"/>
      <c r="N914" s="216"/>
      <c r="O914" s="216"/>
      <c r="P914" s="216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</row>
    <row r="915" ht="39.75" customHeight="1">
      <c r="A915" s="216"/>
      <c r="B915" s="216"/>
      <c r="C915" s="213"/>
      <c r="D915" s="213"/>
      <c r="E915" s="213"/>
      <c r="F915" s="213"/>
      <c r="G915" s="213"/>
      <c r="H915" s="213"/>
      <c r="I915" s="213"/>
      <c r="J915" s="216"/>
      <c r="K915" s="216"/>
      <c r="L915" s="216"/>
      <c r="M915" s="216"/>
      <c r="N915" s="216"/>
      <c r="O915" s="216"/>
      <c r="P915" s="216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</row>
    <row r="916" ht="39.75" customHeight="1">
      <c r="A916" s="216"/>
      <c r="B916" s="216"/>
      <c r="C916" s="213"/>
      <c r="D916" s="213"/>
      <c r="E916" s="213"/>
      <c r="F916" s="213"/>
      <c r="G916" s="213"/>
      <c r="H916" s="213"/>
      <c r="I916" s="213"/>
      <c r="J916" s="216"/>
      <c r="K916" s="216"/>
      <c r="L916" s="216"/>
      <c r="M916" s="216"/>
      <c r="N916" s="216"/>
      <c r="O916" s="216"/>
      <c r="P916" s="216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</row>
    <row r="917" ht="39.75" customHeight="1">
      <c r="A917" s="216"/>
      <c r="B917" s="216"/>
      <c r="C917" s="213"/>
      <c r="D917" s="213"/>
      <c r="E917" s="213"/>
      <c r="F917" s="213"/>
      <c r="G917" s="213"/>
      <c r="H917" s="213"/>
      <c r="I917" s="213"/>
      <c r="J917" s="216"/>
      <c r="K917" s="216"/>
      <c r="L917" s="216"/>
      <c r="M917" s="216"/>
      <c r="N917" s="216"/>
      <c r="O917" s="216"/>
      <c r="P917" s="216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</row>
    <row r="918" ht="39.75" customHeight="1">
      <c r="A918" s="216"/>
      <c r="B918" s="216"/>
      <c r="C918" s="213"/>
      <c r="D918" s="213"/>
      <c r="E918" s="213"/>
      <c r="F918" s="213"/>
      <c r="G918" s="213"/>
      <c r="H918" s="213"/>
      <c r="I918" s="213"/>
      <c r="J918" s="216"/>
      <c r="K918" s="216"/>
      <c r="L918" s="216"/>
      <c r="M918" s="216"/>
      <c r="N918" s="216"/>
      <c r="O918" s="216"/>
      <c r="P918" s="216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</row>
    <row r="919" ht="39.75" customHeight="1">
      <c r="A919" s="216"/>
      <c r="B919" s="216"/>
      <c r="C919" s="213"/>
      <c r="D919" s="213"/>
      <c r="E919" s="213"/>
      <c r="F919" s="213"/>
      <c r="G919" s="213"/>
      <c r="H919" s="213"/>
      <c r="I919" s="213"/>
      <c r="J919" s="216"/>
      <c r="K919" s="216"/>
      <c r="L919" s="216"/>
      <c r="M919" s="216"/>
      <c r="N919" s="216"/>
      <c r="O919" s="216"/>
      <c r="P919" s="216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</row>
    <row r="920" ht="39.75" customHeight="1">
      <c r="A920" s="216"/>
      <c r="B920" s="216"/>
      <c r="C920" s="213"/>
      <c r="D920" s="213"/>
      <c r="E920" s="213"/>
      <c r="F920" s="213"/>
      <c r="G920" s="213"/>
      <c r="H920" s="213"/>
      <c r="I920" s="213"/>
      <c r="J920" s="216"/>
      <c r="K920" s="216"/>
      <c r="L920" s="216"/>
      <c r="M920" s="216"/>
      <c r="N920" s="216"/>
      <c r="O920" s="216"/>
      <c r="P920" s="216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</row>
    <row r="921" ht="39.75" customHeight="1">
      <c r="A921" s="216"/>
      <c r="B921" s="216"/>
      <c r="C921" s="213"/>
      <c r="D921" s="213"/>
      <c r="E921" s="213"/>
      <c r="F921" s="213"/>
      <c r="G921" s="213"/>
      <c r="H921" s="213"/>
      <c r="I921" s="213"/>
      <c r="J921" s="216"/>
      <c r="K921" s="216"/>
      <c r="L921" s="216"/>
      <c r="M921" s="216"/>
      <c r="N921" s="216"/>
      <c r="O921" s="216"/>
      <c r="P921" s="216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</row>
    <row r="922" ht="39.75" customHeight="1">
      <c r="A922" s="216"/>
      <c r="B922" s="216"/>
      <c r="C922" s="213"/>
      <c r="D922" s="213"/>
      <c r="E922" s="213"/>
      <c r="F922" s="213"/>
      <c r="G922" s="213"/>
      <c r="H922" s="213"/>
      <c r="I922" s="213"/>
      <c r="J922" s="216"/>
      <c r="K922" s="216"/>
      <c r="L922" s="216"/>
      <c r="M922" s="216"/>
      <c r="N922" s="216"/>
      <c r="O922" s="216"/>
      <c r="P922" s="216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</row>
    <row r="923" ht="39.75" customHeight="1">
      <c r="A923" s="216"/>
      <c r="B923" s="216"/>
      <c r="C923" s="213"/>
      <c r="D923" s="213"/>
      <c r="E923" s="213"/>
      <c r="F923" s="213"/>
      <c r="G923" s="213"/>
      <c r="H923" s="213"/>
      <c r="I923" s="213"/>
      <c r="J923" s="216"/>
      <c r="K923" s="216"/>
      <c r="L923" s="216"/>
      <c r="M923" s="216"/>
      <c r="N923" s="216"/>
      <c r="O923" s="216"/>
      <c r="P923" s="216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</row>
    <row r="924" ht="39.75" customHeight="1">
      <c r="A924" s="216"/>
      <c r="B924" s="216"/>
      <c r="C924" s="213"/>
      <c r="D924" s="213"/>
      <c r="E924" s="213"/>
      <c r="F924" s="213"/>
      <c r="G924" s="213"/>
      <c r="H924" s="213"/>
      <c r="I924" s="213"/>
      <c r="J924" s="216"/>
      <c r="K924" s="216"/>
      <c r="L924" s="216"/>
      <c r="M924" s="216"/>
      <c r="N924" s="216"/>
      <c r="O924" s="216"/>
      <c r="P924" s="216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</row>
    <row r="925" ht="39.75" customHeight="1">
      <c r="A925" s="216"/>
      <c r="B925" s="216"/>
      <c r="C925" s="213"/>
      <c r="D925" s="213"/>
      <c r="E925" s="213"/>
      <c r="F925" s="213"/>
      <c r="G925" s="213"/>
      <c r="H925" s="213"/>
      <c r="I925" s="213"/>
      <c r="J925" s="216"/>
      <c r="K925" s="216"/>
      <c r="L925" s="216"/>
      <c r="M925" s="216"/>
      <c r="N925" s="216"/>
      <c r="O925" s="216"/>
      <c r="P925" s="216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</row>
    <row r="926" ht="39.75" customHeight="1">
      <c r="A926" s="216"/>
      <c r="B926" s="216"/>
      <c r="C926" s="213"/>
      <c r="D926" s="213"/>
      <c r="E926" s="213"/>
      <c r="F926" s="213"/>
      <c r="G926" s="213"/>
      <c r="H926" s="213"/>
      <c r="I926" s="213"/>
      <c r="J926" s="216"/>
      <c r="K926" s="216"/>
      <c r="L926" s="216"/>
      <c r="M926" s="216"/>
      <c r="N926" s="216"/>
      <c r="O926" s="216"/>
      <c r="P926" s="216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</row>
    <row r="927" ht="39.75" customHeight="1">
      <c r="A927" s="216"/>
      <c r="B927" s="216"/>
      <c r="C927" s="213"/>
      <c r="D927" s="213"/>
      <c r="E927" s="213"/>
      <c r="F927" s="213"/>
      <c r="G927" s="213"/>
      <c r="H927" s="213"/>
      <c r="I927" s="213"/>
      <c r="J927" s="216"/>
      <c r="K927" s="216"/>
      <c r="L927" s="216"/>
      <c r="M927" s="216"/>
      <c r="N927" s="216"/>
      <c r="O927" s="216"/>
      <c r="P927" s="216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</row>
    <row r="928" ht="39.75" customHeight="1">
      <c r="A928" s="216"/>
      <c r="B928" s="216"/>
      <c r="C928" s="213"/>
      <c r="D928" s="213"/>
      <c r="E928" s="213"/>
      <c r="F928" s="213"/>
      <c r="G928" s="213"/>
      <c r="H928" s="213"/>
      <c r="I928" s="213"/>
      <c r="J928" s="216"/>
      <c r="K928" s="216"/>
      <c r="L928" s="216"/>
      <c r="M928" s="216"/>
      <c r="N928" s="216"/>
      <c r="O928" s="216"/>
      <c r="P928" s="216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</row>
    <row r="929" ht="39.75" customHeight="1">
      <c r="A929" s="216"/>
      <c r="B929" s="216"/>
      <c r="C929" s="213"/>
      <c r="D929" s="213"/>
      <c r="E929" s="213"/>
      <c r="F929" s="213"/>
      <c r="G929" s="213"/>
      <c r="H929" s="213"/>
      <c r="I929" s="213"/>
      <c r="J929" s="216"/>
      <c r="K929" s="216"/>
      <c r="L929" s="216"/>
      <c r="M929" s="216"/>
      <c r="N929" s="216"/>
      <c r="O929" s="216"/>
      <c r="P929" s="216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</row>
    <row r="930" ht="39.75" customHeight="1">
      <c r="A930" s="216"/>
      <c r="B930" s="216"/>
      <c r="C930" s="213"/>
      <c r="D930" s="213"/>
      <c r="E930" s="213"/>
      <c r="F930" s="213"/>
      <c r="G930" s="213"/>
      <c r="H930" s="213"/>
      <c r="I930" s="213"/>
      <c r="J930" s="216"/>
      <c r="K930" s="216"/>
      <c r="L930" s="216"/>
      <c r="M930" s="216"/>
      <c r="N930" s="216"/>
      <c r="O930" s="216"/>
      <c r="P930" s="216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</row>
    <row r="931" ht="39.75" customHeight="1">
      <c r="A931" s="216"/>
      <c r="B931" s="216"/>
      <c r="C931" s="213"/>
      <c r="D931" s="213"/>
      <c r="E931" s="213"/>
      <c r="F931" s="213"/>
      <c r="G931" s="213"/>
      <c r="H931" s="213"/>
      <c r="I931" s="213"/>
      <c r="J931" s="216"/>
      <c r="K931" s="216"/>
      <c r="L931" s="216"/>
      <c r="M931" s="216"/>
      <c r="N931" s="216"/>
      <c r="O931" s="216"/>
      <c r="P931" s="216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</row>
    <row r="932" ht="39.75" customHeight="1">
      <c r="A932" s="216"/>
      <c r="B932" s="216"/>
      <c r="C932" s="213"/>
      <c r="D932" s="213"/>
      <c r="E932" s="213"/>
      <c r="F932" s="213"/>
      <c r="G932" s="213"/>
      <c r="H932" s="213"/>
      <c r="I932" s="213"/>
      <c r="J932" s="216"/>
      <c r="K932" s="216"/>
      <c r="L932" s="216"/>
      <c r="M932" s="216"/>
      <c r="N932" s="216"/>
      <c r="O932" s="216"/>
      <c r="P932" s="216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</row>
    <row r="933" ht="39.75" customHeight="1">
      <c r="A933" s="216"/>
      <c r="B933" s="216"/>
      <c r="C933" s="213"/>
      <c r="D933" s="213"/>
      <c r="E933" s="213"/>
      <c r="F933" s="213"/>
      <c r="G933" s="213"/>
      <c r="H933" s="213"/>
      <c r="I933" s="213"/>
      <c r="J933" s="216"/>
      <c r="K933" s="216"/>
      <c r="L933" s="216"/>
      <c r="M933" s="216"/>
      <c r="N933" s="216"/>
      <c r="O933" s="216"/>
      <c r="P933" s="216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</row>
    <row r="934" ht="39.75" customHeight="1">
      <c r="A934" s="216"/>
      <c r="B934" s="216"/>
      <c r="C934" s="213"/>
      <c r="D934" s="213"/>
      <c r="E934" s="213"/>
      <c r="F934" s="213"/>
      <c r="G934" s="213"/>
      <c r="H934" s="213"/>
      <c r="I934" s="213"/>
      <c r="J934" s="216"/>
      <c r="K934" s="216"/>
      <c r="L934" s="216"/>
      <c r="M934" s="216"/>
      <c r="N934" s="216"/>
      <c r="O934" s="216"/>
      <c r="P934" s="216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</row>
    <row r="935" ht="39.75" customHeight="1">
      <c r="A935" s="216"/>
      <c r="B935" s="216"/>
      <c r="C935" s="213"/>
      <c r="D935" s="213"/>
      <c r="E935" s="213"/>
      <c r="F935" s="213"/>
      <c r="G935" s="213"/>
      <c r="H935" s="213"/>
      <c r="I935" s="213"/>
      <c r="J935" s="216"/>
      <c r="K935" s="216"/>
      <c r="L935" s="216"/>
      <c r="M935" s="216"/>
      <c r="N935" s="216"/>
      <c r="O935" s="216"/>
      <c r="P935" s="216"/>
      <c r="Q935" s="213"/>
      <c r="R935" s="213"/>
      <c r="S935" s="213"/>
      <c r="T935" s="213"/>
      <c r="U935" s="213"/>
      <c r="V935" s="213"/>
      <c r="W935" s="213"/>
      <c r="X935" s="213"/>
      <c r="Y935" s="213"/>
      <c r="Z935" s="213"/>
    </row>
    <row r="936" ht="39.75" customHeight="1">
      <c r="A936" s="216"/>
      <c r="B936" s="216"/>
      <c r="C936" s="213"/>
      <c r="D936" s="213"/>
      <c r="E936" s="213"/>
      <c r="F936" s="213"/>
      <c r="G936" s="213"/>
      <c r="H936" s="213"/>
      <c r="I936" s="213"/>
      <c r="J936" s="216"/>
      <c r="K936" s="216"/>
      <c r="L936" s="216"/>
      <c r="M936" s="216"/>
      <c r="N936" s="216"/>
      <c r="O936" s="216"/>
      <c r="P936" s="216"/>
      <c r="Q936" s="213"/>
      <c r="R936" s="213"/>
      <c r="S936" s="213"/>
      <c r="T936" s="213"/>
      <c r="U936" s="213"/>
      <c r="V936" s="213"/>
      <c r="W936" s="213"/>
      <c r="X936" s="213"/>
      <c r="Y936" s="213"/>
      <c r="Z936" s="213"/>
    </row>
    <row r="937" ht="39.75" customHeight="1">
      <c r="A937" s="216"/>
      <c r="B937" s="216"/>
      <c r="C937" s="213"/>
      <c r="D937" s="213"/>
      <c r="E937" s="213"/>
      <c r="F937" s="213"/>
      <c r="G937" s="213"/>
      <c r="H937" s="213"/>
      <c r="I937" s="213"/>
      <c r="J937" s="216"/>
      <c r="K937" s="216"/>
      <c r="L937" s="216"/>
      <c r="M937" s="216"/>
      <c r="N937" s="216"/>
      <c r="O937" s="216"/>
      <c r="P937" s="216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</row>
    <row r="938" ht="39.75" customHeight="1">
      <c r="A938" s="216"/>
      <c r="B938" s="216"/>
      <c r="C938" s="213"/>
      <c r="D938" s="213"/>
      <c r="E938" s="213"/>
      <c r="F938" s="213"/>
      <c r="G938" s="213"/>
      <c r="H938" s="213"/>
      <c r="I938" s="213"/>
      <c r="J938" s="216"/>
      <c r="K938" s="216"/>
      <c r="L938" s="216"/>
      <c r="M938" s="216"/>
      <c r="N938" s="216"/>
      <c r="O938" s="216"/>
      <c r="P938" s="216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</row>
    <row r="939" ht="39.75" customHeight="1">
      <c r="A939" s="216"/>
      <c r="B939" s="216"/>
      <c r="C939" s="213"/>
      <c r="D939" s="213"/>
      <c r="E939" s="213"/>
      <c r="F939" s="213"/>
      <c r="G939" s="213"/>
      <c r="H939" s="213"/>
      <c r="I939" s="213"/>
      <c r="J939" s="216"/>
      <c r="K939" s="216"/>
      <c r="L939" s="216"/>
      <c r="M939" s="216"/>
      <c r="N939" s="216"/>
      <c r="O939" s="216"/>
      <c r="P939" s="216"/>
      <c r="Q939" s="213"/>
      <c r="R939" s="213"/>
      <c r="S939" s="213"/>
      <c r="T939" s="213"/>
      <c r="U939" s="213"/>
      <c r="V939" s="213"/>
      <c r="W939" s="213"/>
      <c r="X939" s="213"/>
      <c r="Y939" s="213"/>
      <c r="Z939" s="213"/>
    </row>
    <row r="940" ht="39.75" customHeight="1">
      <c r="A940" s="216"/>
      <c r="B940" s="216"/>
      <c r="C940" s="213"/>
      <c r="D940" s="213"/>
      <c r="E940" s="213"/>
      <c r="F940" s="213"/>
      <c r="G940" s="213"/>
      <c r="H940" s="213"/>
      <c r="I940" s="213"/>
      <c r="J940" s="216"/>
      <c r="K940" s="216"/>
      <c r="L940" s="216"/>
      <c r="M940" s="216"/>
      <c r="N940" s="216"/>
      <c r="O940" s="216"/>
      <c r="P940" s="216"/>
      <c r="Q940" s="213"/>
      <c r="R940" s="213"/>
      <c r="S940" s="213"/>
      <c r="T940" s="213"/>
      <c r="U940" s="213"/>
      <c r="V940" s="213"/>
      <c r="W940" s="213"/>
      <c r="X940" s="213"/>
      <c r="Y940" s="213"/>
      <c r="Z940" s="213"/>
    </row>
    <row r="941" ht="39.75" customHeight="1">
      <c r="A941" s="216"/>
      <c r="B941" s="216"/>
      <c r="C941" s="213"/>
      <c r="D941" s="213"/>
      <c r="E941" s="213"/>
      <c r="F941" s="213"/>
      <c r="G941" s="213"/>
      <c r="H941" s="213"/>
      <c r="I941" s="213"/>
      <c r="J941" s="216"/>
      <c r="K941" s="216"/>
      <c r="L941" s="216"/>
      <c r="M941" s="216"/>
      <c r="N941" s="216"/>
      <c r="O941" s="216"/>
      <c r="P941" s="216"/>
      <c r="Q941" s="213"/>
      <c r="R941" s="213"/>
      <c r="S941" s="213"/>
      <c r="T941" s="213"/>
      <c r="U941" s="213"/>
      <c r="V941" s="213"/>
      <c r="W941" s="213"/>
      <c r="X941" s="213"/>
      <c r="Y941" s="213"/>
      <c r="Z941" s="213"/>
    </row>
    <row r="942" ht="39.75" customHeight="1">
      <c r="A942" s="216"/>
      <c r="B942" s="216"/>
      <c r="C942" s="213"/>
      <c r="D942" s="213"/>
      <c r="E942" s="213"/>
      <c r="F942" s="213"/>
      <c r="G942" s="213"/>
      <c r="H942" s="213"/>
      <c r="I942" s="213"/>
      <c r="J942" s="216"/>
      <c r="K942" s="216"/>
      <c r="L942" s="216"/>
      <c r="M942" s="216"/>
      <c r="N942" s="216"/>
      <c r="O942" s="216"/>
      <c r="P942" s="216"/>
      <c r="Q942" s="213"/>
      <c r="R942" s="213"/>
      <c r="S942" s="213"/>
      <c r="T942" s="213"/>
      <c r="U942" s="213"/>
      <c r="V942" s="213"/>
      <c r="W942" s="213"/>
      <c r="X942" s="213"/>
      <c r="Y942" s="213"/>
      <c r="Z942" s="213"/>
    </row>
    <row r="943" ht="39.75" customHeight="1">
      <c r="A943" s="216"/>
      <c r="B943" s="216"/>
      <c r="C943" s="213"/>
      <c r="D943" s="213"/>
      <c r="E943" s="213"/>
      <c r="F943" s="213"/>
      <c r="G943" s="213"/>
      <c r="H943" s="213"/>
      <c r="I943" s="213"/>
      <c r="J943" s="216"/>
      <c r="K943" s="216"/>
      <c r="L943" s="216"/>
      <c r="M943" s="216"/>
      <c r="N943" s="216"/>
      <c r="O943" s="216"/>
      <c r="P943" s="216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</row>
    <row r="944" ht="39.75" customHeight="1">
      <c r="A944" s="216"/>
      <c r="B944" s="216"/>
      <c r="C944" s="213"/>
      <c r="D944" s="213"/>
      <c r="E944" s="213"/>
      <c r="F944" s="213"/>
      <c r="G944" s="213"/>
      <c r="H944" s="213"/>
      <c r="I944" s="213"/>
      <c r="J944" s="216"/>
      <c r="K944" s="216"/>
      <c r="L944" s="216"/>
      <c r="M944" s="216"/>
      <c r="N944" s="216"/>
      <c r="O944" s="216"/>
      <c r="P944" s="216"/>
      <c r="Q944" s="213"/>
      <c r="R944" s="213"/>
      <c r="S944" s="213"/>
      <c r="T944" s="213"/>
      <c r="U944" s="213"/>
      <c r="V944" s="213"/>
      <c r="W944" s="213"/>
      <c r="X944" s="213"/>
      <c r="Y944" s="213"/>
      <c r="Z944" s="213"/>
    </row>
    <row r="945" ht="39.75" customHeight="1">
      <c r="A945" s="216"/>
      <c r="B945" s="216"/>
      <c r="C945" s="213"/>
      <c r="D945" s="213"/>
      <c r="E945" s="213"/>
      <c r="F945" s="213"/>
      <c r="G945" s="213"/>
      <c r="H945" s="213"/>
      <c r="I945" s="213"/>
      <c r="J945" s="216"/>
      <c r="K945" s="216"/>
      <c r="L945" s="216"/>
      <c r="M945" s="216"/>
      <c r="N945" s="216"/>
      <c r="O945" s="216"/>
      <c r="P945" s="216"/>
      <c r="Q945" s="213"/>
      <c r="R945" s="213"/>
      <c r="S945" s="213"/>
      <c r="T945" s="213"/>
      <c r="U945" s="213"/>
      <c r="V945" s="213"/>
      <c r="W945" s="213"/>
      <c r="X945" s="213"/>
      <c r="Y945" s="213"/>
      <c r="Z945" s="213"/>
    </row>
    <row r="946" ht="39.75" customHeight="1">
      <c r="A946" s="216"/>
      <c r="B946" s="216"/>
      <c r="C946" s="213"/>
      <c r="D946" s="213"/>
      <c r="E946" s="213"/>
      <c r="F946" s="213"/>
      <c r="G946" s="213"/>
      <c r="H946" s="213"/>
      <c r="I946" s="213"/>
      <c r="J946" s="216"/>
      <c r="K946" s="216"/>
      <c r="L946" s="216"/>
      <c r="M946" s="216"/>
      <c r="N946" s="216"/>
      <c r="O946" s="216"/>
      <c r="P946" s="216"/>
      <c r="Q946" s="213"/>
      <c r="R946" s="213"/>
      <c r="S946" s="213"/>
      <c r="T946" s="213"/>
      <c r="U946" s="213"/>
      <c r="V946" s="213"/>
      <c r="W946" s="213"/>
      <c r="X946" s="213"/>
      <c r="Y946" s="213"/>
      <c r="Z946" s="213"/>
    </row>
    <row r="947" ht="39.75" customHeight="1">
      <c r="A947" s="216"/>
      <c r="B947" s="216"/>
      <c r="C947" s="213"/>
      <c r="D947" s="213"/>
      <c r="E947" s="213"/>
      <c r="F947" s="213"/>
      <c r="G947" s="213"/>
      <c r="H947" s="213"/>
      <c r="I947" s="213"/>
      <c r="J947" s="216"/>
      <c r="K947" s="216"/>
      <c r="L947" s="216"/>
      <c r="M947" s="216"/>
      <c r="N947" s="216"/>
      <c r="O947" s="216"/>
      <c r="P947" s="216"/>
      <c r="Q947" s="213"/>
      <c r="R947" s="213"/>
      <c r="S947" s="213"/>
      <c r="T947" s="213"/>
      <c r="U947" s="213"/>
      <c r="V947" s="213"/>
      <c r="W947" s="213"/>
      <c r="X947" s="213"/>
      <c r="Y947" s="213"/>
      <c r="Z947" s="213"/>
    </row>
    <row r="948" ht="39.75" customHeight="1">
      <c r="A948" s="216"/>
      <c r="B948" s="216"/>
      <c r="C948" s="213"/>
      <c r="D948" s="213"/>
      <c r="E948" s="213"/>
      <c r="F948" s="213"/>
      <c r="G948" s="213"/>
      <c r="H948" s="213"/>
      <c r="I948" s="213"/>
      <c r="J948" s="216"/>
      <c r="K948" s="216"/>
      <c r="L948" s="216"/>
      <c r="M948" s="216"/>
      <c r="N948" s="216"/>
      <c r="O948" s="216"/>
      <c r="P948" s="216"/>
      <c r="Q948" s="213"/>
      <c r="R948" s="213"/>
      <c r="S948" s="213"/>
      <c r="T948" s="213"/>
      <c r="U948" s="213"/>
      <c r="V948" s="213"/>
      <c r="W948" s="213"/>
      <c r="X948" s="213"/>
      <c r="Y948" s="213"/>
      <c r="Z948" s="213"/>
    </row>
    <row r="949" ht="39.75" customHeight="1">
      <c r="A949" s="216"/>
      <c r="B949" s="216"/>
      <c r="C949" s="213"/>
      <c r="D949" s="213"/>
      <c r="E949" s="213"/>
      <c r="F949" s="213"/>
      <c r="G949" s="213"/>
      <c r="H949" s="213"/>
      <c r="I949" s="213"/>
      <c r="J949" s="216"/>
      <c r="K949" s="216"/>
      <c r="L949" s="216"/>
      <c r="M949" s="216"/>
      <c r="N949" s="216"/>
      <c r="O949" s="216"/>
      <c r="P949" s="216"/>
      <c r="Q949" s="213"/>
      <c r="R949" s="213"/>
      <c r="S949" s="213"/>
      <c r="T949" s="213"/>
      <c r="U949" s="213"/>
      <c r="V949" s="213"/>
      <c r="W949" s="213"/>
      <c r="X949" s="213"/>
      <c r="Y949" s="213"/>
      <c r="Z949" s="213"/>
    </row>
    <row r="950" ht="39.75" customHeight="1">
      <c r="A950" s="216"/>
      <c r="B950" s="216"/>
      <c r="C950" s="213"/>
      <c r="D950" s="213"/>
      <c r="E950" s="213"/>
      <c r="F950" s="213"/>
      <c r="G950" s="213"/>
      <c r="H950" s="213"/>
      <c r="I950" s="213"/>
      <c r="J950" s="216"/>
      <c r="K950" s="216"/>
      <c r="L950" s="216"/>
      <c r="M950" s="216"/>
      <c r="N950" s="216"/>
      <c r="O950" s="216"/>
      <c r="P950" s="216"/>
      <c r="Q950" s="213"/>
      <c r="R950" s="213"/>
      <c r="S950" s="213"/>
      <c r="T950" s="213"/>
      <c r="U950" s="213"/>
      <c r="V950" s="213"/>
      <c r="W950" s="213"/>
      <c r="X950" s="213"/>
      <c r="Y950" s="213"/>
      <c r="Z950" s="213"/>
    </row>
    <row r="951" ht="39.75" customHeight="1">
      <c r="A951" s="216"/>
      <c r="B951" s="216"/>
      <c r="C951" s="213"/>
      <c r="D951" s="213"/>
      <c r="E951" s="213"/>
      <c r="F951" s="213"/>
      <c r="G951" s="213"/>
      <c r="H951" s="213"/>
      <c r="I951" s="213"/>
      <c r="J951" s="216"/>
      <c r="K951" s="216"/>
      <c r="L951" s="216"/>
      <c r="M951" s="216"/>
      <c r="N951" s="216"/>
      <c r="O951" s="216"/>
      <c r="P951" s="216"/>
      <c r="Q951" s="213"/>
      <c r="R951" s="213"/>
      <c r="S951" s="213"/>
      <c r="T951" s="213"/>
      <c r="U951" s="213"/>
      <c r="V951" s="213"/>
      <c r="W951" s="213"/>
      <c r="X951" s="213"/>
      <c r="Y951" s="213"/>
      <c r="Z951" s="213"/>
    </row>
    <row r="952" ht="39.75" customHeight="1">
      <c r="A952" s="216"/>
      <c r="B952" s="216"/>
      <c r="C952" s="213"/>
      <c r="D952" s="213"/>
      <c r="E952" s="213"/>
      <c r="F952" s="213"/>
      <c r="G952" s="213"/>
      <c r="H952" s="213"/>
      <c r="I952" s="213"/>
      <c r="J952" s="216"/>
      <c r="K952" s="216"/>
      <c r="L952" s="216"/>
      <c r="M952" s="216"/>
      <c r="N952" s="216"/>
      <c r="O952" s="216"/>
      <c r="P952" s="216"/>
      <c r="Q952" s="213"/>
      <c r="R952" s="213"/>
      <c r="S952" s="213"/>
      <c r="T952" s="213"/>
      <c r="U952" s="213"/>
      <c r="V952" s="213"/>
      <c r="W952" s="213"/>
      <c r="X952" s="213"/>
      <c r="Y952" s="213"/>
      <c r="Z952" s="213"/>
    </row>
    <row r="953" ht="39.75" customHeight="1">
      <c r="A953" s="216"/>
      <c r="B953" s="216"/>
      <c r="C953" s="213"/>
      <c r="D953" s="213"/>
      <c r="E953" s="213"/>
      <c r="F953" s="213"/>
      <c r="G953" s="213"/>
      <c r="H953" s="213"/>
      <c r="I953" s="213"/>
      <c r="J953" s="216"/>
      <c r="K953" s="216"/>
      <c r="L953" s="216"/>
      <c r="M953" s="216"/>
      <c r="N953" s="216"/>
      <c r="O953" s="216"/>
      <c r="P953" s="216"/>
      <c r="Q953" s="213"/>
      <c r="R953" s="213"/>
      <c r="S953" s="213"/>
      <c r="T953" s="213"/>
      <c r="U953" s="213"/>
      <c r="V953" s="213"/>
      <c r="W953" s="213"/>
      <c r="X953" s="213"/>
      <c r="Y953" s="213"/>
      <c r="Z953" s="213"/>
    </row>
    <row r="954" ht="39.75" customHeight="1">
      <c r="A954" s="216"/>
      <c r="B954" s="216"/>
      <c r="C954" s="213"/>
      <c r="D954" s="213"/>
      <c r="E954" s="213"/>
      <c r="F954" s="213"/>
      <c r="G954" s="213"/>
      <c r="H954" s="213"/>
      <c r="I954" s="213"/>
      <c r="J954" s="216"/>
      <c r="K954" s="216"/>
      <c r="L954" s="216"/>
      <c r="M954" s="216"/>
      <c r="N954" s="216"/>
      <c r="O954" s="216"/>
      <c r="P954" s="216"/>
      <c r="Q954" s="213"/>
      <c r="R954" s="213"/>
      <c r="S954" s="213"/>
      <c r="T954" s="213"/>
      <c r="U954" s="213"/>
      <c r="V954" s="213"/>
      <c r="W954" s="213"/>
      <c r="X954" s="213"/>
      <c r="Y954" s="213"/>
      <c r="Z954" s="213"/>
    </row>
    <row r="955" ht="39.75" customHeight="1">
      <c r="A955" s="216"/>
      <c r="B955" s="216"/>
      <c r="C955" s="213"/>
      <c r="D955" s="213"/>
      <c r="E955" s="213"/>
      <c r="F955" s="213"/>
      <c r="G955" s="213"/>
      <c r="H955" s="213"/>
      <c r="I955" s="213"/>
      <c r="J955" s="216"/>
      <c r="K955" s="216"/>
      <c r="L955" s="216"/>
      <c r="M955" s="216"/>
      <c r="N955" s="216"/>
      <c r="O955" s="216"/>
      <c r="P955" s="216"/>
      <c r="Q955" s="213"/>
      <c r="R955" s="213"/>
      <c r="S955" s="213"/>
      <c r="T955" s="213"/>
      <c r="U955" s="213"/>
      <c r="V955" s="213"/>
      <c r="W955" s="213"/>
      <c r="X955" s="213"/>
      <c r="Y955" s="213"/>
      <c r="Z955" s="213"/>
    </row>
    <row r="956" ht="39.75" customHeight="1">
      <c r="A956" s="216"/>
      <c r="B956" s="216"/>
      <c r="C956" s="213"/>
      <c r="D956" s="213"/>
      <c r="E956" s="213"/>
      <c r="F956" s="213"/>
      <c r="G956" s="213"/>
      <c r="H956" s="213"/>
      <c r="I956" s="213"/>
      <c r="J956" s="216"/>
      <c r="K956" s="216"/>
      <c r="L956" s="216"/>
      <c r="M956" s="216"/>
      <c r="N956" s="216"/>
      <c r="O956" s="216"/>
      <c r="P956" s="216"/>
      <c r="Q956" s="213"/>
      <c r="R956" s="213"/>
      <c r="S956" s="213"/>
      <c r="T956" s="213"/>
      <c r="U956" s="213"/>
      <c r="V956" s="213"/>
      <c r="W956" s="213"/>
      <c r="X956" s="213"/>
      <c r="Y956" s="213"/>
      <c r="Z956" s="213"/>
    </row>
    <row r="957" ht="39.75" customHeight="1">
      <c r="A957" s="216"/>
      <c r="B957" s="216"/>
      <c r="C957" s="213"/>
      <c r="D957" s="213"/>
      <c r="E957" s="213"/>
      <c r="F957" s="213"/>
      <c r="G957" s="213"/>
      <c r="H957" s="213"/>
      <c r="I957" s="213"/>
      <c r="J957" s="216"/>
      <c r="K957" s="216"/>
      <c r="L957" s="216"/>
      <c r="M957" s="216"/>
      <c r="N957" s="216"/>
      <c r="O957" s="216"/>
      <c r="P957" s="216"/>
      <c r="Q957" s="213"/>
      <c r="R957" s="213"/>
      <c r="S957" s="213"/>
      <c r="T957" s="213"/>
      <c r="U957" s="213"/>
      <c r="V957" s="213"/>
      <c r="W957" s="213"/>
      <c r="X957" s="213"/>
      <c r="Y957" s="213"/>
      <c r="Z957" s="213"/>
    </row>
    <row r="958" ht="39.75" customHeight="1">
      <c r="A958" s="216"/>
      <c r="B958" s="216"/>
      <c r="C958" s="213"/>
      <c r="D958" s="213"/>
      <c r="E958" s="213"/>
      <c r="F958" s="213"/>
      <c r="G958" s="213"/>
      <c r="H958" s="213"/>
      <c r="I958" s="213"/>
      <c r="J958" s="216"/>
      <c r="K958" s="216"/>
      <c r="L958" s="216"/>
      <c r="M958" s="216"/>
      <c r="N958" s="216"/>
      <c r="O958" s="216"/>
      <c r="P958" s="216"/>
      <c r="Q958" s="213"/>
      <c r="R958" s="213"/>
      <c r="S958" s="213"/>
      <c r="T958" s="213"/>
      <c r="U958" s="213"/>
      <c r="V958" s="213"/>
      <c r="W958" s="213"/>
      <c r="X958" s="213"/>
      <c r="Y958" s="213"/>
      <c r="Z958" s="213"/>
    </row>
    <row r="959" ht="39.75" customHeight="1">
      <c r="A959" s="216"/>
      <c r="B959" s="216"/>
      <c r="C959" s="213"/>
      <c r="D959" s="213"/>
      <c r="E959" s="213"/>
      <c r="F959" s="213"/>
      <c r="G959" s="213"/>
      <c r="H959" s="213"/>
      <c r="I959" s="213"/>
      <c r="J959" s="216"/>
      <c r="K959" s="216"/>
      <c r="L959" s="216"/>
      <c r="M959" s="216"/>
      <c r="N959" s="216"/>
      <c r="O959" s="216"/>
      <c r="P959" s="216"/>
      <c r="Q959" s="213"/>
      <c r="R959" s="213"/>
      <c r="S959" s="213"/>
      <c r="T959" s="213"/>
      <c r="U959" s="213"/>
      <c r="V959" s="213"/>
      <c r="W959" s="213"/>
      <c r="X959" s="213"/>
      <c r="Y959" s="213"/>
      <c r="Z959" s="213"/>
    </row>
    <row r="960" ht="39.75" customHeight="1">
      <c r="A960" s="216"/>
      <c r="B960" s="216"/>
      <c r="C960" s="213"/>
      <c r="D960" s="213"/>
      <c r="E960" s="213"/>
      <c r="F960" s="213"/>
      <c r="G960" s="213"/>
      <c r="H960" s="213"/>
      <c r="I960" s="213"/>
      <c r="J960" s="216"/>
      <c r="K960" s="216"/>
      <c r="L960" s="216"/>
      <c r="M960" s="216"/>
      <c r="N960" s="216"/>
      <c r="O960" s="216"/>
      <c r="P960" s="216"/>
      <c r="Q960" s="213"/>
      <c r="R960" s="213"/>
      <c r="S960" s="213"/>
      <c r="T960" s="213"/>
      <c r="U960" s="213"/>
      <c r="V960" s="213"/>
      <c r="W960" s="213"/>
      <c r="X960" s="213"/>
      <c r="Y960" s="213"/>
      <c r="Z960" s="213"/>
    </row>
    <row r="961" ht="39.75" customHeight="1">
      <c r="A961" s="216"/>
      <c r="B961" s="216"/>
      <c r="C961" s="213"/>
      <c r="D961" s="213"/>
      <c r="E961" s="213"/>
      <c r="F961" s="213"/>
      <c r="G961" s="213"/>
      <c r="H961" s="213"/>
      <c r="I961" s="213"/>
      <c r="J961" s="216"/>
      <c r="K961" s="216"/>
      <c r="L961" s="216"/>
      <c r="M961" s="216"/>
      <c r="N961" s="216"/>
      <c r="O961" s="216"/>
      <c r="P961" s="216"/>
      <c r="Q961" s="213"/>
      <c r="R961" s="213"/>
      <c r="S961" s="213"/>
      <c r="T961" s="213"/>
      <c r="U961" s="213"/>
      <c r="V961" s="213"/>
      <c r="W961" s="213"/>
      <c r="X961" s="213"/>
      <c r="Y961" s="213"/>
      <c r="Z961" s="213"/>
    </row>
    <row r="962" ht="39.75" customHeight="1">
      <c r="A962" s="216"/>
      <c r="B962" s="216"/>
      <c r="C962" s="213"/>
      <c r="D962" s="213"/>
      <c r="E962" s="213"/>
      <c r="F962" s="213"/>
      <c r="G962" s="213"/>
      <c r="H962" s="213"/>
      <c r="I962" s="213"/>
      <c r="J962" s="216"/>
      <c r="K962" s="216"/>
      <c r="L962" s="216"/>
      <c r="M962" s="216"/>
      <c r="N962" s="216"/>
      <c r="O962" s="216"/>
      <c r="P962" s="216"/>
      <c r="Q962" s="213"/>
      <c r="R962" s="213"/>
      <c r="S962" s="213"/>
      <c r="T962" s="213"/>
      <c r="U962" s="213"/>
      <c r="V962" s="213"/>
      <c r="W962" s="213"/>
      <c r="X962" s="213"/>
      <c r="Y962" s="213"/>
      <c r="Z962" s="213"/>
    </row>
    <row r="963" ht="39.75" customHeight="1">
      <c r="A963" s="216"/>
      <c r="B963" s="216"/>
      <c r="C963" s="213"/>
      <c r="D963" s="213"/>
      <c r="E963" s="213"/>
      <c r="F963" s="213"/>
      <c r="G963" s="213"/>
      <c r="H963" s="213"/>
      <c r="I963" s="213"/>
      <c r="J963" s="216"/>
      <c r="K963" s="216"/>
      <c r="L963" s="216"/>
      <c r="M963" s="216"/>
      <c r="N963" s="216"/>
      <c r="O963" s="216"/>
      <c r="P963" s="216"/>
      <c r="Q963" s="213"/>
      <c r="R963" s="213"/>
      <c r="S963" s="213"/>
      <c r="T963" s="213"/>
      <c r="U963" s="213"/>
      <c r="V963" s="213"/>
      <c r="W963" s="213"/>
      <c r="X963" s="213"/>
      <c r="Y963" s="213"/>
      <c r="Z963" s="213"/>
    </row>
    <row r="964" ht="39.75" customHeight="1">
      <c r="A964" s="216"/>
      <c r="B964" s="216"/>
      <c r="C964" s="213"/>
      <c r="D964" s="213"/>
      <c r="E964" s="213"/>
      <c r="F964" s="213"/>
      <c r="G964" s="213"/>
      <c r="H964" s="213"/>
      <c r="I964" s="213"/>
      <c r="J964" s="216"/>
      <c r="K964" s="216"/>
      <c r="L964" s="216"/>
      <c r="M964" s="216"/>
      <c r="N964" s="216"/>
      <c r="O964" s="216"/>
      <c r="P964" s="216"/>
      <c r="Q964" s="213"/>
      <c r="R964" s="213"/>
      <c r="S964" s="213"/>
      <c r="T964" s="213"/>
      <c r="U964" s="213"/>
      <c r="V964" s="213"/>
      <c r="W964" s="213"/>
      <c r="X964" s="213"/>
      <c r="Y964" s="213"/>
      <c r="Z964" s="213"/>
    </row>
    <row r="965" ht="39.75" customHeight="1">
      <c r="A965" s="216"/>
      <c r="B965" s="216"/>
      <c r="C965" s="213"/>
      <c r="D965" s="213"/>
      <c r="E965" s="213"/>
      <c r="F965" s="213"/>
      <c r="G965" s="213"/>
      <c r="H965" s="213"/>
      <c r="I965" s="213"/>
      <c r="J965" s="216"/>
      <c r="K965" s="216"/>
      <c r="L965" s="216"/>
      <c r="M965" s="216"/>
      <c r="N965" s="216"/>
      <c r="O965" s="216"/>
      <c r="P965" s="216"/>
      <c r="Q965" s="213"/>
      <c r="R965" s="213"/>
      <c r="S965" s="213"/>
      <c r="T965" s="213"/>
      <c r="U965" s="213"/>
      <c r="V965" s="213"/>
      <c r="W965" s="213"/>
      <c r="X965" s="213"/>
      <c r="Y965" s="213"/>
      <c r="Z965" s="213"/>
    </row>
    <row r="966" ht="39.75" customHeight="1">
      <c r="A966" s="216"/>
      <c r="B966" s="216"/>
      <c r="C966" s="213"/>
      <c r="D966" s="213"/>
      <c r="E966" s="213"/>
      <c r="F966" s="213"/>
      <c r="G966" s="213"/>
      <c r="H966" s="213"/>
      <c r="I966" s="213"/>
      <c r="J966" s="216"/>
      <c r="K966" s="216"/>
      <c r="L966" s="216"/>
      <c r="M966" s="216"/>
      <c r="N966" s="216"/>
      <c r="O966" s="216"/>
      <c r="P966" s="216"/>
      <c r="Q966" s="213"/>
      <c r="R966" s="213"/>
      <c r="S966" s="213"/>
      <c r="T966" s="213"/>
      <c r="U966" s="213"/>
      <c r="V966" s="213"/>
      <c r="W966" s="213"/>
      <c r="X966" s="213"/>
      <c r="Y966" s="213"/>
      <c r="Z966" s="213"/>
    </row>
    <row r="967" ht="39.75" customHeight="1">
      <c r="A967" s="216"/>
      <c r="B967" s="216"/>
      <c r="C967" s="213"/>
      <c r="D967" s="213"/>
      <c r="E967" s="213"/>
      <c r="F967" s="213"/>
      <c r="G967" s="213"/>
      <c r="H967" s="213"/>
      <c r="I967" s="213"/>
      <c r="J967" s="216"/>
      <c r="K967" s="216"/>
      <c r="L967" s="216"/>
      <c r="M967" s="216"/>
      <c r="N967" s="216"/>
      <c r="O967" s="216"/>
      <c r="P967" s="216"/>
      <c r="Q967" s="213"/>
      <c r="R967" s="213"/>
      <c r="S967" s="213"/>
      <c r="T967" s="213"/>
      <c r="U967" s="213"/>
      <c r="V967" s="213"/>
      <c r="W967" s="213"/>
      <c r="X967" s="213"/>
      <c r="Y967" s="213"/>
      <c r="Z967" s="213"/>
    </row>
    <row r="968" ht="39.75" customHeight="1">
      <c r="A968" s="216"/>
      <c r="B968" s="216"/>
      <c r="C968" s="213"/>
      <c r="D968" s="213"/>
      <c r="E968" s="213"/>
      <c r="F968" s="213"/>
      <c r="G968" s="213"/>
      <c r="H968" s="213"/>
      <c r="I968" s="213"/>
      <c r="J968" s="216"/>
      <c r="K968" s="216"/>
      <c r="L968" s="216"/>
      <c r="M968" s="216"/>
      <c r="N968" s="216"/>
      <c r="O968" s="216"/>
      <c r="P968" s="216"/>
      <c r="Q968" s="213"/>
      <c r="R968" s="213"/>
      <c r="S968" s="213"/>
      <c r="T968" s="213"/>
      <c r="U968" s="213"/>
      <c r="V968" s="213"/>
      <c r="W968" s="213"/>
      <c r="X968" s="213"/>
      <c r="Y968" s="213"/>
      <c r="Z968" s="213"/>
    </row>
    <row r="969" ht="39.75" customHeight="1">
      <c r="A969" s="216"/>
      <c r="B969" s="216"/>
      <c r="C969" s="213"/>
      <c r="D969" s="213"/>
      <c r="E969" s="213"/>
      <c r="F969" s="213"/>
      <c r="G969" s="213"/>
      <c r="H969" s="213"/>
      <c r="I969" s="213"/>
      <c r="J969" s="216"/>
      <c r="K969" s="216"/>
      <c r="L969" s="216"/>
      <c r="M969" s="216"/>
      <c r="N969" s="216"/>
      <c r="O969" s="216"/>
      <c r="P969" s="216"/>
      <c r="Q969" s="213"/>
      <c r="R969" s="213"/>
      <c r="S969" s="213"/>
      <c r="T969" s="213"/>
      <c r="U969" s="213"/>
      <c r="V969" s="213"/>
      <c r="W969" s="213"/>
      <c r="X969" s="213"/>
      <c r="Y969" s="213"/>
      <c r="Z969" s="213"/>
    </row>
    <row r="970" ht="39.75" customHeight="1">
      <c r="A970" s="216"/>
      <c r="B970" s="216"/>
      <c r="C970" s="213"/>
      <c r="D970" s="213"/>
      <c r="E970" s="213"/>
      <c r="F970" s="213"/>
      <c r="G970" s="213"/>
      <c r="H970" s="213"/>
      <c r="I970" s="213"/>
      <c r="J970" s="216"/>
      <c r="K970" s="216"/>
      <c r="L970" s="216"/>
      <c r="M970" s="216"/>
      <c r="N970" s="216"/>
      <c r="O970" s="216"/>
      <c r="P970" s="216"/>
      <c r="Q970" s="213"/>
      <c r="R970" s="213"/>
      <c r="S970" s="213"/>
      <c r="T970" s="213"/>
      <c r="U970" s="213"/>
      <c r="V970" s="213"/>
      <c r="W970" s="213"/>
      <c r="X970" s="213"/>
      <c r="Y970" s="213"/>
      <c r="Z970" s="213"/>
    </row>
    <row r="971" ht="39.75" customHeight="1">
      <c r="A971" s="216"/>
      <c r="B971" s="216"/>
      <c r="C971" s="213"/>
      <c r="D971" s="213"/>
      <c r="E971" s="213"/>
      <c r="F971" s="213"/>
      <c r="G971" s="213"/>
      <c r="H971" s="213"/>
      <c r="I971" s="213"/>
      <c r="J971" s="216"/>
      <c r="K971" s="216"/>
      <c r="L971" s="216"/>
      <c r="M971" s="216"/>
      <c r="N971" s="216"/>
      <c r="O971" s="216"/>
      <c r="P971" s="216"/>
      <c r="Q971" s="213"/>
      <c r="R971" s="213"/>
      <c r="S971" s="213"/>
      <c r="T971" s="213"/>
      <c r="U971" s="213"/>
      <c r="V971" s="213"/>
      <c r="W971" s="213"/>
      <c r="X971" s="213"/>
      <c r="Y971" s="213"/>
      <c r="Z971" s="213"/>
    </row>
    <row r="972" ht="39.75" customHeight="1">
      <c r="A972" s="216"/>
      <c r="B972" s="216"/>
      <c r="C972" s="213"/>
      <c r="D972" s="213"/>
      <c r="E972" s="213"/>
      <c r="F972" s="213"/>
      <c r="G972" s="213"/>
      <c r="H972" s="213"/>
      <c r="I972" s="213"/>
      <c r="J972" s="216"/>
      <c r="K972" s="216"/>
      <c r="L972" s="216"/>
      <c r="M972" s="216"/>
      <c r="N972" s="216"/>
      <c r="O972" s="216"/>
      <c r="P972" s="216"/>
      <c r="Q972" s="213"/>
      <c r="R972" s="213"/>
      <c r="S972" s="213"/>
      <c r="T972" s="213"/>
      <c r="U972" s="213"/>
      <c r="V972" s="213"/>
      <c r="W972" s="213"/>
      <c r="X972" s="213"/>
      <c r="Y972" s="213"/>
      <c r="Z972" s="213"/>
    </row>
    <row r="973" ht="39.75" customHeight="1">
      <c r="A973" s="216"/>
      <c r="B973" s="216"/>
      <c r="C973" s="213"/>
      <c r="D973" s="213"/>
      <c r="E973" s="213"/>
      <c r="F973" s="213"/>
      <c r="G973" s="213"/>
      <c r="H973" s="213"/>
      <c r="I973" s="213"/>
      <c r="J973" s="216"/>
      <c r="K973" s="216"/>
      <c r="L973" s="216"/>
      <c r="M973" s="216"/>
      <c r="N973" s="216"/>
      <c r="O973" s="216"/>
      <c r="P973" s="216"/>
      <c r="Q973" s="213"/>
      <c r="R973" s="213"/>
      <c r="S973" s="213"/>
      <c r="T973" s="213"/>
      <c r="U973" s="213"/>
      <c r="V973" s="213"/>
      <c r="W973" s="213"/>
      <c r="X973" s="213"/>
      <c r="Y973" s="213"/>
      <c r="Z973" s="213"/>
    </row>
    <row r="974" ht="39.75" customHeight="1">
      <c r="A974" s="216"/>
      <c r="B974" s="216"/>
      <c r="C974" s="213"/>
      <c r="D974" s="213"/>
      <c r="E974" s="213"/>
      <c r="F974" s="213"/>
      <c r="G974" s="213"/>
      <c r="H974" s="213"/>
      <c r="I974" s="213"/>
      <c r="J974" s="216"/>
      <c r="K974" s="216"/>
      <c r="L974" s="216"/>
      <c r="M974" s="216"/>
      <c r="N974" s="216"/>
      <c r="O974" s="216"/>
      <c r="P974" s="216"/>
      <c r="Q974" s="213"/>
      <c r="R974" s="213"/>
      <c r="S974" s="213"/>
      <c r="T974" s="213"/>
      <c r="U974" s="213"/>
      <c r="V974" s="213"/>
      <c r="W974" s="213"/>
      <c r="X974" s="213"/>
      <c r="Y974" s="213"/>
      <c r="Z974" s="213"/>
    </row>
    <row r="975" ht="39.75" customHeight="1">
      <c r="A975" s="216"/>
      <c r="B975" s="216"/>
      <c r="C975" s="213"/>
      <c r="D975" s="213"/>
      <c r="E975" s="213"/>
      <c r="F975" s="213"/>
      <c r="G975" s="213"/>
      <c r="H975" s="213"/>
      <c r="I975" s="213"/>
      <c r="J975" s="216"/>
      <c r="K975" s="216"/>
      <c r="L975" s="216"/>
      <c r="M975" s="216"/>
      <c r="N975" s="216"/>
      <c r="O975" s="216"/>
      <c r="P975" s="216"/>
      <c r="Q975" s="213"/>
      <c r="R975" s="213"/>
      <c r="S975" s="213"/>
      <c r="T975" s="213"/>
      <c r="U975" s="213"/>
      <c r="V975" s="213"/>
      <c r="W975" s="213"/>
      <c r="X975" s="213"/>
      <c r="Y975" s="213"/>
      <c r="Z975" s="213"/>
    </row>
    <row r="976" ht="39.75" customHeight="1">
      <c r="A976" s="216"/>
      <c r="B976" s="216"/>
      <c r="C976" s="213"/>
      <c r="D976" s="213"/>
      <c r="E976" s="213"/>
      <c r="F976" s="213"/>
      <c r="G976" s="213"/>
      <c r="H976" s="213"/>
      <c r="I976" s="213"/>
      <c r="J976" s="216"/>
      <c r="K976" s="216"/>
      <c r="L976" s="216"/>
      <c r="M976" s="216"/>
      <c r="N976" s="216"/>
      <c r="O976" s="216"/>
      <c r="P976" s="216"/>
      <c r="Q976" s="213"/>
      <c r="R976" s="213"/>
      <c r="S976" s="213"/>
      <c r="T976" s="213"/>
      <c r="U976" s="213"/>
      <c r="V976" s="213"/>
      <c r="W976" s="213"/>
      <c r="X976" s="213"/>
      <c r="Y976" s="213"/>
      <c r="Z976" s="213"/>
    </row>
    <row r="977" ht="39.75" customHeight="1">
      <c r="A977" s="216"/>
      <c r="B977" s="216"/>
      <c r="C977" s="213"/>
      <c r="D977" s="213"/>
      <c r="E977" s="213"/>
      <c r="F977" s="213"/>
      <c r="G977" s="213"/>
      <c r="H977" s="213"/>
      <c r="I977" s="213"/>
      <c r="J977" s="216"/>
      <c r="K977" s="216"/>
      <c r="L977" s="216"/>
      <c r="M977" s="216"/>
      <c r="N977" s="216"/>
      <c r="O977" s="216"/>
      <c r="P977" s="216"/>
      <c r="Q977" s="213"/>
      <c r="R977" s="213"/>
      <c r="S977" s="213"/>
      <c r="T977" s="213"/>
      <c r="U977" s="213"/>
      <c r="V977" s="213"/>
      <c r="W977" s="213"/>
      <c r="X977" s="213"/>
      <c r="Y977" s="213"/>
      <c r="Z977" s="213"/>
    </row>
    <row r="978" ht="39.75" customHeight="1">
      <c r="A978" s="216"/>
      <c r="B978" s="216"/>
      <c r="C978" s="213"/>
      <c r="D978" s="213"/>
      <c r="E978" s="213"/>
      <c r="F978" s="213"/>
      <c r="G978" s="213"/>
      <c r="H978" s="213"/>
      <c r="I978" s="213"/>
      <c r="J978" s="216"/>
      <c r="K978" s="216"/>
      <c r="L978" s="216"/>
      <c r="M978" s="216"/>
      <c r="N978" s="216"/>
      <c r="O978" s="216"/>
      <c r="P978" s="216"/>
      <c r="Q978" s="213"/>
      <c r="R978" s="213"/>
      <c r="S978" s="213"/>
      <c r="T978" s="213"/>
      <c r="U978" s="213"/>
      <c r="V978" s="213"/>
      <c r="W978" s="213"/>
      <c r="X978" s="213"/>
      <c r="Y978" s="213"/>
      <c r="Z978" s="213"/>
    </row>
    <row r="979" ht="39.75" customHeight="1">
      <c r="A979" s="216"/>
      <c r="B979" s="216"/>
      <c r="C979" s="213"/>
      <c r="D979" s="213"/>
      <c r="E979" s="213"/>
      <c r="F979" s="213"/>
      <c r="G979" s="213"/>
      <c r="H979" s="213"/>
      <c r="I979" s="213"/>
      <c r="J979" s="216"/>
      <c r="K979" s="216"/>
      <c r="L979" s="216"/>
      <c r="M979" s="216"/>
      <c r="N979" s="216"/>
      <c r="O979" s="216"/>
      <c r="P979" s="216"/>
      <c r="Q979" s="213"/>
      <c r="R979" s="213"/>
      <c r="S979" s="213"/>
      <c r="T979" s="213"/>
      <c r="U979" s="213"/>
      <c r="V979" s="213"/>
      <c r="W979" s="213"/>
      <c r="X979" s="213"/>
      <c r="Y979" s="213"/>
      <c r="Z979" s="213"/>
    </row>
    <row r="980" ht="39.75" customHeight="1">
      <c r="A980" s="216"/>
      <c r="B980" s="216"/>
      <c r="C980" s="213"/>
      <c r="D980" s="213"/>
      <c r="E980" s="213"/>
      <c r="F980" s="213"/>
      <c r="G980" s="213"/>
      <c r="H980" s="213"/>
      <c r="I980" s="213"/>
      <c r="J980" s="216"/>
      <c r="K980" s="216"/>
      <c r="L980" s="216"/>
      <c r="M980" s="216"/>
      <c r="N980" s="216"/>
      <c r="O980" s="216"/>
      <c r="P980" s="216"/>
      <c r="Q980" s="213"/>
      <c r="R980" s="213"/>
      <c r="S980" s="213"/>
      <c r="T980" s="213"/>
      <c r="U980" s="213"/>
      <c r="V980" s="213"/>
      <c r="W980" s="213"/>
      <c r="X980" s="213"/>
      <c r="Y980" s="213"/>
      <c r="Z980" s="213"/>
    </row>
    <row r="981" ht="39.75" customHeight="1">
      <c r="A981" s="216"/>
      <c r="B981" s="216"/>
      <c r="C981" s="213"/>
      <c r="D981" s="213"/>
      <c r="E981" s="213"/>
      <c r="F981" s="213"/>
      <c r="G981" s="213"/>
      <c r="H981" s="213"/>
      <c r="I981" s="213"/>
      <c r="J981" s="216"/>
      <c r="K981" s="216"/>
      <c r="L981" s="216"/>
      <c r="M981" s="216"/>
      <c r="N981" s="216"/>
      <c r="O981" s="216"/>
      <c r="P981" s="216"/>
      <c r="Q981" s="213"/>
      <c r="R981" s="213"/>
      <c r="S981" s="213"/>
      <c r="T981" s="213"/>
      <c r="U981" s="213"/>
      <c r="V981" s="213"/>
      <c r="W981" s="213"/>
      <c r="X981" s="213"/>
      <c r="Y981" s="213"/>
      <c r="Z981" s="213"/>
    </row>
    <row r="982" ht="39.75" customHeight="1">
      <c r="A982" s="216"/>
      <c r="B982" s="216"/>
      <c r="C982" s="213"/>
      <c r="D982" s="213"/>
      <c r="E982" s="213"/>
      <c r="F982" s="213"/>
      <c r="G982" s="213"/>
      <c r="H982" s="213"/>
      <c r="I982" s="213"/>
      <c r="J982" s="216"/>
      <c r="K982" s="216"/>
      <c r="L982" s="216"/>
      <c r="M982" s="216"/>
      <c r="N982" s="216"/>
      <c r="O982" s="216"/>
      <c r="P982" s="216"/>
      <c r="Q982" s="213"/>
      <c r="R982" s="213"/>
      <c r="S982" s="213"/>
      <c r="T982" s="213"/>
      <c r="U982" s="213"/>
      <c r="V982" s="213"/>
      <c r="W982" s="213"/>
      <c r="X982" s="213"/>
      <c r="Y982" s="213"/>
      <c r="Z982" s="213"/>
    </row>
    <row r="983" ht="39.75" customHeight="1">
      <c r="A983" s="216"/>
      <c r="B983" s="216"/>
      <c r="C983" s="213"/>
      <c r="D983" s="213"/>
      <c r="E983" s="213"/>
      <c r="F983" s="213"/>
      <c r="G983" s="213"/>
      <c r="H983" s="213"/>
      <c r="I983" s="213"/>
      <c r="J983" s="216"/>
      <c r="K983" s="216"/>
      <c r="L983" s="216"/>
      <c r="M983" s="216"/>
      <c r="N983" s="216"/>
      <c r="O983" s="216"/>
      <c r="P983" s="216"/>
      <c r="Q983" s="213"/>
      <c r="R983" s="213"/>
      <c r="S983" s="213"/>
      <c r="T983" s="213"/>
      <c r="U983" s="213"/>
      <c r="V983" s="213"/>
      <c r="W983" s="213"/>
      <c r="X983" s="213"/>
      <c r="Y983" s="213"/>
      <c r="Z983" s="213"/>
    </row>
    <row r="984" ht="39.75" customHeight="1">
      <c r="A984" s="216"/>
      <c r="B984" s="216"/>
      <c r="C984" s="213"/>
      <c r="D984" s="213"/>
      <c r="E984" s="213"/>
      <c r="F984" s="213"/>
      <c r="G984" s="213"/>
      <c r="H984" s="213"/>
      <c r="I984" s="213"/>
      <c r="J984" s="216"/>
      <c r="K984" s="216"/>
      <c r="L984" s="216"/>
      <c r="M984" s="216"/>
      <c r="N984" s="216"/>
      <c r="O984" s="216"/>
      <c r="P984" s="216"/>
      <c r="Q984" s="213"/>
      <c r="R984" s="213"/>
      <c r="S984" s="213"/>
      <c r="T984" s="213"/>
      <c r="U984" s="213"/>
      <c r="V984" s="213"/>
      <c r="W984" s="213"/>
      <c r="X984" s="213"/>
      <c r="Y984" s="213"/>
      <c r="Z984" s="213"/>
    </row>
    <row r="985" ht="39.75" customHeight="1">
      <c r="A985" s="216"/>
      <c r="B985" s="216"/>
      <c r="C985" s="213"/>
      <c r="D985" s="213"/>
      <c r="E985" s="213"/>
      <c r="F985" s="213"/>
      <c r="G985" s="213"/>
      <c r="H985" s="213"/>
      <c r="I985" s="213"/>
      <c r="J985" s="216"/>
      <c r="K985" s="216"/>
      <c r="L985" s="216"/>
      <c r="M985" s="216"/>
      <c r="N985" s="216"/>
      <c r="O985" s="216"/>
      <c r="P985" s="216"/>
      <c r="Q985" s="213"/>
      <c r="R985" s="213"/>
      <c r="S985" s="213"/>
      <c r="T985" s="213"/>
      <c r="U985" s="213"/>
      <c r="V985" s="213"/>
      <c r="W985" s="213"/>
      <c r="X985" s="213"/>
      <c r="Y985" s="213"/>
      <c r="Z985" s="213"/>
    </row>
    <row r="986" ht="39.75" customHeight="1">
      <c r="A986" s="216"/>
      <c r="B986" s="216"/>
      <c r="C986" s="213"/>
      <c r="D986" s="213"/>
      <c r="E986" s="213"/>
      <c r="F986" s="213"/>
      <c r="G986" s="213"/>
      <c r="H986" s="213"/>
      <c r="I986" s="213"/>
      <c r="J986" s="216"/>
      <c r="K986" s="216"/>
      <c r="L986" s="216"/>
      <c r="M986" s="216"/>
      <c r="N986" s="216"/>
      <c r="O986" s="216"/>
      <c r="P986" s="216"/>
      <c r="Q986" s="213"/>
      <c r="R986" s="213"/>
      <c r="S986" s="213"/>
      <c r="T986" s="213"/>
      <c r="U986" s="213"/>
      <c r="V986" s="213"/>
      <c r="W986" s="213"/>
      <c r="X986" s="213"/>
      <c r="Y986" s="213"/>
      <c r="Z986" s="213"/>
    </row>
    <row r="987" ht="39.75" customHeight="1">
      <c r="A987" s="216"/>
      <c r="B987" s="216"/>
      <c r="C987" s="213"/>
      <c r="D987" s="213"/>
      <c r="E987" s="213"/>
      <c r="F987" s="213"/>
      <c r="G987" s="213"/>
      <c r="H987" s="213"/>
      <c r="I987" s="213"/>
      <c r="J987" s="216"/>
      <c r="K987" s="216"/>
      <c r="L987" s="216"/>
      <c r="M987" s="216"/>
      <c r="N987" s="216"/>
      <c r="O987" s="216"/>
      <c r="P987" s="216"/>
      <c r="Q987" s="213"/>
      <c r="R987" s="213"/>
      <c r="S987" s="213"/>
      <c r="T987" s="213"/>
      <c r="U987" s="213"/>
      <c r="V987" s="213"/>
      <c r="W987" s="213"/>
      <c r="X987" s="213"/>
      <c r="Y987" s="213"/>
      <c r="Z987" s="213"/>
    </row>
    <row r="988" ht="39.75" customHeight="1">
      <c r="A988" s="216"/>
      <c r="B988" s="216"/>
      <c r="C988" s="213"/>
      <c r="D988" s="213"/>
      <c r="E988" s="213"/>
      <c r="F988" s="213"/>
      <c r="G988" s="213"/>
      <c r="H988" s="213"/>
      <c r="I988" s="213"/>
      <c r="J988" s="216"/>
      <c r="K988" s="216"/>
      <c r="L988" s="216"/>
      <c r="M988" s="216"/>
      <c r="N988" s="216"/>
      <c r="O988" s="216"/>
      <c r="P988" s="216"/>
      <c r="Q988" s="213"/>
      <c r="R988" s="213"/>
      <c r="S988" s="213"/>
      <c r="T988" s="213"/>
      <c r="U988" s="213"/>
      <c r="V988" s="213"/>
      <c r="W988" s="213"/>
      <c r="X988" s="213"/>
      <c r="Y988" s="213"/>
      <c r="Z988" s="213"/>
    </row>
    <row r="989" ht="39.75" customHeight="1">
      <c r="A989" s="216"/>
      <c r="B989" s="216"/>
      <c r="C989" s="213"/>
      <c r="D989" s="213"/>
      <c r="E989" s="213"/>
      <c r="F989" s="213"/>
      <c r="G989" s="213"/>
      <c r="H989" s="213"/>
      <c r="I989" s="213"/>
      <c r="J989" s="216"/>
      <c r="K989" s="216"/>
      <c r="L989" s="216"/>
      <c r="M989" s="216"/>
      <c r="N989" s="216"/>
      <c r="O989" s="216"/>
      <c r="P989" s="216"/>
      <c r="Q989" s="213"/>
      <c r="R989" s="213"/>
      <c r="S989" s="213"/>
      <c r="T989" s="213"/>
      <c r="U989" s="213"/>
      <c r="V989" s="213"/>
      <c r="W989" s="213"/>
      <c r="X989" s="213"/>
      <c r="Y989" s="213"/>
      <c r="Z989" s="213"/>
    </row>
    <row r="990" ht="39.75" customHeight="1">
      <c r="A990" s="216"/>
      <c r="B990" s="216"/>
      <c r="C990" s="213"/>
      <c r="D990" s="213"/>
      <c r="E990" s="213"/>
      <c r="F990" s="213"/>
      <c r="G990" s="213"/>
      <c r="H990" s="213"/>
      <c r="I990" s="213"/>
      <c r="J990" s="216"/>
      <c r="K990" s="216"/>
      <c r="L990" s="216"/>
      <c r="M990" s="216"/>
      <c r="N990" s="216"/>
      <c r="O990" s="216"/>
      <c r="P990" s="216"/>
      <c r="Q990" s="213"/>
      <c r="R990" s="213"/>
      <c r="S990" s="213"/>
      <c r="T990" s="213"/>
      <c r="U990" s="213"/>
      <c r="V990" s="213"/>
      <c r="W990" s="213"/>
      <c r="X990" s="213"/>
      <c r="Y990" s="213"/>
      <c r="Z990" s="213"/>
    </row>
    <row r="991" ht="39.75" customHeight="1">
      <c r="A991" s="216"/>
      <c r="B991" s="216"/>
      <c r="C991" s="213"/>
      <c r="D991" s="213"/>
      <c r="E991" s="213"/>
      <c r="F991" s="213"/>
      <c r="G991" s="213"/>
      <c r="H991" s="213"/>
      <c r="I991" s="213"/>
      <c r="J991" s="216"/>
      <c r="K991" s="216"/>
      <c r="L991" s="216"/>
      <c r="M991" s="216"/>
      <c r="N991" s="216"/>
      <c r="O991" s="216"/>
      <c r="P991" s="216"/>
      <c r="Q991" s="213"/>
      <c r="R991" s="213"/>
      <c r="S991" s="213"/>
      <c r="T991" s="213"/>
      <c r="U991" s="213"/>
      <c r="V991" s="213"/>
      <c r="W991" s="213"/>
      <c r="X991" s="213"/>
      <c r="Y991" s="213"/>
      <c r="Z991" s="213"/>
    </row>
    <row r="992" ht="39.75" customHeight="1">
      <c r="A992" s="216"/>
      <c r="B992" s="216"/>
      <c r="C992" s="213"/>
      <c r="D992" s="213"/>
      <c r="E992" s="213"/>
      <c r="F992" s="213"/>
      <c r="G992" s="213"/>
      <c r="H992" s="213"/>
      <c r="I992" s="213"/>
      <c r="J992" s="216"/>
      <c r="K992" s="216"/>
      <c r="L992" s="216"/>
      <c r="M992" s="216"/>
      <c r="N992" s="216"/>
      <c r="O992" s="216"/>
      <c r="P992" s="216"/>
      <c r="Q992" s="213"/>
      <c r="R992" s="213"/>
      <c r="S992" s="213"/>
      <c r="T992" s="213"/>
      <c r="U992" s="213"/>
      <c r="V992" s="213"/>
      <c r="W992" s="213"/>
      <c r="X992" s="213"/>
      <c r="Y992" s="213"/>
      <c r="Z992" s="213"/>
    </row>
    <row r="993" ht="39.75" customHeight="1">
      <c r="A993" s="216"/>
      <c r="B993" s="216"/>
      <c r="C993" s="213"/>
      <c r="D993" s="213"/>
      <c r="E993" s="213"/>
      <c r="F993" s="213"/>
      <c r="G993" s="213"/>
      <c r="H993" s="213"/>
      <c r="I993" s="213"/>
      <c r="J993" s="216"/>
      <c r="K993" s="216"/>
      <c r="L993" s="216"/>
      <c r="M993" s="216"/>
      <c r="N993" s="216"/>
      <c r="O993" s="216"/>
      <c r="P993" s="216"/>
      <c r="Q993" s="213"/>
      <c r="R993" s="213"/>
      <c r="S993" s="213"/>
      <c r="T993" s="213"/>
      <c r="U993" s="213"/>
      <c r="V993" s="213"/>
      <c r="W993" s="213"/>
      <c r="X993" s="213"/>
      <c r="Y993" s="213"/>
      <c r="Z993" s="213"/>
    </row>
    <row r="994" ht="39.75" customHeight="1">
      <c r="A994" s="216"/>
      <c r="B994" s="216"/>
      <c r="C994" s="213"/>
      <c r="D994" s="213"/>
      <c r="E994" s="213"/>
      <c r="F994" s="213"/>
      <c r="G994" s="213"/>
      <c r="H994" s="213"/>
      <c r="I994" s="213"/>
      <c r="J994" s="216"/>
      <c r="K994" s="216"/>
      <c r="L994" s="216"/>
      <c r="M994" s="216"/>
      <c r="N994" s="216"/>
      <c r="O994" s="216"/>
      <c r="P994" s="216"/>
      <c r="Q994" s="213"/>
      <c r="R994" s="213"/>
      <c r="S994" s="213"/>
      <c r="T994" s="213"/>
      <c r="U994" s="213"/>
      <c r="V994" s="213"/>
      <c r="W994" s="213"/>
      <c r="X994" s="213"/>
      <c r="Y994" s="213"/>
      <c r="Z994" s="213"/>
    </row>
    <row r="995" ht="39.75" customHeight="1">
      <c r="A995" s="216"/>
      <c r="B995" s="216"/>
      <c r="C995" s="213"/>
      <c r="D995" s="213"/>
      <c r="E995" s="213"/>
      <c r="F995" s="213"/>
      <c r="G995" s="213"/>
      <c r="H995" s="213"/>
      <c r="I995" s="213"/>
      <c r="J995" s="216"/>
      <c r="K995" s="216"/>
      <c r="L995" s="216"/>
      <c r="M995" s="216"/>
      <c r="N995" s="216"/>
      <c r="O995" s="216"/>
      <c r="P995" s="216"/>
      <c r="Q995" s="213"/>
      <c r="R995" s="213"/>
      <c r="S995" s="213"/>
      <c r="T995" s="213"/>
      <c r="U995" s="213"/>
      <c r="V995" s="213"/>
      <c r="W995" s="213"/>
      <c r="X995" s="213"/>
      <c r="Y995" s="213"/>
      <c r="Z995" s="213"/>
    </row>
    <row r="996" ht="39.75" customHeight="1">
      <c r="A996" s="216"/>
      <c r="B996" s="216"/>
      <c r="C996" s="213"/>
      <c r="D996" s="213"/>
      <c r="E996" s="213"/>
      <c r="F996" s="213"/>
      <c r="G996" s="213"/>
      <c r="H996" s="213"/>
      <c r="I996" s="213"/>
      <c r="J996" s="216"/>
      <c r="K996" s="216"/>
      <c r="L996" s="216"/>
      <c r="M996" s="216"/>
      <c r="N996" s="216"/>
      <c r="O996" s="216"/>
      <c r="P996" s="216"/>
      <c r="Q996" s="213"/>
      <c r="R996" s="213"/>
      <c r="S996" s="213"/>
      <c r="T996" s="213"/>
      <c r="U996" s="213"/>
      <c r="V996" s="213"/>
      <c r="W996" s="213"/>
      <c r="X996" s="213"/>
      <c r="Y996" s="213"/>
      <c r="Z996" s="213"/>
    </row>
    <row r="997" ht="39.75" customHeight="1">
      <c r="A997" s="216"/>
      <c r="B997" s="216"/>
      <c r="C997" s="213"/>
      <c r="D997" s="213"/>
      <c r="E997" s="213"/>
      <c r="F997" s="213"/>
      <c r="G997" s="213"/>
      <c r="H997" s="213"/>
      <c r="I997" s="213"/>
      <c r="J997" s="216"/>
      <c r="K997" s="216"/>
      <c r="L997" s="216"/>
      <c r="M997" s="216"/>
      <c r="N997" s="216"/>
      <c r="O997" s="216"/>
      <c r="P997" s="216"/>
      <c r="Q997" s="213"/>
      <c r="R997" s="213"/>
      <c r="S997" s="213"/>
      <c r="T997" s="213"/>
      <c r="U997" s="213"/>
      <c r="V997" s="213"/>
      <c r="W997" s="213"/>
      <c r="X997" s="213"/>
      <c r="Y997" s="213"/>
      <c r="Z997" s="213"/>
    </row>
    <row r="998" ht="39.75" customHeight="1">
      <c r="A998" s="216"/>
      <c r="B998" s="216"/>
      <c r="C998" s="213"/>
      <c r="D998" s="213"/>
      <c r="E998" s="213"/>
      <c r="F998" s="213"/>
      <c r="G998" s="213"/>
      <c r="H998" s="213"/>
      <c r="I998" s="213"/>
      <c r="J998" s="216"/>
      <c r="K998" s="216"/>
      <c r="L998" s="216"/>
      <c r="M998" s="216"/>
      <c r="N998" s="216"/>
      <c r="O998" s="216"/>
      <c r="P998" s="216"/>
      <c r="Q998" s="213"/>
      <c r="R998" s="213"/>
      <c r="S998" s="213"/>
      <c r="T998" s="213"/>
      <c r="U998" s="213"/>
      <c r="V998" s="213"/>
      <c r="W998" s="213"/>
      <c r="X998" s="213"/>
      <c r="Y998" s="213"/>
      <c r="Z998" s="213"/>
    </row>
    <row r="999" ht="39.75" customHeight="1">
      <c r="A999" s="216"/>
      <c r="B999" s="216"/>
      <c r="C999" s="213"/>
      <c r="D999" s="213"/>
      <c r="E999" s="213"/>
      <c r="F999" s="213"/>
      <c r="G999" s="213"/>
      <c r="H999" s="213"/>
      <c r="I999" s="213"/>
      <c r="J999" s="216"/>
      <c r="K999" s="216"/>
      <c r="L999" s="216"/>
      <c r="M999" s="216"/>
      <c r="N999" s="216"/>
      <c r="O999" s="216"/>
      <c r="P999" s="216"/>
      <c r="Q999" s="213"/>
      <c r="R999" s="213"/>
      <c r="S999" s="213"/>
      <c r="T999" s="213"/>
      <c r="U999" s="213"/>
      <c r="V999" s="213"/>
      <c r="W999" s="213"/>
      <c r="X999" s="213"/>
      <c r="Y999" s="213"/>
      <c r="Z999" s="213"/>
    </row>
    <row r="1000" ht="39.75" customHeight="1">
      <c r="A1000" s="216"/>
      <c r="B1000" s="216"/>
      <c r="C1000" s="213"/>
      <c r="D1000" s="213"/>
      <c r="E1000" s="213"/>
      <c r="F1000" s="213"/>
      <c r="G1000" s="213"/>
      <c r="H1000" s="213"/>
      <c r="I1000" s="213"/>
      <c r="J1000" s="216"/>
      <c r="K1000" s="216"/>
      <c r="L1000" s="216"/>
      <c r="M1000" s="216"/>
      <c r="N1000" s="216"/>
      <c r="O1000" s="216"/>
      <c r="P1000" s="216"/>
      <c r="Q1000" s="213"/>
      <c r="R1000" s="213"/>
      <c r="S1000" s="213"/>
      <c r="T1000" s="213"/>
      <c r="U1000" s="213"/>
      <c r="V1000" s="213"/>
      <c r="W1000" s="213"/>
      <c r="X1000" s="213"/>
      <c r="Y1000" s="213"/>
      <c r="Z1000" s="213"/>
    </row>
  </sheetData>
  <autoFilter ref="$A$1:$J$641">
    <sortState ref="A1:J641">
      <sortCondition ref="A1:A641"/>
    </sortState>
  </autoFilter>
  <printOptions/>
  <pageMargins bottom="0.787401575" footer="0.0" header="0.0" left="0.511811024" right="0.511811024" top="0.787401575"/>
  <pageSetup paperSize="9" orientation="portrait"/>
  <rowBreaks count="1" manualBreakCount="1">
    <brk id="46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2016-11-21T19:06:21Z</dcterms:created>
  <dc:creator>Andrea Monteiro</dc:creator>
</cp:coreProperties>
</file>