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cosegme\Ecosegme Dropbox\Pasta da equipe Ecosegme\Ecosegme\MODELO DE LAUDOS - FOLHA DE CAMPO - ENGENHARIA\..MODELO DE LAUDOS\QUÍMICO\"/>
    </mc:Choice>
  </mc:AlternateContent>
  <xr:revisionPtr revIDLastSave="0" documentId="13_ncr:1_{5EAB732C-6676-427B-B3DE-9352B9733E88}" xr6:coauthVersionLast="47" xr6:coauthVersionMax="47" xr10:uidLastSave="{00000000-0000-0000-0000-000000000000}"/>
  <bookViews>
    <workbookView xWindow="0" yWindow="0" windowWidth="28800" windowHeight="15480" activeTab="2" xr2:uid="{00000000-000D-0000-FFFF-FFFF00000000}"/>
  </bookViews>
  <sheets>
    <sheet name="Capa " sheetId="37" r:id="rId1"/>
    <sheet name="Doc Base" sheetId="62" r:id="rId2"/>
    <sheet name="Hidrocarbonetos Aromáticos" sheetId="41" r:id="rId3"/>
    <sheet name="Var. Metais" sheetId="45" state="hidden" r:id="rId4"/>
    <sheet name="Anexos" sheetId="64" state="hidden" r:id="rId5"/>
    <sheet name="TLV" sheetId="22" r:id="rId6"/>
    <sheet name="Lista de Empresa" sheetId="74" r:id="rId7"/>
    <sheet name="TLV _Andrea" sheetId="18" state="hidden" r:id="rId8"/>
  </sheets>
  <externalReferences>
    <externalReference r:id="rId9"/>
    <externalReference r:id="rId10"/>
  </externalReferences>
  <definedNames>
    <definedName name="\a" localSheetId="4">#REF!</definedName>
    <definedName name="\a" localSheetId="0">[1]CIPA!#REF!</definedName>
    <definedName name="\a" localSheetId="1">#REF!</definedName>
    <definedName name="\a">#REF!</definedName>
    <definedName name="___PL03">#REF!</definedName>
    <definedName name="__PL01">#REF!</definedName>
    <definedName name="__PL02">#REF!</definedName>
    <definedName name="__PL03" localSheetId="4">#REF!</definedName>
    <definedName name="__PL03" localSheetId="0">#REF!</definedName>
    <definedName name="__PL03" localSheetId="1">#REF!</definedName>
    <definedName name="__PL03">#REF!</definedName>
    <definedName name="__PL04">#REF!</definedName>
    <definedName name="_xlnm._FilterDatabase" localSheetId="2" hidden="1">'Hidrocarbonetos Aromáticos'!#REF!</definedName>
    <definedName name="_xlnm._FilterDatabase" localSheetId="5" hidden="1">TLV!$A$2:$O$187</definedName>
    <definedName name="_xlnm._FilterDatabase" localSheetId="7" hidden="1">'TLV _Andrea'!$A$1:$J$641</definedName>
    <definedName name="_xlnm._FilterDatabase" localSheetId="3" hidden="1">'Var. Metais'!#REF!</definedName>
    <definedName name="_PL01" localSheetId="4">#REF!</definedName>
    <definedName name="_PL01" localSheetId="0">#REF!</definedName>
    <definedName name="_PL01" localSheetId="1">#REF!</definedName>
    <definedName name="_PL01">#REF!</definedName>
    <definedName name="_PL02" localSheetId="4">#REF!</definedName>
    <definedName name="_PL02" localSheetId="0">#REF!</definedName>
    <definedName name="_PL02" localSheetId="1">#REF!</definedName>
    <definedName name="_PL02">#REF!</definedName>
    <definedName name="_PL03" localSheetId="0">[1]CIPA!#REF!</definedName>
    <definedName name="_PL04" localSheetId="4">#REF!</definedName>
    <definedName name="_PL04" localSheetId="0">#REF!</definedName>
    <definedName name="_PL04" localSheetId="1">#REF!</definedName>
    <definedName name="_PL04">#REF!</definedName>
    <definedName name="_xlnm.Extract" localSheetId="2">'Hidrocarbonetos Aromáticos'!#REF!</definedName>
    <definedName name="_xlnm.Extract" localSheetId="3">'Var. Metais'!#REF!</definedName>
    <definedName name="_xlnm.Print_Area" localSheetId="4">Anexos!$A$1:$I$52</definedName>
    <definedName name="_xlnm.Print_Area" localSheetId="0">'Capa '!$A$1:$G$47</definedName>
    <definedName name="_xlnm.Print_Area" localSheetId="1">'Doc Base'!$A$1:$I$117</definedName>
    <definedName name="_xlnm.Print_Area" localSheetId="2">'Hidrocarbonetos Aromáticos'!$A$1:$G$83</definedName>
    <definedName name="_xlnm.Print_Area" localSheetId="5">TLV!$A$1:$Q$187</definedName>
    <definedName name="_xlnm.Print_Area" localSheetId="3">'Var. Metais'!$A$1:$G$125</definedName>
    <definedName name="_xlnm.Criteria" localSheetId="2">'Hidrocarbonetos Aromáticos'!#REF!</definedName>
    <definedName name="_xlnm.Criteria" localSheetId="3">'Var. Metais'!#REF!</definedName>
    <definedName name="DadosExternos_1" localSheetId="6" hidden="1">'Lista de Empresa'!$A$1:$C$1052</definedName>
    <definedName name="Desculpas" localSheetId="4">#REF!</definedName>
    <definedName name="Desculpas" localSheetId="1">#REF!</definedName>
    <definedName name="Desculpas">#REF!</definedName>
    <definedName name="servico" localSheetId="4">#REF!</definedName>
    <definedName name="servico" localSheetId="1">#REF!</definedName>
    <definedName name="servico">#REF!</definedName>
    <definedName name="Serviço" localSheetId="4">#REF!</definedName>
    <definedName name="Serviço" localSheetId="1">#REF!</definedName>
    <definedName name="Serviço">#REF!</definedName>
    <definedName name="serviços" localSheetId="4">#REF!</definedName>
    <definedName name="serviços" localSheetId="1">#REF!</definedName>
    <definedName name="serviços">#REF!</definedName>
    <definedName name="serviços." localSheetId="4">#REF!</definedName>
    <definedName name="serviços." localSheetId="1">#REF!</definedName>
    <definedName name="serviços.">#REF!</definedName>
    <definedName name="siglas" localSheetId="4">#REF!</definedName>
    <definedName name="siglas" localSheetId="1">#REF!</definedName>
    <definedName name="siglas" localSheetId="7">'TLV _Andrea'!$A$12:$F$16</definedName>
    <definedName name="siglas">#REF!</definedName>
    <definedName name="TLV" localSheetId="4">#REF!</definedName>
    <definedName name="TLV" localSheetId="1">#REF!</definedName>
    <definedName name="TLV" localSheetId="2">[2]TLV!$B$2:$H$7</definedName>
    <definedName name="TLV" localSheetId="7">'TLV _Andrea'!$A$1:$J$6</definedName>
    <definedName name="TLV" localSheetId="3">[2]TLV!$B$2:$H$7</definedName>
    <definedName name="TLV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37" l="1"/>
  <c r="L20" i="37"/>
  <c r="D118" i="45"/>
  <c r="D76" i="41"/>
  <c r="B5" i="45"/>
  <c r="B4" i="45"/>
  <c r="E1" i="45" a="1"/>
  <c r="E42" i="45" s="1" a="1"/>
  <c r="E1" i="41" a="1"/>
  <c r="E42" i="41" s="1"/>
  <c r="B5" i="41"/>
  <c r="B4" i="41"/>
  <c r="T25" i="37"/>
  <c r="T15" i="37"/>
  <c r="T24" i="37"/>
  <c r="T14" i="37"/>
  <c r="T23" i="37"/>
  <c r="T13" i="37"/>
  <c r="T22" i="37"/>
  <c r="T12" i="37"/>
  <c r="T21" i="37"/>
  <c r="T11" i="37"/>
  <c r="T20" i="37"/>
  <c r="T10" i="37"/>
  <c r="T19" i="37"/>
  <c r="T9" i="37"/>
  <c r="T18" i="37"/>
  <c r="T8" i="37"/>
  <c r="T17" i="37"/>
  <c r="T7" i="37"/>
  <c r="T16" i="37"/>
  <c r="E84" i="45" l="1" a="1"/>
  <c r="F42" i="41"/>
  <c r="A68" i="45" l="1"/>
  <c r="A67" i="45"/>
  <c r="G66" i="45"/>
  <c r="F66" i="45"/>
  <c r="E66" i="45"/>
  <c r="D66" i="45"/>
  <c r="C66" i="45"/>
  <c r="B66" i="45"/>
  <c r="A49" i="45"/>
  <c r="A50" i="45"/>
  <c r="G48" i="45"/>
  <c r="F48" i="45"/>
  <c r="E48" i="45"/>
  <c r="D48" i="45"/>
  <c r="C48" i="45"/>
  <c r="B48" i="45"/>
  <c r="A80" i="45" l="1"/>
  <c r="A79" i="45"/>
  <c r="G78" i="45"/>
  <c r="F78" i="45"/>
  <c r="E78" i="45"/>
  <c r="D78" i="45"/>
  <c r="C78" i="45"/>
  <c r="B78" i="45"/>
  <c r="A77" i="45"/>
  <c r="A76" i="45"/>
  <c r="G75" i="45"/>
  <c r="F75" i="45"/>
  <c r="E75" i="45"/>
  <c r="D75" i="45"/>
  <c r="C75" i="45"/>
  <c r="B75" i="45"/>
  <c r="A74" i="45"/>
  <c r="A73" i="45"/>
  <c r="G72" i="45"/>
  <c r="F72" i="45"/>
  <c r="E72" i="45"/>
  <c r="D72" i="45"/>
  <c r="C72" i="45"/>
  <c r="B72" i="45"/>
  <c r="A71" i="45"/>
  <c r="A70" i="45"/>
  <c r="G69" i="45"/>
  <c r="F69" i="45"/>
  <c r="E69" i="45"/>
  <c r="D69" i="45"/>
  <c r="C69" i="45"/>
  <c r="B69" i="45"/>
  <c r="A65" i="45"/>
  <c r="A64" i="45"/>
  <c r="G63" i="45"/>
  <c r="F63" i="45"/>
  <c r="E63" i="45"/>
  <c r="D63" i="45"/>
  <c r="C63" i="45"/>
  <c r="B63" i="45"/>
  <c r="A62" i="45"/>
  <c r="A61" i="45"/>
  <c r="G60" i="45"/>
  <c r="F60" i="45"/>
  <c r="E60" i="45"/>
  <c r="D60" i="45"/>
  <c r="C60" i="45"/>
  <c r="B60" i="45"/>
  <c r="A59" i="45"/>
  <c r="A58" i="45"/>
  <c r="G57" i="45"/>
  <c r="F57" i="45"/>
  <c r="E57" i="45"/>
  <c r="D57" i="45"/>
  <c r="C57" i="45"/>
  <c r="B57" i="45"/>
  <c r="A56" i="45"/>
  <c r="A55" i="45"/>
  <c r="G54" i="45"/>
  <c r="F54" i="45"/>
  <c r="E54" i="45"/>
  <c r="D54" i="45"/>
  <c r="C54" i="45"/>
  <c r="B54" i="45"/>
  <c r="A53" i="45"/>
  <c r="A52" i="45"/>
  <c r="G51" i="45"/>
  <c r="F51" i="45"/>
  <c r="E51" i="45"/>
  <c r="D51" i="45"/>
  <c r="C51" i="45"/>
  <c r="B51" i="45"/>
  <c r="A41" i="45"/>
  <c r="A40" i="45"/>
  <c r="G39" i="45"/>
  <c r="F39" i="45"/>
  <c r="E39" i="45"/>
  <c r="D39" i="45"/>
  <c r="C39" i="45"/>
  <c r="B39" i="45"/>
  <c r="A38" i="45"/>
  <c r="A37" i="45"/>
  <c r="G36" i="45"/>
  <c r="F36" i="45"/>
  <c r="E36" i="45"/>
  <c r="D36" i="45"/>
  <c r="C36" i="45"/>
  <c r="B36" i="45"/>
  <c r="A35" i="45"/>
  <c r="A34" i="45"/>
  <c r="G33" i="45"/>
  <c r="F33" i="45"/>
  <c r="E33" i="45"/>
  <c r="D33" i="45"/>
  <c r="C33" i="45"/>
  <c r="B33" i="45"/>
  <c r="A32" i="45"/>
  <c r="A31" i="45"/>
  <c r="G30" i="45"/>
  <c r="F30" i="45"/>
  <c r="E30" i="45"/>
  <c r="D30" i="45"/>
  <c r="C30" i="45"/>
  <c r="B30" i="45"/>
  <c r="A29" i="45"/>
  <c r="A28" i="45"/>
  <c r="G27" i="45"/>
  <c r="F27" i="45"/>
  <c r="E27" i="45"/>
  <c r="D27" i="45"/>
  <c r="C27" i="45"/>
  <c r="B27" i="45"/>
  <c r="A112" i="45"/>
  <c r="A102" i="45"/>
  <c r="A99" i="45"/>
  <c r="A26" i="45"/>
  <c r="A25" i="45"/>
  <c r="G24" i="45"/>
  <c r="F24" i="45"/>
  <c r="E24" i="45"/>
  <c r="D24" i="45"/>
  <c r="C24" i="45"/>
  <c r="B24" i="45"/>
  <c r="A23" i="45"/>
  <c r="A22" i="45"/>
  <c r="G21" i="45"/>
  <c r="F21" i="45"/>
  <c r="E21" i="45"/>
  <c r="D21" i="45"/>
  <c r="C21" i="45"/>
  <c r="B21" i="45"/>
  <c r="A20" i="45"/>
  <c r="A19" i="45"/>
  <c r="G18" i="45"/>
  <c r="F18" i="45"/>
  <c r="E18" i="45"/>
  <c r="D18" i="45"/>
  <c r="C18" i="45"/>
  <c r="B18" i="45"/>
  <c r="J8" i="45"/>
  <c r="J9" i="45" s="1"/>
  <c r="J11" i="45" s="1"/>
  <c r="F12" i="45" s="1"/>
  <c r="G39" i="41"/>
  <c r="A61" i="41"/>
  <c r="A58" i="41"/>
  <c r="A41" i="41"/>
  <c r="A40" i="41"/>
  <c r="F39" i="41"/>
  <c r="E39" i="41"/>
  <c r="D39" i="41"/>
  <c r="C39" i="41"/>
  <c r="B39" i="41"/>
  <c r="A38" i="41"/>
  <c r="A37" i="41"/>
  <c r="G36" i="41"/>
  <c r="F36" i="41"/>
  <c r="E36" i="41"/>
  <c r="D36" i="41"/>
  <c r="C36" i="41"/>
  <c r="B36" i="41"/>
  <c r="A35" i="41"/>
  <c r="A34" i="41"/>
  <c r="G33" i="41"/>
  <c r="F33" i="41"/>
  <c r="E33" i="41"/>
  <c r="D33" i="41"/>
  <c r="C33" i="41"/>
  <c r="B33" i="41"/>
  <c r="A32" i="41"/>
  <c r="A31" i="41"/>
  <c r="G30" i="41"/>
  <c r="F30" i="41"/>
  <c r="E30" i="41"/>
  <c r="D30" i="41"/>
  <c r="C30" i="41"/>
  <c r="B30" i="41"/>
  <c r="A29" i="41"/>
  <c r="A28" i="41"/>
  <c r="G27" i="41"/>
  <c r="F27" i="41"/>
  <c r="E27" i="41"/>
  <c r="D27" i="41"/>
  <c r="C27" i="41"/>
  <c r="B27" i="41"/>
  <c r="A26" i="41"/>
  <c r="A25" i="41"/>
  <c r="G24" i="41"/>
  <c r="F24" i="41"/>
  <c r="E24" i="41"/>
  <c r="D24" i="41"/>
  <c r="C24" i="41"/>
  <c r="B24" i="41"/>
  <c r="A23" i="41"/>
  <c r="A22" i="41"/>
  <c r="G21" i="41"/>
  <c r="F21" i="41"/>
  <c r="E21" i="41"/>
  <c r="D21" i="41"/>
  <c r="C21" i="41"/>
  <c r="B21" i="41"/>
  <c r="A20" i="41"/>
  <c r="A19" i="41"/>
  <c r="G18" i="41"/>
  <c r="F18" i="41"/>
  <c r="E18" i="41"/>
  <c r="D18" i="41"/>
  <c r="C18" i="41"/>
  <c r="B18" i="41"/>
  <c r="J14" i="41"/>
  <c r="J15" i="41" s="1"/>
  <c r="J20" i="41" s="1"/>
  <c r="F12" i="4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1A1961-D8E9-4C8D-991C-1065643F7854}" keepAlive="1" name="Consulta - Data" description="Conexão com a consulta 'Data' na pasta de trabalho." type="5" refreshedVersion="8" background="1" saveData="1">
    <dbPr connection="Provider=Microsoft.Mashup.OleDb.1;Data Source=$Workbook$;Location=Data;Extended Properties=&quot;&quot;" command="SELECT * FROM [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<sst xmlns="http://schemas.openxmlformats.org/spreadsheetml/2006/main" count="12098" uniqueCount="4826">
  <si>
    <t>Agente Químico</t>
  </si>
  <si>
    <t>Valor Encontrado</t>
  </si>
  <si>
    <t>Unidade</t>
  </si>
  <si>
    <t>TWA</t>
  </si>
  <si>
    <t>STEL</t>
  </si>
  <si>
    <t>NR 15</t>
  </si>
  <si>
    <t>Bases de Efeitos Críticos</t>
  </si>
  <si>
    <t>Acetaldeído</t>
  </si>
  <si>
    <t>ppm</t>
  </si>
  <si>
    <t>-</t>
  </si>
  <si>
    <t>Acetato de sec-butila</t>
  </si>
  <si>
    <t>Acetato de n-butila</t>
  </si>
  <si>
    <t>Legenda:</t>
  </si>
  <si>
    <t>Dados do Cliente</t>
  </si>
  <si>
    <t>Razão Social:</t>
  </si>
  <si>
    <t>Endereço:</t>
  </si>
  <si>
    <t>Serviço:</t>
  </si>
  <si>
    <t>Monitoramento de Agentes Químicos no Ambiente de Trabalho</t>
  </si>
  <si>
    <t>Informações do Colaborador (a)</t>
  </si>
  <si>
    <t>Função:</t>
  </si>
  <si>
    <t>Local da Coleta:</t>
  </si>
  <si>
    <t>Setor:</t>
  </si>
  <si>
    <t>Matrícula:</t>
  </si>
  <si>
    <t>Colaborador (a):</t>
  </si>
  <si>
    <t>Informações Técnicas de Amostragem</t>
  </si>
  <si>
    <t>Data da Avaliação:</t>
  </si>
  <si>
    <t>Volume de Ar Amostrado:</t>
  </si>
  <si>
    <t>L</t>
  </si>
  <si>
    <t>Metodologia de Análise:</t>
  </si>
  <si>
    <t>Resp. pela coleta:</t>
  </si>
  <si>
    <t>O resultado é valido exclusivamente para a amostra analisada.</t>
  </si>
  <si>
    <t>Notas:</t>
  </si>
  <si>
    <t xml:space="preserve">Referência: </t>
  </si>
  <si>
    <t>Valores Limites de Exposição TLV-TWA da American Conference of Governmental Industrial Hygienists - ACGIH.</t>
  </si>
  <si>
    <t>Nacional Institute for Occupational Safety and Health - NIOSH (Instituto Nacional de Segurança e Saúde Ocupacional).</t>
  </si>
  <si>
    <t>Conclusão:</t>
  </si>
  <si>
    <t>Valor</t>
  </si>
  <si>
    <t>Encontrado</t>
  </si>
  <si>
    <t>Acetato de benzila</t>
  </si>
  <si>
    <t>Acetato de terc-butila</t>
  </si>
  <si>
    <t>Acetato de 2-butoxietila</t>
  </si>
  <si>
    <t>Hemólise</t>
  </si>
  <si>
    <t>Acetato de etila</t>
  </si>
  <si>
    <t>Acetato de 2-etoxietila</t>
  </si>
  <si>
    <t>Acetato de sec-hexila</t>
  </si>
  <si>
    <t>Acetato de isobutila</t>
  </si>
  <si>
    <t>Acetato de isopropila</t>
  </si>
  <si>
    <t>Acetato de metila</t>
  </si>
  <si>
    <t>Acetato de 2-metoxietila</t>
  </si>
  <si>
    <t>Acetato de n-propila</t>
  </si>
  <si>
    <t>Acetato de pentila</t>
  </si>
  <si>
    <t>Acetato de vinila</t>
  </si>
  <si>
    <t>Efeito hematológico; Efeito reprodutivo.</t>
  </si>
  <si>
    <t>Acetileno</t>
  </si>
  <si>
    <t>Asfixia</t>
  </si>
  <si>
    <t>Acetofenona</t>
  </si>
  <si>
    <t>Acetona</t>
  </si>
  <si>
    <t>Acetato cianidrina</t>
  </si>
  <si>
    <r>
      <t>mg/m</t>
    </r>
    <r>
      <rPr>
        <vertAlign val="superscript"/>
        <sz val="10"/>
        <color theme="1"/>
        <rFont val="Arial"/>
        <family val="2"/>
      </rPr>
      <t>3</t>
    </r>
  </si>
  <si>
    <t>Acetonitrila</t>
  </si>
  <si>
    <t>Ácido acético</t>
  </si>
  <si>
    <t>Ácido acetilsalicílico</t>
  </si>
  <si>
    <t>Irritação na pele e olhos.</t>
  </si>
  <si>
    <t>Ácido acrílico</t>
  </si>
  <si>
    <t>Ácido adípico</t>
  </si>
  <si>
    <t>Ácido bromídrico</t>
  </si>
  <si>
    <t>Irritação no TRS e olhos.</t>
  </si>
  <si>
    <t>Irritação no TRS.</t>
  </si>
  <si>
    <t>Irritação nos olhos e no TRS.</t>
  </si>
  <si>
    <t>Irritação no TRS; dor de cabeça; hipoxia/cianose.</t>
  </si>
  <si>
    <t>Irritação no TRS e olhos, comprometimento pulmonar.</t>
  </si>
  <si>
    <t>Irritação nos olhos e no TRS; Comprometimento SNC.</t>
  </si>
  <si>
    <t>Irritação no TRS, comprometimento do SNC, aborto.</t>
  </si>
  <si>
    <t>Irritação no TRS, comprometimento do SNC, efeito hematológico).</t>
  </si>
  <si>
    <t>Irritação nos olhos, pele e TRS; Comprometimento do SNC.</t>
  </si>
  <si>
    <t>Irritação no TRS inferior.</t>
  </si>
  <si>
    <t>Irritação no TRS; comprometimento no SNA.</t>
  </si>
  <si>
    <t>Dano reprodutivo masculino.</t>
  </si>
  <si>
    <t>Dor de cabeça; tontura; náusea; dano olhos (degeneração das células ganglionares da retina).</t>
  </si>
  <si>
    <t>Folha 01 de 02</t>
  </si>
  <si>
    <t>Folha 02 de 02</t>
  </si>
  <si>
    <t>Resultados das Análises dos Agentes Químicos</t>
  </si>
  <si>
    <t>Resultado da Análise do Agente Químico</t>
  </si>
  <si>
    <t>Monitoramentos de Agentes Químicos no Ambiente de Trabalho</t>
  </si>
  <si>
    <t>Norma Regulamentadora - NR 15.</t>
  </si>
  <si>
    <t>Ministério do Trabalho e Emprego - MTE.</t>
  </si>
  <si>
    <t>1,76</t>
  </si>
  <si>
    <t>Ácido 2-cloropropiônico</t>
  </si>
  <si>
    <t>0,088</t>
  </si>
  <si>
    <t>Dano reprodutivo masculino</t>
  </si>
  <si>
    <t>Ácido clorídrico</t>
  </si>
  <si>
    <t>Ácido dicloroacético</t>
  </si>
  <si>
    <t>0,44</t>
  </si>
  <si>
    <t>Ácido 2,2-dicloropropiônico</t>
  </si>
  <si>
    <t>4,4</t>
  </si>
  <si>
    <t>Ácido 2-etil hexanoico</t>
  </si>
  <si>
    <t>Efe teratogênico</t>
  </si>
  <si>
    <t>Ácido fluorídrico</t>
  </si>
  <si>
    <t>Ácido fórmico</t>
  </si>
  <si>
    <t>8,8</t>
  </si>
  <si>
    <t>Ácido fosfórico</t>
  </si>
  <si>
    <t>0,88</t>
  </si>
  <si>
    <t>2,64</t>
  </si>
  <si>
    <t>Ácido metacrílico</t>
  </si>
  <si>
    <t>17,6</t>
  </si>
  <si>
    <t>Ácido monocloroacético</t>
  </si>
  <si>
    <t>Ácido nítrico</t>
  </si>
  <si>
    <t>3,52</t>
  </si>
  <si>
    <t>Ácido oxálico</t>
  </si>
  <si>
    <t>Ácido peracético</t>
  </si>
  <si>
    <t>0,352</t>
  </si>
  <si>
    <t>Ácido pícrico</t>
  </si>
  <si>
    <t>Ácido propiônico</t>
  </si>
  <si>
    <t>Ácido Sulfúrico</t>
  </si>
  <si>
    <t>0,176</t>
  </si>
  <si>
    <t>Função pulmonar</t>
  </si>
  <si>
    <t>Ácido tereftálico</t>
  </si>
  <si>
    <t>Ácido tioglicólico</t>
  </si>
  <si>
    <t>Ácido tricloroacético</t>
  </si>
  <si>
    <t>Acrilamida</t>
  </si>
  <si>
    <t>0,0264</t>
  </si>
  <si>
    <t>SNC compr</t>
  </si>
  <si>
    <t>Acrilato de n-butila</t>
  </si>
  <si>
    <t>Acrilato de etila</t>
  </si>
  <si>
    <t>13,2</t>
  </si>
  <si>
    <t>Acrilato de 2-hidroxipropila</t>
  </si>
  <si>
    <t>Acrilato de metila</t>
  </si>
  <si>
    <t>Acrilonitrila</t>
  </si>
  <si>
    <t>Acroleína</t>
  </si>
  <si>
    <t>Adiponitrila</t>
  </si>
  <si>
    <t>Aguarrás Mineral</t>
  </si>
  <si>
    <t>Dano olhos, pele e rins; náusea; compr SNC</t>
  </si>
  <si>
    <t>Hemossiderose (fígado, baço e rins)</t>
  </si>
  <si>
    <t>Alaclor</t>
  </si>
  <si>
    <t>Alcatrão de hulha</t>
  </si>
  <si>
    <t>Câncer</t>
  </si>
  <si>
    <t>Álcool alílico</t>
  </si>
  <si>
    <t>Álcool n-butílico</t>
  </si>
  <si>
    <t>Álcool sec-butílico</t>
  </si>
  <si>
    <t>Álcool terc-butílico</t>
  </si>
  <si>
    <t>Compr SNC</t>
  </si>
  <si>
    <t>Álcool furfurílico</t>
  </si>
  <si>
    <t>Álcool isoamílico</t>
  </si>
  <si>
    <t>Álcool isobutílico</t>
  </si>
  <si>
    <t>Álcool isooctílico</t>
  </si>
  <si>
    <t>Álcool propargílico</t>
  </si>
  <si>
    <t>Álcool n-propílico</t>
  </si>
  <si>
    <t>Irritação olhos e TRS</t>
  </si>
  <si>
    <t>Aldrin</t>
  </si>
  <si>
    <t>0,044</t>
  </si>
  <si>
    <t>Compr SNC; dano fígado e rins</t>
  </si>
  <si>
    <t>Algodão</t>
  </si>
  <si>
    <t>Bissinose; bronquite; função pulmonar</t>
  </si>
  <si>
    <t>Alumínio metal</t>
  </si>
  <si>
    <t>Amido</t>
  </si>
  <si>
    <t>Dermatite</t>
  </si>
  <si>
    <t>4-Aminodifenil</t>
  </si>
  <si>
    <t>Câncer de fígado e bexiga</t>
  </si>
  <si>
    <t>2-Aminopiridina</t>
  </si>
  <si>
    <t>Dor de cabeça; náusea; compr SNC; tontura</t>
  </si>
  <si>
    <t>Amitrol</t>
  </si>
  <si>
    <t>efe tireoide</t>
  </si>
  <si>
    <t>Amônia</t>
  </si>
  <si>
    <t>Anídrico acético</t>
  </si>
  <si>
    <t>Anidrido ftálico</t>
  </si>
  <si>
    <t>Anidrido hexahidroftálico</t>
  </si>
  <si>
    <t>0,0044</t>
  </si>
  <si>
    <t>Sens</t>
  </si>
  <si>
    <t>Anidrido maleico</t>
  </si>
  <si>
    <t>0,0088</t>
  </si>
  <si>
    <t>Resp sens</t>
  </si>
  <si>
    <t>Anidrido trimelítico</t>
  </si>
  <si>
    <t>0,00044</t>
  </si>
  <si>
    <t>0,00176</t>
  </si>
  <si>
    <t>Sens resp</t>
  </si>
  <si>
    <t>Antimônio</t>
  </si>
  <si>
    <t>ANTU</t>
  </si>
  <si>
    <t>0,264</t>
  </si>
  <si>
    <t>Efe tireoide; náusea</t>
  </si>
  <si>
    <t>Arseneto de gálio</t>
  </si>
  <si>
    <t>0,000264</t>
  </si>
  <si>
    <t>Arsênio</t>
  </si>
  <si>
    <t>Câncer do pulmão</t>
  </si>
  <si>
    <t>Arsina</t>
  </si>
  <si>
    <t>Compr SNP e sistema vascular; compr fígado e rins</t>
  </si>
  <si>
    <t>Arbesto</t>
  </si>
  <si>
    <t>f/cc</t>
  </si>
  <si>
    <t>Pneumoconiose; câncer do pulmão; mesotlioma</t>
  </si>
  <si>
    <t>Asfalto</t>
  </si>
  <si>
    <t>Atrazine</t>
  </si>
  <si>
    <t>Ef hematológico, reprodutivo, desenvol.</t>
  </si>
  <si>
    <t>Azida de sódio</t>
  </si>
  <si>
    <t>0,2552</t>
  </si>
  <si>
    <t>Compr card; dano pulmão</t>
  </si>
  <si>
    <t>Azinfos metil</t>
  </si>
  <si>
    <t>Inib colinesterase</t>
  </si>
  <si>
    <t>Bário</t>
  </si>
  <si>
    <t>Benomil</t>
  </si>
  <si>
    <t>Benzeno</t>
  </si>
  <si>
    <t>2,2</t>
  </si>
  <si>
    <t>Leucemia</t>
  </si>
  <si>
    <t>Benzidina</t>
  </si>
  <si>
    <t>Câncer de bexiga</t>
  </si>
  <si>
    <t>Benzo[a]antraceno</t>
  </si>
  <si>
    <t>Câncer de pele</t>
  </si>
  <si>
    <t>Benzo[b]fluoranteno</t>
  </si>
  <si>
    <t>Benzo[a]pireno</t>
  </si>
  <si>
    <t>Berílio</t>
  </si>
  <si>
    <t>0,000044</t>
  </si>
  <si>
    <t>Sens Berílio; doença crônica do berílio (berilose)</t>
  </si>
  <si>
    <t>Bifenil</t>
  </si>
  <si>
    <t>Bissulfito de sódio</t>
  </si>
  <si>
    <t>Borracha natural</t>
  </si>
  <si>
    <t>0,000088</t>
  </si>
  <si>
    <t>Sens respiratória</t>
  </si>
  <si>
    <t>Borato</t>
  </si>
  <si>
    <t>5,28</t>
  </si>
  <si>
    <t>Bromacil</t>
  </si>
  <si>
    <t>Efe tireoide</t>
  </si>
  <si>
    <t>Brometo de alila</t>
  </si>
  <si>
    <t>Brometo de etila</t>
  </si>
  <si>
    <t>Dano fígado; compr SNC</t>
  </si>
  <si>
    <t>Brometo de hidrogênio</t>
  </si>
  <si>
    <t>Brometo de metila</t>
  </si>
  <si>
    <t>Brometo de vinila</t>
  </si>
  <si>
    <t xml:space="preserve">Câncer de fígado </t>
  </si>
  <si>
    <t>Bromo</t>
  </si>
  <si>
    <t>Bromofórmio</t>
  </si>
  <si>
    <t>1-Bromopropano</t>
  </si>
  <si>
    <t>Compr SNC; neuropatia periférica, efe hematológico e no desenvolvimento, toxicidade repro (masculino e feminino)</t>
  </si>
  <si>
    <t>1,3-Butadieno</t>
  </si>
  <si>
    <t>Butano</t>
  </si>
  <si>
    <t>Butenos</t>
  </si>
  <si>
    <t>Efe sobre o peso do corpo</t>
  </si>
  <si>
    <t>n-Butil mercaptana</t>
  </si>
  <si>
    <t>n-Butilamina</t>
  </si>
  <si>
    <t>o-sec Butilfenol</t>
  </si>
  <si>
    <t>2-Butóxi etanol</t>
  </si>
  <si>
    <t>Cádmio</t>
  </si>
  <si>
    <t>Dano rins</t>
  </si>
  <si>
    <t>Canfeno clorado</t>
  </si>
  <si>
    <t>Convulsão SNC; dano fígado</t>
  </si>
  <si>
    <t>Cânfora sintética</t>
  </si>
  <si>
    <t>Caolim</t>
  </si>
  <si>
    <t>Pneumoconiose</t>
  </si>
  <si>
    <t>Caprolactama</t>
  </si>
  <si>
    <t>Captafol</t>
  </si>
  <si>
    <t>Captan</t>
  </si>
  <si>
    <t>Carbaril</t>
  </si>
  <si>
    <t>Inib colinesterase; dano repro masc; dano embrionário</t>
  </si>
  <si>
    <t>Carbeto de silício</t>
  </si>
  <si>
    <t>Carbofuran</t>
  </si>
  <si>
    <t>Carvão</t>
  </si>
  <si>
    <t>Dano pulmão; Fibrose pulmonar</t>
  </si>
  <si>
    <t>Catecol</t>
  </si>
  <si>
    <t>Celulose</t>
  </si>
  <si>
    <t>Cereais</t>
  </si>
  <si>
    <t>Ceteno</t>
  </si>
  <si>
    <t>1,32</t>
  </si>
  <si>
    <t>Chumbo</t>
  </si>
  <si>
    <t>Compr SNC; compr SNP; efe hematológico</t>
  </si>
  <si>
    <t>0,132</t>
  </si>
  <si>
    <t>Cianamida</t>
  </si>
  <si>
    <t>Cianamida de cálcio</t>
  </si>
  <si>
    <t>Cianeto de hidrogênio</t>
  </si>
  <si>
    <t>Ácido cianídrico</t>
  </si>
  <si>
    <t>Cianoacrilato de etila</t>
  </si>
  <si>
    <t>2-Cianoacrilato de metila</t>
  </si>
  <si>
    <t>Cianogênio</t>
  </si>
  <si>
    <t>Ciclohexano</t>
  </si>
  <si>
    <t>Ciclohexanol</t>
  </si>
  <si>
    <t>Ciclohexanona</t>
  </si>
  <si>
    <t>Ciclohexeno</t>
  </si>
  <si>
    <t>Ciclohexilamina</t>
  </si>
  <si>
    <t>Ciclonita</t>
  </si>
  <si>
    <t>Dano fígado</t>
  </si>
  <si>
    <t>Ciclopentadieno</t>
  </si>
  <si>
    <t>Ciclopentano</t>
  </si>
  <si>
    <t>Cihexatin</t>
  </si>
  <si>
    <t>Cimento portland</t>
  </si>
  <si>
    <t>Função pulmonar; sintomas resp; asma</t>
  </si>
  <si>
    <t>Citral</t>
  </si>
  <si>
    <t>Clopidol</t>
  </si>
  <si>
    <t>Efe mutagênico</t>
  </si>
  <si>
    <t>Clordane</t>
  </si>
  <si>
    <t>Cloreto de alila</t>
  </si>
  <si>
    <t>Cloreto de amônio</t>
  </si>
  <si>
    <t>Cloreto de benzila</t>
  </si>
  <si>
    <t>Cloreto de benzoíla</t>
  </si>
  <si>
    <t>0,45</t>
  </si>
  <si>
    <t>Cloreto de cianogênio</t>
  </si>
  <si>
    <t>Cloreto de cloroacetila</t>
  </si>
  <si>
    <t>Cloreto de cromila</t>
  </si>
  <si>
    <t>0,022</t>
  </si>
  <si>
    <t>1,77</t>
  </si>
  <si>
    <t>Cloreto de enxofre</t>
  </si>
  <si>
    <t>Cloreto de etila</t>
  </si>
  <si>
    <t>Cloreto de hidrogênio</t>
  </si>
  <si>
    <t>Cloreto de metila</t>
  </si>
  <si>
    <t>Compr SNC; dano fígado e rins; dano testicular; efe teratogênico</t>
  </si>
  <si>
    <t>Cloreto de polivinila</t>
  </si>
  <si>
    <t>Cloreto de tionila</t>
  </si>
  <si>
    <t>Cloreto de vinila</t>
  </si>
  <si>
    <t>Câncer de pulmão; dano fígado</t>
  </si>
  <si>
    <t>Cloreto de vinilideno</t>
  </si>
  <si>
    <t>Dano fígado e rins</t>
  </si>
  <si>
    <t>Cloreto de zinco</t>
  </si>
  <si>
    <t>Cloro</t>
  </si>
  <si>
    <t>Cloroacetaldeído</t>
  </si>
  <si>
    <t>2-Cloroacetofenona</t>
  </si>
  <si>
    <t>Cloroacetona</t>
  </si>
  <si>
    <t>Clorobenzeno</t>
  </si>
  <si>
    <t>o-Clorobenzilideno malononitrila</t>
  </si>
  <si>
    <t>Clorodifenil</t>
  </si>
  <si>
    <t>Clorodifluormetano</t>
  </si>
  <si>
    <t>Compr SNC; asfixia; sens card</t>
  </si>
  <si>
    <t>o-Cloroestireno</t>
  </si>
  <si>
    <t>Compr SNC; neuropatia periférica</t>
  </si>
  <si>
    <t>Clorofórmio</t>
  </si>
  <si>
    <t>Dano fígado; dano embrio/fetal; compr SNC</t>
  </si>
  <si>
    <t>1-Cloro-1-nitropropano</t>
  </si>
  <si>
    <t>Cloropentafluoretano</t>
  </si>
  <si>
    <t>Sens card</t>
  </si>
  <si>
    <t>Cloropicrina</t>
  </si>
  <si>
    <t>β -Cloropreno</t>
  </si>
  <si>
    <t>1-Cloro-2-propanol e 2-Cloro-1-propanol</t>
  </si>
  <si>
    <t>Cobalto</t>
  </si>
  <si>
    <t>0,0176</t>
  </si>
  <si>
    <t>Asma; função pulmonar; efe miocardial</t>
  </si>
  <si>
    <t>Cobalto carbonila</t>
  </si>
  <si>
    <t>Edema pulmonar; dano baço</t>
  </si>
  <si>
    <t>Cobalto hidrocarbonila</t>
  </si>
  <si>
    <t>Edema pulmonar; dano pulmão</t>
  </si>
  <si>
    <t>Cobre</t>
  </si>
  <si>
    <t>Coumafos</t>
  </si>
  <si>
    <t>Cresol</t>
  </si>
  <si>
    <t>Criseno</t>
  </si>
  <si>
    <t>Cromato de terc-butila</t>
  </si>
  <si>
    <t>Cromato de cálcio</t>
  </si>
  <si>
    <t>0,00088</t>
  </si>
  <si>
    <t>Câncer pulmão</t>
  </si>
  <si>
    <t>Cromato de chumbo</t>
  </si>
  <si>
    <t>Dano reprod masculino; efe teratogênico; vasoconstrição</t>
  </si>
  <si>
    <t>Cromato de estrôncio</t>
  </si>
  <si>
    <t>Câncer nasal</t>
  </si>
  <si>
    <t>Cromatos de zinco</t>
  </si>
  <si>
    <t>Cromita</t>
  </si>
  <si>
    <t>Cromo</t>
  </si>
  <si>
    <t>Crotonaldeído</t>
  </si>
  <si>
    <t>Crufomate</t>
  </si>
  <si>
    <t>Cumeno</t>
  </si>
  <si>
    <t>DDT</t>
  </si>
  <si>
    <t>Decaborano</t>
  </si>
  <si>
    <t>Conv SNC; perda cognitiva</t>
  </si>
  <si>
    <t>Demeton</t>
  </si>
  <si>
    <t>Demeton-S-metila</t>
  </si>
  <si>
    <t>Diacetil</t>
  </si>
  <si>
    <t>Danos pulmão (Bronchiolitis Obliterans-like)</t>
  </si>
  <si>
    <t>Diacetona álcool</t>
  </si>
  <si>
    <t>αα ´Diamina n-xileno</t>
  </si>
  <si>
    <t>Diazinon</t>
  </si>
  <si>
    <t>Diazometano</t>
  </si>
  <si>
    <t>Diborano</t>
  </si>
  <si>
    <t>Dibrometo de etileno</t>
  </si>
  <si>
    <t>2-N-Dibutilaminoetanol</t>
  </si>
  <si>
    <t>Dibutilftalato</t>
  </si>
  <si>
    <t>Diclopentadieno</t>
  </si>
  <si>
    <t>Dicloreto de etileno</t>
  </si>
  <si>
    <t>Dano fígado; náusea</t>
  </si>
  <si>
    <t>Dicloro de propileno</t>
  </si>
  <si>
    <t>o-Diclorobenzeno</t>
  </si>
  <si>
    <t>p-Diclorobenzeno</t>
  </si>
  <si>
    <t>3,3-Diclorobenzidina</t>
  </si>
  <si>
    <t>Diclorodifluormetano</t>
  </si>
  <si>
    <t>1,3-Dicloro-5,5-dimetil hidantoina</t>
  </si>
  <si>
    <t>1,1-Dicloroetano</t>
  </si>
  <si>
    <t>1,2 Dicloroetileno</t>
  </si>
  <si>
    <t>Diclorofluormetano</t>
  </si>
  <si>
    <t>Diclorometano</t>
  </si>
  <si>
    <t>COHb-emia; compr SNC</t>
  </si>
  <si>
    <t>1,1-Dicloro-1-nitroetano</t>
  </si>
  <si>
    <t>1,2 Dicloropropano</t>
  </si>
  <si>
    <t>Náusea; compr SNP</t>
  </si>
  <si>
    <t>1,3-Dicloropropeno</t>
  </si>
  <si>
    <t>Diclorotetrafluoretano</t>
  </si>
  <si>
    <t>Diclorvos</t>
  </si>
  <si>
    <t>Dicrotofós</t>
  </si>
  <si>
    <t>Dieldrin</t>
  </si>
  <si>
    <t>Dano fígado; efe repro; compr SNC</t>
  </si>
  <si>
    <t>Diesel</t>
  </si>
  <si>
    <t>Dietanolamina</t>
  </si>
  <si>
    <t>Dietilamina</t>
  </si>
  <si>
    <t>2-Dietilaminoetanol</t>
  </si>
  <si>
    <t>Dietilcetona</t>
  </si>
  <si>
    <t>Dietileno triamina</t>
  </si>
  <si>
    <t>Dietilftalato</t>
  </si>
  <si>
    <t>Difenilamina</t>
  </si>
  <si>
    <t>Dano fígado e rins; efe hematológico</t>
  </si>
  <si>
    <t>Difluordibromometano</t>
  </si>
  <si>
    <t>Difluoreto de oxigênio</t>
  </si>
  <si>
    <t>Diisobutil cetona</t>
  </si>
  <si>
    <t>Diisopropilamina</t>
  </si>
  <si>
    <t>N,N-Dietihidroxilamina</t>
  </si>
  <si>
    <t>N,N-Dimetilacetamida</t>
  </si>
  <si>
    <t>Dano fígado; dano embrio/fetal</t>
  </si>
  <si>
    <t>Dimetilamina</t>
  </si>
  <si>
    <t>Dimetiletoxisilano</t>
  </si>
  <si>
    <t>Dimetilformamida</t>
  </si>
  <si>
    <t>Dimetilftalato</t>
  </si>
  <si>
    <t>1,1-Dimetilhidrazina</t>
  </si>
  <si>
    <t>Dinitrato de etileno glicol</t>
  </si>
  <si>
    <t>Vasodilatação; dor de cabeça</t>
  </si>
  <si>
    <t>Dinitrato de propileno glicol</t>
  </si>
  <si>
    <t>Dor de cabeça; compr SNC</t>
  </si>
  <si>
    <t>Dinitrobenzeno</t>
  </si>
  <si>
    <t>MeHb-emia; dano olhos</t>
  </si>
  <si>
    <t>Dinitro-o-cresol</t>
  </si>
  <si>
    <t>Metabolismo basal</t>
  </si>
  <si>
    <t>3,5-Dinitro-o-toluamida</t>
  </si>
  <si>
    <t>1,4-Dioxano</t>
  </si>
  <si>
    <t>Dioxation</t>
  </si>
  <si>
    <t>Dióxido de carbono</t>
  </si>
  <si>
    <t>Dióxido de cloro</t>
  </si>
  <si>
    <t>Dióxido de enxofre</t>
  </si>
  <si>
    <t>1,3-Dioxolane</t>
  </si>
  <si>
    <t>Efe hematológico</t>
  </si>
  <si>
    <t>Dióxido de nitrogênio</t>
  </si>
  <si>
    <t>Dióxido de titânio</t>
  </si>
  <si>
    <t>Dióxido de vinilciclohexano</t>
  </si>
  <si>
    <t>Dano reprod masculino e feminino</t>
  </si>
  <si>
    <t>Dipropil cetona</t>
  </si>
  <si>
    <t>Diquat</t>
  </si>
  <si>
    <t>Dissulfeto de alil propila</t>
  </si>
  <si>
    <t>Dissulfeto de carbono</t>
  </si>
  <si>
    <t>Compr SNP</t>
  </si>
  <si>
    <t>Dissulfeto de dimetila</t>
  </si>
  <si>
    <t>Dissulfiram</t>
  </si>
  <si>
    <t>Vasodilatação; náusea</t>
  </si>
  <si>
    <t>Dissulfoton</t>
  </si>
  <si>
    <t>Diuron</t>
  </si>
  <si>
    <t>Divinil benzeno</t>
  </si>
  <si>
    <t>Dodecil mercaptana</t>
  </si>
  <si>
    <t>Endosulfan</t>
  </si>
  <si>
    <t>Endrin</t>
  </si>
  <si>
    <t>Dano fígado; compr SNC; dor de cabeça</t>
  </si>
  <si>
    <t>Enflurano</t>
  </si>
  <si>
    <t>Compr SNC; compr card</t>
  </si>
  <si>
    <t>Epicloridina</t>
  </si>
  <si>
    <t>EPN</t>
  </si>
  <si>
    <t>Estanho</t>
  </si>
  <si>
    <t>Pneumoconiose (ou estanose)</t>
  </si>
  <si>
    <t>Estearatos</t>
  </si>
  <si>
    <t>Estireno</t>
  </si>
  <si>
    <t>35,2</t>
  </si>
  <si>
    <t>Estriquinina</t>
  </si>
  <si>
    <t>Etanol</t>
  </si>
  <si>
    <t>Etanolamina</t>
  </si>
  <si>
    <t>Éter alil glicidílico</t>
  </si>
  <si>
    <t>Éter n-Butil glicidílico</t>
  </si>
  <si>
    <t>Dano reprodutivo</t>
  </si>
  <si>
    <t>Éber bis-(Clorometílico)</t>
  </si>
  <si>
    <t>Éber bis-(2-dimetilaminoetil)</t>
  </si>
  <si>
    <t>Éter dicloroetílico</t>
  </si>
  <si>
    <t>Éter diglicidílico</t>
  </si>
  <si>
    <t>Éter etil terc-butílico</t>
  </si>
  <si>
    <t>Éter etílico</t>
  </si>
  <si>
    <t>Éter fenílico</t>
  </si>
  <si>
    <t>Éter fenil glicidílico</t>
  </si>
  <si>
    <t>Dano testicular</t>
  </si>
  <si>
    <t>Éter isopropil glicidílico</t>
  </si>
  <si>
    <t>Éter isopropílico</t>
  </si>
  <si>
    <t>272,8</t>
  </si>
  <si>
    <t>Éter isopropílico de monoetileno glicol</t>
  </si>
  <si>
    <t>Éter metil terc-amílico</t>
  </si>
  <si>
    <t>Compr SNC; dano embrio/fetal</t>
  </si>
  <si>
    <t>Éter metil terc-butílico</t>
  </si>
  <si>
    <t>Éter metílico de clorometila</t>
  </si>
  <si>
    <t>Éter metílico de dipropilenoglicol</t>
  </si>
  <si>
    <t>Éter monobutílico de dietileno glicol</t>
  </si>
  <si>
    <t>Efe hematológico, fígado e rins</t>
  </si>
  <si>
    <t>Etil amil cetona</t>
  </si>
  <si>
    <t>Neurotoxicidade</t>
  </si>
  <si>
    <t>Etil butil cetona</t>
  </si>
  <si>
    <t>Etil mercaptana</t>
  </si>
  <si>
    <t>n-Etil morfolina</t>
  </si>
  <si>
    <t>Etilamina</t>
  </si>
  <si>
    <t>Etilbenzeno</t>
  </si>
  <si>
    <t>Etileno</t>
  </si>
  <si>
    <t>Etileno cloridrina</t>
  </si>
  <si>
    <t>Etileno diamina</t>
  </si>
  <si>
    <t>Etileno glicol</t>
  </si>
  <si>
    <t>Etilideno norborneno</t>
  </si>
  <si>
    <t>Etil isocianato</t>
  </si>
  <si>
    <t>0,0528</t>
  </si>
  <si>
    <t>Etilenoimina</t>
  </si>
  <si>
    <t>Etion</t>
  </si>
  <si>
    <t>2-Etoxietanol</t>
  </si>
  <si>
    <t>Dano reprod masculino; dano embrio/fetal</t>
  </si>
  <si>
    <t>Farinha</t>
  </si>
  <si>
    <t>Fenamifos</t>
  </si>
  <si>
    <t>o-Fenileno dilamina</t>
  </si>
  <si>
    <t>Anemia</t>
  </si>
  <si>
    <t>m-Fenileno dilamina</t>
  </si>
  <si>
    <t>p-Fenileno dilamina</t>
  </si>
  <si>
    <t>Fenilfosfina</t>
  </si>
  <si>
    <t>Dermatite; efe hematológico; dano testicular</t>
  </si>
  <si>
    <t>Fenilhidrazina</t>
  </si>
  <si>
    <t>Fenil mercaptana</t>
  </si>
  <si>
    <t>Fenol</t>
  </si>
  <si>
    <t>Fenotiazine</t>
  </si>
  <si>
    <t>Fensulfotion</t>
  </si>
  <si>
    <t>Fention</t>
  </si>
  <si>
    <t>Ferbam</t>
  </si>
  <si>
    <t>Compr SNC; efe peso do corpo; dano baço</t>
  </si>
  <si>
    <t>Ferro</t>
  </si>
  <si>
    <t>Ferro diciclopentadienila</t>
  </si>
  <si>
    <t>Ferro pentacarbonila</t>
  </si>
  <si>
    <t>Edema pulmonar; compr SNC</t>
  </si>
  <si>
    <t>Ferrovanádio</t>
  </si>
  <si>
    <t>Fibras de vidro de filamento contínuo</t>
  </si>
  <si>
    <t>Fibras de lã de vidro</t>
  </si>
  <si>
    <t>Fibras de lã de rocha</t>
  </si>
  <si>
    <t>Fibras de escória de metal</t>
  </si>
  <si>
    <t>Fibras de vidro finalidades especiais</t>
  </si>
  <si>
    <t>Fibras cerâmicas refratárias</t>
  </si>
  <si>
    <t>Fibrose pulmonar; função pulmonar</t>
  </si>
  <si>
    <t>Flúor</t>
  </si>
  <si>
    <t>Fluoracetato de sódio</t>
  </si>
  <si>
    <t>Compr SNC; compr card; náusea</t>
  </si>
  <si>
    <t xml:space="preserve">Fluoretos </t>
  </si>
  <si>
    <t>Danos ossos; fluorose</t>
  </si>
  <si>
    <t>Fluoreto de carbonila</t>
  </si>
  <si>
    <t>Fluoreto de hidrogênio</t>
  </si>
  <si>
    <t>Flureto de perclorila</t>
  </si>
  <si>
    <t>Fluoreto de sulfurila</t>
  </si>
  <si>
    <t>Fluoreto de vinila</t>
  </si>
  <si>
    <t>Câncer fígado; dano fígado</t>
  </si>
  <si>
    <t>Fluoreto de vinilideno</t>
  </si>
  <si>
    <t>Fonofos</t>
  </si>
  <si>
    <t>Forate</t>
  </si>
  <si>
    <t>Formaldeído</t>
  </si>
  <si>
    <t>Foramida</t>
  </si>
  <si>
    <t>Formiato de etila</t>
  </si>
  <si>
    <t>Formiato de metila</t>
  </si>
  <si>
    <t>Fosfato de dibutila</t>
  </si>
  <si>
    <t>Fofato de dibutil fenila</t>
  </si>
  <si>
    <t>Fosfato de tributila</t>
  </si>
  <si>
    <t>Fosfato de trifenila</t>
  </si>
  <si>
    <t>Fosfato de triortocresila</t>
  </si>
  <si>
    <t>Fosfina</t>
  </si>
  <si>
    <t>Fosfito de trimetila</t>
  </si>
  <si>
    <t>Fósforo</t>
  </si>
  <si>
    <t>Fosgênio</t>
  </si>
  <si>
    <t>Ftalato de di(2-etilhexila)</t>
  </si>
  <si>
    <t>m-Ftalodinitrila</t>
  </si>
  <si>
    <t>o-Ftalodinitrila</t>
  </si>
  <si>
    <t>Conv. Sistema nervos central; efeito sobre peso corpóreo</t>
  </si>
  <si>
    <t>Furfural</t>
  </si>
  <si>
    <t>Gasolina</t>
  </si>
  <si>
    <t>Glicidol</t>
  </si>
  <si>
    <t>Glioxal</t>
  </si>
  <si>
    <t>Glutaraldeído</t>
  </si>
  <si>
    <t>Grafite</t>
  </si>
  <si>
    <t>Grãos, poeira (aveia, trigo, cevada)</t>
  </si>
  <si>
    <t>Háfnio</t>
  </si>
  <si>
    <t>Halotano</t>
  </si>
  <si>
    <t>Dano fígado; compr SNC; vasodilatação</t>
  </si>
  <si>
    <t>Heptacloro</t>
  </si>
  <si>
    <t>Heptano</t>
  </si>
  <si>
    <t>Hexaclorobenzeno</t>
  </si>
  <si>
    <t>Efe porfírico; dano pele; compr SNC</t>
  </si>
  <si>
    <t>Hexaclorobutadieno</t>
  </si>
  <si>
    <t>Hexaclorociclopentadieno</t>
  </si>
  <si>
    <t>Hexacloroetano</t>
  </si>
  <si>
    <t>Hexacloronaftaleno</t>
  </si>
  <si>
    <t>Dano fígado; cloracne</t>
  </si>
  <si>
    <t>Hexafluoracetona</t>
  </si>
  <si>
    <t>Dano testicular; dano rins</t>
  </si>
  <si>
    <t>Hexafluorpropileno</t>
  </si>
  <si>
    <t>Danp rins</t>
  </si>
  <si>
    <t>Hexafluoreto de enxofre</t>
  </si>
  <si>
    <t>Hexafluoreto de selênio</t>
  </si>
  <si>
    <t>Edema pulmonar</t>
  </si>
  <si>
    <t>Hexafluoreto de telúrio</t>
  </si>
  <si>
    <t>Hexametil fosforamida</t>
  </si>
  <si>
    <t>Câncer TRS</t>
  </si>
  <si>
    <t>n-Hexano</t>
  </si>
  <si>
    <t>Hexano</t>
  </si>
  <si>
    <t>1,6-Hexanodiamina</t>
  </si>
  <si>
    <t>1-Hexeno</t>
  </si>
  <si>
    <t>Hexileno glicol</t>
  </si>
  <si>
    <t>Hidrazina</t>
  </si>
  <si>
    <t>Hidreto de antimônio</t>
  </si>
  <si>
    <t>Hidreto de lítio</t>
  </si>
  <si>
    <t>Hidroquinona</t>
  </si>
  <si>
    <t>Hidróxido de cálcio</t>
  </si>
  <si>
    <t>Hidróxido de césio</t>
  </si>
  <si>
    <t>Hidróxido de potássio</t>
  </si>
  <si>
    <t>Hidróxido de sódio</t>
  </si>
  <si>
    <t>Indeno</t>
  </si>
  <si>
    <t>Iodeto de metila</t>
  </si>
  <si>
    <t>Dano olhos; compr SNC</t>
  </si>
  <si>
    <t>índio</t>
  </si>
  <si>
    <t>Edema pulmonar; penumonite; corrosão dental; mal-estar</t>
  </si>
  <si>
    <t xml:space="preserve">Iodo </t>
  </si>
  <si>
    <t>Iodetos</t>
  </si>
  <si>
    <t>Iodofórmio</t>
  </si>
  <si>
    <t>0,528</t>
  </si>
  <si>
    <t>Isocianato de metila</t>
  </si>
  <si>
    <t>Isopropilamina</t>
  </si>
  <si>
    <t>2-Isopropoxietanol</t>
  </si>
  <si>
    <t>Ítrio</t>
  </si>
  <si>
    <t>Fibrose pulmonar</t>
  </si>
  <si>
    <t>Lactato de n-butila</t>
  </si>
  <si>
    <t>Lindano</t>
  </si>
  <si>
    <t>Cedro vermelho do Oeste</t>
  </si>
  <si>
    <t>Todas as outras espécies</t>
  </si>
  <si>
    <t>Asma</t>
  </si>
  <si>
    <t>Malation</t>
  </si>
  <si>
    <t>Manganês</t>
  </si>
  <si>
    <t>Manganês ciclopentadienil tricarbonila</t>
  </si>
  <si>
    <t>Mercúrio</t>
  </si>
  <si>
    <t>Compr SNC e SNP; dano rins</t>
  </si>
  <si>
    <t>Metabissulfito de sódio</t>
  </si>
  <si>
    <t>Metacrilato de metila</t>
  </si>
  <si>
    <t>Metanol</t>
  </si>
  <si>
    <t>Dor de cabeça; dano olhos; tonturas; náusea</t>
  </si>
  <si>
    <t>Metil acetileno</t>
  </si>
  <si>
    <t>Metil acetileno-propadieno</t>
  </si>
  <si>
    <t>Metilacrilonitrila</t>
  </si>
  <si>
    <t>Metilal</t>
  </si>
  <si>
    <t>Metilamina</t>
  </si>
  <si>
    <t>Metil n-amil cetona</t>
  </si>
  <si>
    <t>n-Metil anilina</t>
  </si>
  <si>
    <t>MeHb-emia; compr SNC</t>
  </si>
  <si>
    <t>Metil n-butil cetona</t>
  </si>
  <si>
    <t>Neuropatia periférica; dano testicular</t>
  </si>
  <si>
    <t>Metilciclohexano</t>
  </si>
  <si>
    <t>Meticiclohexanol</t>
  </si>
  <si>
    <t>o-Metilciclohexanona</t>
  </si>
  <si>
    <t>2-Metilciclopentadienil manganês tricarbonila</t>
  </si>
  <si>
    <t>Compr SNC; dano pulmão, fígado e rins</t>
  </si>
  <si>
    <t>Metil demeton</t>
  </si>
  <si>
    <t>Metil etil cetona</t>
  </si>
  <si>
    <t>α - Metil estireno</t>
  </si>
  <si>
    <t>Metil hidrazina</t>
  </si>
  <si>
    <t>Metil isoamil cetona</t>
  </si>
  <si>
    <t>Metil isobutil carbinol</t>
  </si>
  <si>
    <t>Metil isobutil cetona</t>
  </si>
  <si>
    <t>Metil isopropil cetona</t>
  </si>
  <si>
    <t>Danos embrio/fetal; toxicidade neonatal</t>
  </si>
  <si>
    <t>Metil mercaptna</t>
  </si>
  <si>
    <t>1-Metil naftaleno e 2-Metil naftaleno</t>
  </si>
  <si>
    <t>Metil paration</t>
  </si>
  <si>
    <t>Metil propil cetona</t>
  </si>
  <si>
    <t>Metil vinil cetona</t>
  </si>
  <si>
    <t>4,4-metileno-bis-(2-cloroanilina)</t>
  </si>
  <si>
    <t>Câncer de bexiga; MeHb-emia</t>
  </si>
  <si>
    <t>4,4-Metileno dianilina</t>
  </si>
  <si>
    <t>Metomil</t>
  </si>
  <si>
    <t>Inib colinesterase; dano reprod masculino; efe hematológico</t>
  </si>
  <si>
    <t>Metoxicloro</t>
  </si>
  <si>
    <t>2-metoxietanol</t>
  </si>
  <si>
    <t>Efe hematológico; efe reprodutivo</t>
  </si>
  <si>
    <t>(2-Metoximetiletoxi) propanol</t>
  </si>
  <si>
    <t>4-Metoxifenol</t>
  </si>
  <si>
    <t>1-Metoxi-2-propanol</t>
  </si>
  <si>
    <t>Metribuzin</t>
  </si>
  <si>
    <t>Dano fígado; efe hematológico</t>
  </si>
  <si>
    <t>Mevinfos</t>
  </si>
  <si>
    <t>Mica</t>
  </si>
  <si>
    <t>Molibdênio</t>
  </si>
  <si>
    <t>Monocrotofós</t>
  </si>
  <si>
    <t>Monóxido de Carbono</t>
  </si>
  <si>
    <t>COHb-emia</t>
  </si>
  <si>
    <t>Morfolina</t>
  </si>
  <si>
    <t>Naftaleno</t>
  </si>
  <si>
    <t>β -Naftilamina</t>
  </si>
  <si>
    <t>Naled</t>
  </si>
  <si>
    <t>Negro de fumo</t>
  </si>
  <si>
    <t>Bronquite</t>
  </si>
  <si>
    <t>Nicotina</t>
  </si>
  <si>
    <t>Dano GI; compr SNC; compr card</t>
  </si>
  <si>
    <t>Níquel</t>
  </si>
  <si>
    <t>Dermatite; pneumoconiose</t>
  </si>
  <si>
    <t>Níquel carbonila</t>
  </si>
  <si>
    <t>Nitrapirin</t>
  </si>
  <si>
    <t>Nitrato de n-propila</t>
  </si>
  <si>
    <t>Náusea; dor de cabça</t>
  </si>
  <si>
    <t>Nitrato de isobutila</t>
  </si>
  <si>
    <t>Vasodilatação; MeHb-emia</t>
  </si>
  <si>
    <t>p-Nitroanilina</t>
  </si>
  <si>
    <t>4-Nitrodifenila</t>
  </si>
  <si>
    <t>Nitroetano</t>
  </si>
  <si>
    <t>Nitroglicerina</t>
  </si>
  <si>
    <t>Vasodilatação</t>
  </si>
  <si>
    <t>Nitrometano</t>
  </si>
  <si>
    <t>1-Nitropentano</t>
  </si>
  <si>
    <t>2-Nitropropano</t>
  </si>
  <si>
    <t>Dano fígado; câncer fígado</t>
  </si>
  <si>
    <t>n-Nitrosodimetilamina</t>
  </si>
  <si>
    <t>Câncer fígado e rins; dano fígado</t>
  </si>
  <si>
    <t>5-Nitro-o-toluidina</t>
  </si>
  <si>
    <t>Nonano</t>
  </si>
  <si>
    <t>Octacloronaftaleno</t>
  </si>
  <si>
    <t>Octano</t>
  </si>
  <si>
    <t>Óleo mineral</t>
  </si>
  <si>
    <t>p,p´-Oxibis (benzeno sulfonila hidrazida)</t>
  </si>
  <si>
    <t>Oxicloreto de fósforo</t>
  </si>
  <si>
    <t>Óxido de boro</t>
  </si>
  <si>
    <t>Óxido de cálcio</t>
  </si>
  <si>
    <t>Óxido de difenila o-clorada</t>
  </si>
  <si>
    <t>Coracne; dano fígado</t>
  </si>
  <si>
    <t>Câncer; compr SNC</t>
  </si>
  <si>
    <t>Óxido de etileno</t>
  </si>
  <si>
    <t>Óxido de magnésio</t>
  </si>
  <si>
    <t>TRS; febre dos fumos metálicos</t>
  </si>
  <si>
    <t>Óxido de mesitila</t>
  </si>
  <si>
    <t>Óxido de propileno</t>
  </si>
  <si>
    <t>Óxido de zinco</t>
  </si>
  <si>
    <t>Febre dos fumos metálicos</t>
  </si>
  <si>
    <t>Óxido nítrico</t>
  </si>
  <si>
    <t>Óxido nitroso</t>
  </si>
  <si>
    <t>Compr SNC; efe hematológico; dano embrio/fetal</t>
  </si>
  <si>
    <t>Ozônio</t>
  </si>
  <si>
    <t>Parafina</t>
  </si>
  <si>
    <t>Paraquat</t>
  </si>
  <si>
    <t>Dano pulmão</t>
  </si>
  <si>
    <t>Paration</t>
  </si>
  <si>
    <t>Pentacloreto de fósforo</t>
  </si>
  <si>
    <t>Pentaclorofenol</t>
  </si>
  <si>
    <t>Pentacloronaftaleno</t>
  </si>
  <si>
    <t>Pentacloronitrobenzeno</t>
  </si>
  <si>
    <t>Pentaeritritol</t>
  </si>
  <si>
    <t>Pentafluoreto de bromo</t>
  </si>
  <si>
    <t>Pentafluoreto de enxofre</t>
  </si>
  <si>
    <t>Pentano</t>
  </si>
  <si>
    <t>2,4-Pentanodiona</t>
  </si>
  <si>
    <t>Neurotoxicidade; danos SNC</t>
  </si>
  <si>
    <t>Pentassulfeto de fósforo</t>
  </si>
  <si>
    <t>Pentóxido de vanádio</t>
  </si>
  <si>
    <t>Perclorometil mercaptana</t>
  </si>
  <si>
    <t>Perfluorobutil etileno</t>
  </si>
  <si>
    <t>Perfluorisobutileno</t>
  </si>
  <si>
    <t>Perfluoroctanoato de amônio</t>
  </si>
  <si>
    <t>Peróxido de benzoila</t>
  </si>
  <si>
    <t>Peróxido de hidrogênio</t>
  </si>
  <si>
    <t>Peróxido de metil etil cetona</t>
  </si>
  <si>
    <t>Persulfatos</t>
  </si>
  <si>
    <t>Picloram</t>
  </si>
  <si>
    <t>Pindone</t>
  </si>
  <si>
    <t>Coagulação</t>
  </si>
  <si>
    <t>Piperazina e sais</t>
  </si>
  <si>
    <t>Sens resp; asma</t>
  </si>
  <si>
    <t>Piretro</t>
  </si>
  <si>
    <t>Piridina</t>
  </si>
  <si>
    <t>Pirosfato de tetraetila</t>
  </si>
  <si>
    <t>Platina</t>
  </si>
  <si>
    <t>Prata</t>
  </si>
  <si>
    <t>Argíria</t>
  </si>
  <si>
    <t>Propano sulfona</t>
  </si>
  <si>
    <t>2-Propanol</t>
  </si>
  <si>
    <t>Propileno</t>
  </si>
  <si>
    <t>Propileno imina</t>
  </si>
  <si>
    <t>β - Propiolactona</t>
  </si>
  <si>
    <t>Propionaldeído</t>
  </si>
  <si>
    <t>Propoxur</t>
  </si>
  <si>
    <t>PVC</t>
  </si>
  <si>
    <t>Querosene</t>
  </si>
  <si>
    <t>Quinona</t>
  </si>
  <si>
    <t>Resina de vareta (eletrodo arame) de solda</t>
  </si>
  <si>
    <t>Sens pele; dermatite; asma</t>
  </si>
  <si>
    <t>Resorcinol</t>
  </si>
  <si>
    <t>Ródio</t>
  </si>
  <si>
    <t>Ronel</t>
  </si>
  <si>
    <t>Rotenona</t>
  </si>
  <si>
    <t>Sacarose</t>
  </si>
  <si>
    <t>Corrosão dental</t>
  </si>
  <si>
    <t>Seleneto de hidrogênio</t>
  </si>
  <si>
    <t>Selênio</t>
  </si>
  <si>
    <t>Sesone</t>
  </si>
  <si>
    <t xml:space="preserve">Fibrose pumonar; câncer do pulmão </t>
  </si>
  <si>
    <t>Silicato de cálcio</t>
  </si>
  <si>
    <t>Silicato de etila</t>
  </si>
  <si>
    <t>Silicato de metila</t>
  </si>
  <si>
    <t>Subtilisins</t>
  </si>
  <si>
    <t>0,0000528</t>
  </si>
  <si>
    <t>Sulfamato e amônio</t>
  </si>
  <si>
    <t>Sulfato de bário</t>
  </si>
  <si>
    <t>Sulfato de cálcio</t>
  </si>
  <si>
    <t>Sintomas nasais</t>
  </si>
  <si>
    <t>Sulfato de dimetila</t>
  </si>
  <si>
    <t>Sulfeto de carbonila</t>
  </si>
  <si>
    <t>Sufeto de hidrogênio</t>
  </si>
  <si>
    <t>Sufeto de dimetila</t>
  </si>
  <si>
    <t>Sulfometuron metil</t>
  </si>
  <si>
    <t>Sulfotep</t>
  </si>
  <si>
    <t>Sulprofos</t>
  </si>
  <si>
    <t>2,4,5-T</t>
  </si>
  <si>
    <t>Talco</t>
  </si>
  <si>
    <t>Tálio</t>
  </si>
  <si>
    <t>Dano GI; neuropatia periférica</t>
  </si>
  <si>
    <t>Telureto de bismuto</t>
  </si>
  <si>
    <t>Telúrio</t>
  </si>
  <si>
    <t>Halitose</t>
  </si>
  <si>
    <t>Temefós</t>
  </si>
  <si>
    <t>Terbufos</t>
  </si>
  <si>
    <t>Terebentina</t>
  </si>
  <si>
    <t>Terfenilas</t>
  </si>
  <si>
    <t>Terfenilas hidrogenadas</t>
  </si>
  <si>
    <t>Tetrabrometo de acetileno</t>
  </si>
  <si>
    <t>Tetrabrometo de carbono</t>
  </si>
  <si>
    <t>Tetracloreto de carbono</t>
  </si>
  <si>
    <t>Dano fígado e rins; compr SNC</t>
  </si>
  <si>
    <t>1,1,1,2-Tetracloro-2,2-difluoretano</t>
  </si>
  <si>
    <t>1,1,1,2-Tetracloro-1,2-difluoretano</t>
  </si>
  <si>
    <t>1,1,2,2-Tetracloroetano</t>
  </si>
  <si>
    <t>Tetracloronaftaleno</t>
  </si>
  <si>
    <t>Tetrafluoretileno</t>
  </si>
  <si>
    <t>Dano fígado e rins; câncer fígado e rins</t>
  </si>
  <si>
    <t>Tetrafluoreto de enxofre</t>
  </si>
  <si>
    <t>Tetrahidreto de germânio</t>
  </si>
  <si>
    <t>Tetrahidreto de silício</t>
  </si>
  <si>
    <t>Tetrahidrofurano</t>
  </si>
  <si>
    <t>Tetraquis</t>
  </si>
  <si>
    <t>Tetrametil succinonitrila</t>
  </si>
  <si>
    <t>Dor de cabeça; náusea; conv SNC</t>
  </si>
  <si>
    <t>Tetril</t>
  </si>
  <si>
    <t>Tetróxido de ósmio</t>
  </si>
  <si>
    <t>0,000176</t>
  </si>
  <si>
    <t>0,000528</t>
  </si>
  <si>
    <t>Thiram</t>
  </si>
  <si>
    <t>Efe peso do corpo e hematológico</t>
  </si>
  <si>
    <t>Titânio</t>
  </si>
  <si>
    <t>4,4´-Tiobis (6-terc-butil-m-cresol)</t>
  </si>
  <si>
    <t>o-Tolidina</t>
  </si>
  <si>
    <t>Tolueno</t>
  </si>
  <si>
    <t>Compr visão; dano reprod feminino; aborto</t>
  </si>
  <si>
    <t>o-Toluidina</t>
  </si>
  <si>
    <t>m-Toluidina</t>
  </si>
  <si>
    <t>Tribrometo de boro</t>
  </si>
  <si>
    <t>Tricloreto de fósforo</t>
  </si>
  <si>
    <t>Triclorfon</t>
  </si>
  <si>
    <t>Triclorometil benzeno</t>
  </si>
  <si>
    <t>1,1,2-Tricloro-1,2,2-trifluoretano</t>
  </si>
  <si>
    <t>Compr SNC; perdas cognitivas; toxicidade renal</t>
  </si>
  <si>
    <t>Triclorofluormetano</t>
  </si>
  <si>
    <t>Tricloronaftaleno</t>
  </si>
  <si>
    <t>Dano fígado; cloroacne</t>
  </si>
  <si>
    <t>Trietanolamina</t>
  </si>
  <si>
    <t>Trietilamina</t>
  </si>
  <si>
    <t>Trifluorbromometano</t>
  </si>
  <si>
    <t>Conpr SNC e card</t>
  </si>
  <si>
    <t>Trifluoreto de boro</t>
  </si>
  <si>
    <t>Trifluoreto de cloro</t>
  </si>
  <si>
    <t>Trifluoreto de nitrogênio</t>
  </si>
  <si>
    <t>MeHb-emia; dano fígado e rins</t>
  </si>
  <si>
    <t>1,3,5-Triglicidil-s-triazinetriona</t>
  </si>
  <si>
    <t>Dano reprod masculino</t>
  </si>
  <si>
    <t>Trimetilamina</t>
  </si>
  <si>
    <t>Trimetil benzeno</t>
  </si>
  <si>
    <t>Compr SNC; asma; efe hematológico</t>
  </si>
  <si>
    <t>Trióxido de antimônio</t>
  </si>
  <si>
    <t>Câncer de pulmão; pneumoconiose</t>
  </si>
  <si>
    <t>Tungstênio</t>
  </si>
  <si>
    <t>Urânio</t>
  </si>
  <si>
    <t>n-Valeraldeído</t>
  </si>
  <si>
    <t>4-Viniciclohexano</t>
  </si>
  <si>
    <t>Dano reprod feminino e masculino</t>
  </si>
  <si>
    <t>Warfarin</t>
  </si>
  <si>
    <t>Xileno</t>
  </si>
  <si>
    <t>Xilidina</t>
  </si>
  <si>
    <t>Dano fígado; MeHb-emia</t>
  </si>
  <si>
    <t>Zircônio</t>
  </si>
  <si>
    <t>2,5</t>
  </si>
  <si>
    <t>0,04</t>
  </si>
  <si>
    <t>0,08</t>
  </si>
  <si>
    <t>0,4</t>
  </si>
  <si>
    <t>0,8</t>
  </si>
  <si>
    <t>0,008</t>
  </si>
  <si>
    <t>1,6</t>
  </si>
  <si>
    <t>0,23</t>
  </si>
  <si>
    <t>3,5</t>
  </si>
  <si>
    <t>1,2,4-Triclorobenzeno</t>
  </si>
  <si>
    <t>Jornada de Tabalho: 44 Horas/Semanais</t>
  </si>
  <si>
    <t>Partículas não especificadas de outra maneira (Respiráveis)</t>
  </si>
  <si>
    <t>Nafta</t>
  </si>
  <si>
    <t>Pulmões</t>
  </si>
  <si>
    <t>Irritação olhos e TRS; compr cóclea</t>
  </si>
  <si>
    <t>Hora Final</t>
  </si>
  <si>
    <t>Hora Inicial</t>
  </si>
  <si>
    <t>min</t>
  </si>
  <si>
    <t>Vazão:</t>
  </si>
  <si>
    <t>min/L</t>
  </si>
  <si>
    <t>Volume:</t>
  </si>
  <si>
    <t>Acetamida</t>
  </si>
  <si>
    <t>n-Propanol</t>
  </si>
  <si>
    <t>Álcool Etílico</t>
  </si>
  <si>
    <t>Irritação TRS; dor de cabeça; náusea; efe tireoide</t>
  </si>
  <si>
    <t>Irritação TRS</t>
  </si>
  <si>
    <t>Irritação olhos e TRS; dano testicular</t>
  </si>
  <si>
    <t>Irritação TRS  e TRI; Irritação olhos e pele; fluorose</t>
  </si>
  <si>
    <t>Irritação olhos, pele e TRS</t>
  </si>
  <si>
    <t>Irritação olhos e pele</t>
  </si>
  <si>
    <t>Irritação olhos e TRS; corrosão dental</t>
  </si>
  <si>
    <t>Sens pele; dermatite; Irritação olhos</t>
  </si>
  <si>
    <t>Irritação</t>
  </si>
  <si>
    <t>Irritação olhos, TRS e GI; compr SNC; sem pele</t>
  </si>
  <si>
    <t>Irritação olhos, pele e TRS; dano olhos</t>
  </si>
  <si>
    <t>Compr SNC; Irritação TRI</t>
  </si>
  <si>
    <t>Irritação TRS e olhos; edema pulm; enfisema pumonar</t>
  </si>
  <si>
    <t>Irritação TRS e TRI</t>
  </si>
  <si>
    <t>Irritação TRS e olhos</t>
  </si>
  <si>
    <t>Irritação TRS; compr SNC</t>
  </si>
  <si>
    <t>Irritação olhos; dano fígado e rins</t>
  </si>
  <si>
    <t>Pneumoconiose; Irritação TRI neurotoxicidade</t>
  </si>
  <si>
    <t>Dano olhos; Irritação TRS</t>
  </si>
  <si>
    <t>Irritação TRS  e olhos</t>
  </si>
  <si>
    <t>Irritação TRS e pele</t>
  </si>
  <si>
    <t>Irritação TRI</t>
  </si>
  <si>
    <t>Irritação olhos, pele e GI; estim muscular</t>
  </si>
  <si>
    <t>Irritação TRS. Dano reprod testicular e dano embrio / fetal</t>
  </si>
  <si>
    <t>Irritação pele e TRS</t>
  </si>
  <si>
    <t>Irritação TRS e TRI; dano pulmão</t>
  </si>
  <si>
    <t>Dano fígado; Irritação olhos e TRS</t>
  </si>
  <si>
    <t>Dor de cabeça; Irritação olhos e TRS</t>
  </si>
  <si>
    <t>Irritação olhos e TRS; náusea</t>
  </si>
  <si>
    <t>Irritação olhos e TRS; anosmia</t>
  </si>
  <si>
    <t>Irritação pele</t>
  </si>
  <si>
    <t>Irritação olhos e TRS; dermatite</t>
  </si>
  <si>
    <t>Bronquite; Irritação TRS; função pulmonar</t>
  </si>
  <si>
    <t>Irritação TRS; edema pulmonar</t>
  </si>
  <si>
    <t>Irritação olhos e TRI</t>
  </si>
  <si>
    <t>Irritação olhos; compr SNC</t>
  </si>
  <si>
    <t>Irritação olhos, pele e TRS; compr SNC</t>
  </si>
  <si>
    <t>Irritação TRS; efe peso do corpo; dano rins</t>
  </si>
  <si>
    <t>Efe peso do corpo; Irritação TRS; dano olhos</t>
  </si>
  <si>
    <t>Irritação olhos e TRS; dano fígado e rins</t>
  </si>
  <si>
    <t>Edema pulmonar; Irritação olhos, pele e TRS</t>
  </si>
  <si>
    <t>Pneumoconiose; Irritação TRI; alterações função</t>
  </si>
  <si>
    <t>Irritação TRS; sens pele</t>
  </si>
  <si>
    <t>Dano fígado; Irritação olhos; cloracne</t>
  </si>
  <si>
    <t>Irritação olhos; edema pulmonar</t>
  </si>
  <si>
    <t>Irritação; GI; febre dos fumos metálicos</t>
  </si>
  <si>
    <t>Irritação pele e TRI</t>
  </si>
  <si>
    <t>Irritação olhos, pele e GI</t>
  </si>
  <si>
    <t>Irritação TRS; dor de cabeça</t>
  </si>
  <si>
    <t>Dano testicular; Irritação olhos e TRS</t>
  </si>
  <si>
    <t>Irritação TRS; efe peso do corpo</t>
  </si>
  <si>
    <t xml:space="preserve">Irritação olhos e TRS; dano fígado </t>
  </si>
  <si>
    <t>Irritação olhos; dano rins</t>
  </si>
  <si>
    <t>Câncer bexiga; Irritação olhos</t>
  </si>
  <si>
    <t>Irritação olhos e TRS; dano fígado</t>
  </si>
  <si>
    <t>Compr SNC; Irritação olhos</t>
  </si>
  <si>
    <t>Irritação TRS; conv SNC</t>
  </si>
  <si>
    <t>Dor de cabeça; edema pulmonar; Irritação TRS</t>
  </si>
  <si>
    <t>Irritação TRS; dano fígado; compr SNC</t>
  </si>
  <si>
    <t>Irritação TRS; dano olhos</t>
  </si>
  <si>
    <t>Irritação TRS e GI</t>
  </si>
  <si>
    <t>Irritação olhos e TRS; dor de cabeça</t>
  </si>
  <si>
    <t>Irritação olhoes e TRS</t>
  </si>
  <si>
    <t>Irritação TRS; câncer nasal</t>
  </si>
  <si>
    <t>Irritação TRI; bronquite</t>
  </si>
  <si>
    <t>Função pulmonar; Irritação TRI</t>
  </si>
  <si>
    <t>Irritação TRI; catarata</t>
  </si>
  <si>
    <t>Irritação TRS; dano SNC</t>
  </si>
  <si>
    <t>Irritação TRI; dano fígado e rins</t>
  </si>
  <si>
    <t>Irritação TRS; reprod masculino</t>
  </si>
  <si>
    <t>Compr SNC; Irritação TRS; neuropatia periférica</t>
  </si>
  <si>
    <t>Irritação olhoes e pele</t>
  </si>
  <si>
    <t>Irritação TRS; dermatite; Irritação olhos e pele</t>
  </si>
  <si>
    <t>Irritação TRS e olhos; dano reprod masculino</t>
  </si>
  <si>
    <t>Irritação TRS e TRI; compr SNC</t>
  </si>
  <si>
    <t>Compr SNC; Irritação TRS</t>
  </si>
  <si>
    <t>Irritação TRS; dano rins</t>
  </si>
  <si>
    <t>Irritação olhos e TRS; compr SNC</t>
  </si>
  <si>
    <t>Compr SNC; Irritação olhos e pele</t>
  </si>
  <si>
    <t>Irritação TRS; dano nos rins (nefropatia); compr cóclea</t>
  </si>
  <si>
    <t>Irritação TRS; dno fígado e rins</t>
  </si>
  <si>
    <t>Asma; Irritação TRS; bronquite</t>
  </si>
  <si>
    <t>Dano fígado; Irritação pele</t>
  </si>
  <si>
    <t>Irritação TRS; sensibilização pele</t>
  </si>
  <si>
    <t>Anemia; Irritação pele e TRS</t>
  </si>
  <si>
    <t>Irritação TRS; dano pulmão; compr SNC</t>
  </si>
  <si>
    <t>Fotosens olhos; Irritação pele</t>
  </si>
  <si>
    <t>Irritação olhos, TRI e TRS</t>
  </si>
  <si>
    <t>Irritação TRI; dano ossos</t>
  </si>
  <si>
    <t>Irritação TRS, TRI, olhos e pele; fluorose</t>
  </si>
  <si>
    <t>Irritação TRS e TRI; MeHb-emia; fluorose</t>
  </si>
  <si>
    <t>Irritação olhos e pele; dano fígado e rins</t>
  </si>
  <si>
    <t>Irritação olhos, TRS e TRI</t>
  </si>
  <si>
    <t>Irritação bexiga, olhos e TRS</t>
  </si>
  <si>
    <t>Inib colinesterase; Irritação TRS</t>
  </si>
  <si>
    <t>Irritação olhos e TRS; bexiga</t>
  </si>
  <si>
    <t>Irritação TRS; dor de cabeça; Irritação GI; compr SNC</t>
  </si>
  <si>
    <t>Irritação olhos; inib colinesterase</t>
  </si>
  <si>
    <t>Irritação TRI, TRS e GI; dano fígado</t>
  </si>
  <si>
    <t>Irritação TRS; edema pulmonar; enfisema pulmonar</t>
  </si>
  <si>
    <t>Irritação TRS; metaplasia de laringe</t>
  </si>
  <si>
    <t>Irritação olhose TRS; dano fígado</t>
  </si>
  <si>
    <t>Compr SNC; neuropatia periférica; Irritação olhos</t>
  </si>
  <si>
    <t>Compr SNC; Irritação olhos e TRS</t>
  </si>
  <si>
    <t>Hemólise; dano rins; Irritação TRI</t>
  </si>
  <si>
    <t>Irritação olhos; dano ocular</t>
  </si>
  <si>
    <t>Hipotiroidismo; Irritação TRS</t>
  </si>
  <si>
    <t>Irritação olhos e TRS; compr SNC; mal-estar; fadiga</t>
  </si>
  <si>
    <t>Dor de cabeça; Irritação TRS</t>
  </si>
  <si>
    <t>Irritação pele; compr SNC</t>
  </si>
  <si>
    <t>Irritação olhos e TRS; efe peso do corpo; edema pulmonar</t>
  </si>
  <si>
    <t>Irritação TRS; compr SNC; dano fígado e rins</t>
  </si>
  <si>
    <t>Irritação TRS; compr SNC e SNP</t>
  </si>
  <si>
    <t>Irritação TRS; dano fígado; dano reprod feminino</t>
  </si>
  <si>
    <t>Irritação TRS e olhos; câncer de pulmão; dano fígado</t>
  </si>
  <si>
    <t>Irritação TRS; tontura; dor de cabeça</t>
  </si>
  <si>
    <t>Irritação TRI; dano pulmão</t>
  </si>
  <si>
    <t>Irritação olhos; função pulmonar</t>
  </si>
  <si>
    <t>Irritação olhos; dano pele</t>
  </si>
  <si>
    <t>Irritação TRS; catarata; anemia hemolítica</t>
  </si>
  <si>
    <t>Irritação pulmão</t>
  </si>
  <si>
    <t>MeHb-emia; dano fígado; Irritação olhos</t>
  </si>
  <si>
    <t>Irritação TRS; compr SNC; dano fígado</t>
  </si>
  <si>
    <t>Efe tireóide; Irritação TRS; dano pulmão</t>
  </si>
  <si>
    <t>Hipoxia/cianose; form nitrosil-Hb; Irritação TRS</t>
  </si>
  <si>
    <t>Irritação TRS; náusea</t>
  </si>
  <si>
    <t>Irritação olhos e TRS; compr card e SNC</t>
  </si>
  <si>
    <t>Irritação GI</t>
  </si>
  <si>
    <t>Irritação TRS; dano pulmão</t>
  </si>
  <si>
    <t>Narcose; Irritação trato resp</t>
  </si>
  <si>
    <t>Irritação TRS  e TRI</t>
  </si>
  <si>
    <t>Irritação TRS; efe hematológico</t>
  </si>
  <si>
    <t>Dano fígado; Irritação TRI</t>
  </si>
  <si>
    <t>Irritação pele; dano fígado e rins</t>
  </si>
  <si>
    <t>Asma; Irritação TRS</t>
  </si>
  <si>
    <t>Asfixia; Irritação TRS</t>
  </si>
  <si>
    <t>Câncer pele; Irritação TRS</t>
  </si>
  <si>
    <t>Pneumoconiose; Irritação TRI; alteração da função pulmonar</t>
  </si>
  <si>
    <t>Irritação pele e TRS; compr SNC</t>
  </si>
  <si>
    <t>Irritação TRS / Irritação TRI</t>
  </si>
  <si>
    <t>Irritação olhos e TRS; dano rins</t>
  </si>
  <si>
    <t>Asma; Irritação pele, TRS  e TRI</t>
  </si>
  <si>
    <t>Irritação olhos e TRS; edema pulmonar; dano fígado</t>
  </si>
  <si>
    <t>Dano fígado; Irritação olhos, pele e TRS</t>
  </si>
  <si>
    <t>Irritação olhos e TRS; dano pulmão</t>
  </si>
  <si>
    <t>Irritação TRS; compr SNC; dano rins</t>
  </si>
  <si>
    <t>Irritação olhos, bexiga e rins; câncer de bexiga; MeHb-emia</t>
  </si>
  <si>
    <t>Irritação olhos, bexiga e rins; Me-HB</t>
  </si>
  <si>
    <t>Irritação TRS, pele e olhos</t>
  </si>
  <si>
    <t>Irritação olhos eTRS</t>
  </si>
  <si>
    <t>Conmpr visão; Irritação TRS</t>
  </si>
  <si>
    <t>Irritação TRI; penumonite</t>
  </si>
  <si>
    <t>n-Vinil-2-pIrritaçãoolidone</t>
  </si>
  <si>
    <t>Álcool Isopropílico</t>
  </si>
  <si>
    <t>Sílica</t>
  </si>
  <si>
    <t>Fibrose pulmonar; câncer do pulmão</t>
  </si>
  <si>
    <t>Amostrador</t>
  </si>
  <si>
    <t>Método de Análise</t>
  </si>
  <si>
    <t>Metodologia de Amostragem</t>
  </si>
  <si>
    <t>Vazão</t>
  </si>
  <si>
    <t>Volume</t>
  </si>
  <si>
    <t xml:space="preserve">30 - 500 </t>
  </si>
  <si>
    <t>Cromatografia</t>
  </si>
  <si>
    <t>TSG</t>
  </si>
  <si>
    <t>EPA 8315</t>
  </si>
  <si>
    <t>0,5 - 1,5</t>
  </si>
  <si>
    <t>0,01 - 0,2</t>
  </si>
  <si>
    <t>TC</t>
  </si>
  <si>
    <t>NIOSH 1450</t>
  </si>
  <si>
    <t xml:space="preserve"> 1 - 10 </t>
  </si>
  <si>
    <t>NIOSH 1454</t>
  </si>
  <si>
    <t>0,1 - 9</t>
  </si>
  <si>
    <t>NIOSH 1458</t>
  </si>
  <si>
    <t>0,1 - 0,2</t>
  </si>
  <si>
    <t>0,2 - 10</t>
  </si>
  <si>
    <t>NIOSH 1457</t>
  </si>
  <si>
    <t>&lt;10</t>
  </si>
  <si>
    <t xml:space="preserve"> NIOSH 1453</t>
  </si>
  <si>
    <t>OSHA PV 2003</t>
  </si>
  <si>
    <t>Tenax GC</t>
  </si>
  <si>
    <t>1 - 24</t>
  </si>
  <si>
    <t>NIOSH 1300</t>
  </si>
  <si>
    <t>NIOSH 1606</t>
  </si>
  <si>
    <t>3 - 25</t>
  </si>
  <si>
    <t xml:space="preserve"> 0,5 - 3</t>
  </si>
  <si>
    <t>NIOSH 1603</t>
  </si>
  <si>
    <t>15 - 300</t>
  </si>
  <si>
    <t>0,01 - 1</t>
  </si>
  <si>
    <t>K7</t>
  </si>
  <si>
    <t>NIOSH 0500</t>
  </si>
  <si>
    <t>Gravimetria</t>
  </si>
  <si>
    <t>1 - 400</t>
  </si>
  <si>
    <t>1 - 2</t>
  </si>
  <si>
    <t>OSHA 2005</t>
  </si>
  <si>
    <t>Tubo Anasorb</t>
  </si>
  <si>
    <t>1,5 - 24</t>
  </si>
  <si>
    <t>≤0,1</t>
  </si>
  <si>
    <t>OSHA SLTC In-House File</t>
  </si>
  <si>
    <t>Tubo de XAD-2</t>
  </si>
  <si>
    <t>≤100</t>
  </si>
  <si>
    <t>NIOSH 7907</t>
  </si>
  <si>
    <t>30</t>
  </si>
  <si>
    <t>NIOSH 7902</t>
  </si>
  <si>
    <t>Partículas não especificadas de outra maneira (Total)</t>
  </si>
  <si>
    <t>n-Fenil-β-naftilamina</t>
  </si>
  <si>
    <t>De acordo com os resultados encontrados é possível afirmar que as concentrações dos agentes monitorados, encontram-se dentro dos limites exigidos pelas referências acima, índices esses também aceitos pela Associação Brasileira de Higienistas Ocupacionais - ABHO e Ministério do Trabalho e Emprego.</t>
  </si>
  <si>
    <t>02.01.001</t>
  </si>
  <si>
    <t>02.01.002</t>
  </si>
  <si>
    <t>Isoforona</t>
  </si>
  <si>
    <t>Agente Químico
Código e-Social</t>
  </si>
  <si>
    <t>NIOSH 0600</t>
  </si>
  <si>
    <t>De acordo com o resultado encontrado é possível afirmar que a concentração do agente monitorado, encontra-se dentro dos limites exigidos pelas referências acima, índices esses também aceitos pela Associaçao Brasileira de Higienistas Ocupacionais - ABHO e Ministério do Trabalho e Emprego.</t>
  </si>
  <si>
    <t>Isopropanol</t>
  </si>
  <si>
    <t>ACGIH</t>
  </si>
  <si>
    <t xml:space="preserve"> </t>
  </si>
  <si>
    <t xml:space="preserve">K7 - </t>
  </si>
  <si>
    <t>Íons Específicos</t>
  </si>
  <si>
    <t>NIOSH 2011</t>
  </si>
  <si>
    <t>0,05 - 0,2</t>
  </si>
  <si>
    <t>1 - 120</t>
  </si>
  <si>
    <t>NIOSH 6016</t>
  </si>
  <si>
    <t>K7 com MCE e TSG</t>
  </si>
  <si>
    <t>0,1 a 0,5</t>
  </si>
  <si>
    <t>3 a 96 L</t>
  </si>
  <si>
    <t>Cromatografia de Íons</t>
  </si>
  <si>
    <t>OSHA PV2115</t>
  </si>
  <si>
    <t>Cromatografia de íons</t>
  </si>
  <si>
    <t>máxima de 1 L/min</t>
  </si>
  <si>
    <t>Recomendado volume máximo 100L</t>
  </si>
  <si>
    <t xml:space="preserve">0,2 L/ min </t>
  </si>
  <si>
    <t xml:space="preserve">96L </t>
  </si>
  <si>
    <t>IT 10-220</t>
  </si>
  <si>
    <t>1 L/min</t>
  </si>
  <si>
    <t>máxima de 30 L</t>
  </si>
  <si>
    <t>Cromatografia Líquida de
Alta Resoluçao com Detector de UV</t>
  </si>
  <si>
    <t>OSHA ID-113 modificado</t>
  </si>
  <si>
    <t>1,6 L/min</t>
  </si>
  <si>
    <t>k7</t>
  </si>
  <si>
    <t>480 L</t>
  </si>
  <si>
    <t xml:space="preserve">NIOSH 1501 </t>
  </si>
  <si>
    <t>NIOSH 1501 -</t>
  </si>
  <si>
    <t>2 - 23</t>
  </si>
  <si>
    <t>1 - 8</t>
  </si>
  <si>
    <t>máx. 0,20</t>
  </si>
  <si>
    <t>3 - 30</t>
  </si>
  <si>
    <t>tc</t>
  </si>
  <si>
    <t>T. 10-22/00</t>
  </si>
  <si>
    <t>Cromatografia de Gás com Detector de Ionização de Chama</t>
  </si>
  <si>
    <t>Balão de Tedlar de 5 L</t>
  </si>
  <si>
    <t>de 0,01 a 0,2 L/min</t>
  </si>
  <si>
    <t>máximo de 4 L</t>
  </si>
  <si>
    <t>Partículas Inaláveis (Madeira)</t>
  </si>
  <si>
    <t>7,5</t>
  </si>
  <si>
    <t>NIOSH 1403</t>
  </si>
  <si>
    <t>de 0,01 a 0,05 L/min</t>
  </si>
  <si>
    <t>2 a 10 L</t>
  </si>
  <si>
    <t>Método PA 7.2-19 – Determinação de metais por espectrometria de emissão de plasma: método de plasma
indutivamente acoplado (ICP/OES) - NIOSH 6009 (1994) e NIOSH 7303 (2003).</t>
  </si>
  <si>
    <t>1 a 4</t>
  </si>
  <si>
    <t>240 a 960</t>
  </si>
  <si>
    <t>Método NIOSH 1300 -(IT.10-424 - Vapores Orgânicos Selecionados - Determinação no Ar Atmosférico)</t>
  </si>
  <si>
    <t>1 a 10</t>
  </si>
  <si>
    <t>0,01 a 0,20</t>
  </si>
  <si>
    <t>Método NIOSH 1501 - (IT.10-424 - Vapores Orgânicos Selecionados - Determinação no Ar Atmosférico)</t>
  </si>
  <si>
    <t>1 a 30</t>
  </si>
  <si>
    <t>máx. 0,2</t>
  </si>
  <si>
    <t>0,01 a 0,2</t>
  </si>
  <si>
    <t>Método IT.10-424 - Vapores Orgânicos Selecionados - Determinação no Ar Atmosférico</t>
  </si>
  <si>
    <t>NIOSH 1500</t>
  </si>
  <si>
    <t>filtro de fibra de vidro + TC</t>
  </si>
  <si>
    <t>0,02 a 0,2</t>
  </si>
  <si>
    <t>1 a 12</t>
  </si>
  <si>
    <t xml:space="preserve">OSHA ID-202 </t>
  </si>
  <si>
    <t xml:space="preserve"> impinger </t>
  </si>
  <si>
    <t>máx. 0,5</t>
  </si>
  <si>
    <t>7,5 a 120</t>
  </si>
  <si>
    <t>NIOSH 6004</t>
  </si>
  <si>
    <t>0,5 a 1,5</t>
  </si>
  <si>
    <t xml:space="preserve">4 a 200 </t>
  </si>
  <si>
    <t>NIOSH 6014</t>
  </si>
  <si>
    <t>Espectrofotometria de Absorção no Visível</t>
  </si>
  <si>
    <t>tubo</t>
  </si>
  <si>
    <t>3 a 24</t>
  </si>
  <si>
    <t>60 a 960</t>
  </si>
  <si>
    <t>NIOSH 1501 - (IT.10-424 - Vapores Orgânicos Selecionados - Determinação no Ar Atmosférico)</t>
  </si>
  <si>
    <t>0,2 a 1,0</t>
  </si>
  <si>
    <t>1 a 14</t>
  </si>
  <si>
    <t>NIOSH 1400 - (IT.10-424 - Vapores Orgânicos Selecionados - Determinação no Ar Atmosférico)</t>
  </si>
  <si>
    <t>0,01 a 0,05</t>
  </si>
  <si>
    <t>0,1 a 1</t>
  </si>
  <si>
    <t>1 a 24</t>
  </si>
  <si>
    <t>NIOSH 2546</t>
  </si>
  <si>
    <t>Cromatografia de Gás com
Detector de Ionização de Chama</t>
  </si>
  <si>
    <t>tubo de resina XAD-7</t>
  </si>
  <si>
    <t>5 a 24</t>
  </si>
  <si>
    <t>408 a 960</t>
  </si>
  <si>
    <t>Cromatografia Líquida</t>
  </si>
  <si>
    <t>NIOSH 2016</t>
  </si>
  <si>
    <t>1 a 15</t>
  </si>
  <si>
    <t>0,03 a 1,5</t>
  </si>
  <si>
    <t>Método OSHA 7 - (IT.10-424 - Vapores Orgânicos Selecionados - Determinação no Ar Atmosférico)</t>
  </si>
  <si>
    <t>0,01 a 1</t>
  </si>
  <si>
    <t>2 a 25</t>
  </si>
  <si>
    <t>NIOSH 2500 -</t>
  </si>
  <si>
    <t>0,25 a 12</t>
  </si>
  <si>
    <t>OSHA ID-210</t>
  </si>
  <si>
    <t>balão de tedlar de 5 L</t>
  </si>
  <si>
    <t>0,01 a 0,1</t>
  </si>
  <si>
    <t>Fibra de vidro</t>
  </si>
  <si>
    <t>mín. 480</t>
  </si>
  <si>
    <t>2 a 0,1</t>
  </si>
  <si>
    <t>1309-48-4</t>
  </si>
  <si>
    <t>10102-43-9</t>
  </si>
  <si>
    <t>NIOSH 6014 -</t>
  </si>
  <si>
    <t>7440-22-4</t>
  </si>
  <si>
    <t>250 a 2000</t>
  </si>
  <si>
    <t>Sílica livre cristalina</t>
  </si>
  <si>
    <t>Espectrofotometria de Infravermelho</t>
  </si>
  <si>
    <t>600 a 800</t>
  </si>
  <si>
    <t>109-99-9</t>
  </si>
  <si>
    <t>1 a 9</t>
  </si>
  <si>
    <t>108-88-3</t>
  </si>
  <si>
    <t>1330-20-7</t>
  </si>
  <si>
    <t>Gravimétrico</t>
  </si>
  <si>
    <t>1 a 2</t>
  </si>
  <si>
    <t>MDHS 14/3</t>
  </si>
  <si>
    <t>CAS</t>
  </si>
  <si>
    <t>Alcool Isopropanol</t>
  </si>
  <si>
    <t>NIOSH 1400</t>
  </si>
  <si>
    <t xml:space="preserve">0,01 a 0,2 </t>
  </si>
  <si>
    <t>0,2 A 3</t>
  </si>
  <si>
    <t>Alcool Isobutanol</t>
  </si>
  <si>
    <t>NIOSH 1401</t>
  </si>
  <si>
    <t>n-butanol</t>
  </si>
  <si>
    <t>NIOSH 7303</t>
  </si>
  <si>
    <t>espectrofotometria</t>
  </si>
  <si>
    <t>cromatografia</t>
  </si>
  <si>
    <t xml:space="preserve"> NIOSH 1300 </t>
  </si>
  <si>
    <t>NIOSH 1501</t>
  </si>
  <si>
    <t xml:space="preserve">
(di-Isobutil Cetona)
Método IT.10-424 - Vapores Orgânicos Selecionados - Determinação no Ar Atmosférico</t>
  </si>
  <si>
    <t>NIOSH 1500
 NIOSH 1550</t>
  </si>
  <si>
    <t>OSHA 7</t>
  </si>
  <si>
    <t xml:space="preserve">NIOSH 7303 </t>
  </si>
  <si>
    <t>2 para IOM</t>
  </si>
  <si>
    <t>630-08-0 (Cromatografia de Gás com Detector de Ionização de Chama)</t>
  </si>
  <si>
    <t>5 L</t>
  </si>
  <si>
    <t xml:space="preserve">NIOSH 5026 </t>
  </si>
  <si>
    <t>Espectrofotometria</t>
  </si>
  <si>
    <t>ÓXIDO DE NITROGENIO</t>
  </si>
  <si>
    <t>N-PENTANO</t>
  </si>
  <si>
    <t xml:space="preserve">NIOSH 7602 </t>
  </si>
  <si>
    <t>Método NIOSH 1609</t>
  </si>
  <si>
    <t>máx. 400 L</t>
  </si>
  <si>
    <t>mín. 408</t>
  </si>
  <si>
    <t>OSHA ID165-SG / 
OSHA ID-174-SG</t>
  </si>
  <si>
    <t>OSHA ID165-SG / OSHA ID-174-SG</t>
  </si>
  <si>
    <t>Percloretileno (Tetracloroetileno)</t>
  </si>
  <si>
    <t>NIOSH 1003</t>
  </si>
  <si>
    <t>1 a 10 L</t>
  </si>
  <si>
    <t>Tricloretileno</t>
  </si>
  <si>
    <t>e-Social</t>
  </si>
  <si>
    <t>02.03.018</t>
  </si>
  <si>
    <t>02.04.001</t>
  </si>
  <si>
    <t>02.08.001</t>
  </si>
  <si>
    <t>02.05.001</t>
  </si>
  <si>
    <t>02.05.030</t>
  </si>
  <si>
    <t>02.05.011</t>
  </si>
  <si>
    <t>02.05.012</t>
  </si>
  <si>
    <t>02.05.013</t>
  </si>
  <si>
    <t>02.06.001</t>
  </si>
  <si>
    <t>02.09.001</t>
  </si>
  <si>
    <t>02.09.031</t>
  </si>
  <si>
    <t>02.09.054</t>
  </si>
  <si>
    <t>02.09.046</t>
  </si>
  <si>
    <t>02.09.059</t>
  </si>
  <si>
    <t>02.09.060</t>
  </si>
  <si>
    <t>02.09.065</t>
  </si>
  <si>
    <t>02.09.066</t>
  </si>
  <si>
    <t>02.09.073</t>
  </si>
  <si>
    <t>02.09.076</t>
  </si>
  <si>
    <t>02.09.084</t>
  </si>
  <si>
    <t>02.09.088</t>
  </si>
  <si>
    <t>02.09.093</t>
  </si>
  <si>
    <t>02.09.101</t>
  </si>
  <si>
    <t>02.09.102</t>
  </si>
  <si>
    <t>02.09.103</t>
  </si>
  <si>
    <t>02.09.106</t>
  </si>
  <si>
    <t>02.09.113</t>
  </si>
  <si>
    <t>02.09.119</t>
  </si>
  <si>
    <t>02.09.120</t>
  </si>
  <si>
    <t>02.10.001</t>
  </si>
  <si>
    <t>02.09.125</t>
  </si>
  <si>
    <t>02.03.036</t>
  </si>
  <si>
    <t>02.12.003</t>
  </si>
  <si>
    <t>02.14.001</t>
  </si>
  <si>
    <t>02.16.001</t>
  </si>
  <si>
    <t>02.19.005</t>
  </si>
  <si>
    <t>02.03.020</t>
  </si>
  <si>
    <t>02.03.002</t>
  </si>
  <si>
    <t>02.03.023</t>
  </si>
  <si>
    <t>N. C.</t>
  </si>
  <si>
    <t>02.03.001</t>
  </si>
  <si>
    <t>02.18.001</t>
  </si>
  <si>
    <t>Sílica livre</t>
  </si>
  <si>
    <t>Alumínio</t>
  </si>
  <si>
    <t>Códigos retirados da "Tabela 24: Agentes Nocivos e Atividades - Aposentadoria Especial" do eSocial Versão S-1.0 de 2021.</t>
  </si>
  <si>
    <t>2-Butoxietanol</t>
  </si>
  <si>
    <t>Adenoma TRS; efeito neurológico</t>
  </si>
  <si>
    <t>Irritação nos olhos e pele.</t>
  </si>
  <si>
    <t>Irritação olhos e TRS; Cancêr TRS.</t>
  </si>
  <si>
    <t>L.Q</t>
  </si>
  <si>
    <t>&lt; 0,009</t>
  </si>
  <si>
    <t>&lt; 0,001</t>
  </si>
  <si>
    <t>&lt; 0,002</t>
  </si>
  <si>
    <t>&lt; 0,007</t>
  </si>
  <si>
    <t>&lt; 0,008</t>
  </si>
  <si>
    <t>&lt; 0,010</t>
  </si>
  <si>
    <t>&lt; 0,005</t>
  </si>
  <si>
    <t>&lt; 0,011</t>
  </si>
  <si>
    <t>&lt; 0,003</t>
  </si>
  <si>
    <t>&lt; 0,050</t>
  </si>
  <si>
    <t>&lt; 0,004</t>
  </si>
  <si>
    <t>&lt; 0,006</t>
  </si>
  <si>
    <t>&lt; 0,046</t>
  </si>
  <si>
    <t>&lt;0,014</t>
  </si>
  <si>
    <t>&lt; 0,030</t>
  </si>
  <si>
    <t>Compr SNC e dano rins</t>
  </si>
  <si>
    <t>Plural</t>
  </si>
  <si>
    <t xml:space="preserve">Método </t>
  </si>
  <si>
    <t>Tubo de Carvão Ativado</t>
  </si>
  <si>
    <t>Filtro de Fibra de Vidro + Tubo de Carvão Ativado</t>
  </si>
  <si>
    <t>Manaus,</t>
  </si>
  <si>
    <t>Metano</t>
  </si>
  <si>
    <t>Propano</t>
  </si>
  <si>
    <t>5</t>
  </si>
  <si>
    <t>18 - 150</t>
  </si>
  <si>
    <t>1,2 - 40</t>
  </si>
  <si>
    <t>&lt;0,002</t>
  </si>
  <si>
    <t>Danos no fígado; Irritação nos olhos e TRS</t>
  </si>
  <si>
    <t>Tubo de Sílica gel</t>
  </si>
  <si>
    <t>Danos no fígado; Efeitos no SNC</t>
  </si>
  <si>
    <t>Irritação nos olhos; Irritação no TRS</t>
  </si>
  <si>
    <t>Óxido de Zinco</t>
  </si>
  <si>
    <t>&lt; 0,012</t>
  </si>
  <si>
    <t>Febre de fumos metálicos</t>
  </si>
  <si>
    <t>Dióxido de Titânio</t>
  </si>
  <si>
    <t>Irritação no TRI, Pneumoconiose</t>
  </si>
  <si>
    <t>&lt; 0,017</t>
  </si>
  <si>
    <t>Empresa:</t>
  </si>
  <si>
    <t>CNPJ:</t>
  </si>
  <si>
    <t>Data:</t>
  </si>
  <si>
    <t>N.C.: Não Codificado pelo e-Social.</t>
  </si>
  <si>
    <t>Amostrador/Filtro</t>
  </si>
  <si>
    <t>Tubo de Anasorb 747</t>
  </si>
  <si>
    <t>Cód. e-Social:01.19.003</t>
  </si>
  <si>
    <t>Tipo de Amostrador:</t>
  </si>
  <si>
    <t>Filtro de éster de celulose</t>
  </si>
  <si>
    <t>Agente</t>
  </si>
  <si>
    <t>Cód. e-Social: N. C.</t>
  </si>
  <si>
    <t>Cód. e-Social: 01.09.001</t>
  </si>
  <si>
    <t>Cód. e-Social: 01.12.001</t>
  </si>
  <si>
    <t>Cód. e-Social: 01.19.002</t>
  </si>
  <si>
    <t>Cód. e-Social: 01.01.001</t>
  </si>
  <si>
    <t>Cód. e-Social: 01.03.001</t>
  </si>
  <si>
    <t>Cód. e-Social: 01.05.001</t>
  </si>
  <si>
    <t>Cód. e-Social: 01.17.001</t>
  </si>
  <si>
    <t>Cód. e-Social: 01.06.001</t>
  </si>
  <si>
    <t>Cód. e-Social: 01.08.001</t>
  </si>
  <si>
    <t>Cód. e-Social: 01.10.001</t>
  </si>
  <si>
    <t>Cód. e-Social: 01.03.002</t>
  </si>
  <si>
    <t>Cód. e-Social: 01.19.035</t>
  </si>
  <si>
    <t>Cód. e-Social: 01.19.005</t>
  </si>
  <si>
    <t>Cód. e-Social: 01.14.001</t>
  </si>
  <si>
    <t>Cód. e-Social: 01.15.001</t>
  </si>
  <si>
    <t>Cód. e-Social: 01.16.001</t>
  </si>
  <si>
    <t>Cód. e-Social: 01.18.001</t>
  </si>
  <si>
    <t>Filtro de PTFE</t>
  </si>
  <si>
    <t>n-Heptano</t>
  </si>
  <si>
    <t>Filtro de PVC</t>
  </si>
  <si>
    <t>Filtro Fibra de vidro</t>
  </si>
  <si>
    <t xml:space="preserve">Método MDHS 14/3 </t>
  </si>
  <si>
    <t>n-Pentano</t>
  </si>
  <si>
    <t>Sulfeto de hidrogênio</t>
  </si>
  <si>
    <t>Etér metílico do monopropileno Glicol</t>
  </si>
  <si>
    <t>Método NIOSH 1024</t>
  </si>
  <si>
    <t>Método NIOSH 1403</t>
  </si>
  <si>
    <t>Método EPA 8315</t>
  </si>
  <si>
    <t xml:space="preserve"> Método NIOSH 1450</t>
  </si>
  <si>
    <t xml:space="preserve"> Método NIOSH 1457</t>
  </si>
  <si>
    <t>Método NIOSH 1450</t>
  </si>
  <si>
    <t>Método NIOSH 1454</t>
  </si>
  <si>
    <t>Método NIOSH 1458</t>
  </si>
  <si>
    <t>Método NIOSH 1300</t>
  </si>
  <si>
    <t>Método NIOSH 1603</t>
  </si>
  <si>
    <t>Método OSHA ID165-SG / 
OSHA ID-174-SG</t>
  </si>
  <si>
    <t>Método NIOSH 7902</t>
  </si>
  <si>
    <t>Método NIOSH 2011</t>
  </si>
  <si>
    <t>Método OSHA ID165-SG / OSHA ID-174-SG</t>
  </si>
  <si>
    <t>Método IT 10-220</t>
  </si>
  <si>
    <t xml:space="preserve">Método OSHA ID-113 </t>
  </si>
  <si>
    <t>Método NIOSH 1400</t>
  </si>
  <si>
    <t>Método NIOSH 1604</t>
  </si>
  <si>
    <t>Método NIOSH 7303</t>
  </si>
  <si>
    <t>Método NIOSH 6016</t>
  </si>
  <si>
    <t xml:space="preserve">Método NIOSH 1501 </t>
  </si>
  <si>
    <t>Método NIOSH 6001</t>
  </si>
  <si>
    <t>Método T. 10-22/00</t>
  </si>
  <si>
    <t>Método NIOSH 1500</t>
  </si>
  <si>
    <t>Método NIOSH 1402</t>
  </si>
  <si>
    <t xml:space="preserve">Método NIOSH 1300 </t>
  </si>
  <si>
    <t>Método OSHA ID - 101</t>
  </si>
  <si>
    <t>Método NIOSH 1003</t>
  </si>
  <si>
    <t>Método NIOSH 1501</t>
  </si>
  <si>
    <t xml:space="preserve">
Método  NIOSH 1550</t>
  </si>
  <si>
    <t>Método NIOSH 2004</t>
  </si>
  <si>
    <t>Método NIOSH 6603</t>
  </si>
  <si>
    <t>Método NIOSH 6004</t>
  </si>
  <si>
    <t>Método NIOSH 6014</t>
  </si>
  <si>
    <t>Método PA 7.2-123</t>
  </si>
  <si>
    <t>Método OSHA 99</t>
  </si>
  <si>
    <t>Método NIOSH 1614</t>
  </si>
  <si>
    <t>Método NIOSH 2546</t>
  </si>
  <si>
    <t>Método NIOSH 2016</t>
  </si>
  <si>
    <t>Método NIOSH 7905</t>
  </si>
  <si>
    <t>Método NIOSH 1550</t>
  </si>
  <si>
    <t>Método NIOSH 5004</t>
  </si>
  <si>
    <t>Método OSHA 7</t>
  </si>
  <si>
    <t>Método NIOSH 6009</t>
  </si>
  <si>
    <t>Método OSHA 91</t>
  </si>
  <si>
    <t xml:space="preserve">Método NIOSH 2500 </t>
  </si>
  <si>
    <t>Método OSHA ID-210</t>
  </si>
  <si>
    <t>Método NIOSH 5000</t>
  </si>
  <si>
    <t xml:space="preserve">Método NIOSH 7303 </t>
  </si>
  <si>
    <t xml:space="preserve">Método NIOSH 5026 </t>
  </si>
  <si>
    <t xml:space="preserve">Método NIOSH 6014 </t>
  </si>
  <si>
    <t>Método NIOSH 0600</t>
  </si>
  <si>
    <t>Método NIOSH 0500</t>
  </si>
  <si>
    <t>Método IT 10-449</t>
  </si>
  <si>
    <t>Método NIOSH 1613</t>
  </si>
  <si>
    <t xml:space="preserve">Método NIOSH 7602 </t>
  </si>
  <si>
    <t>Método NIOSH 6013</t>
  </si>
  <si>
    <t xml:space="preserve"> Impinger </t>
  </si>
  <si>
    <t>Tubo de Chromosorb</t>
  </si>
  <si>
    <t>Tubo de resina XAD-7</t>
  </si>
  <si>
    <t>Tubo de tenax</t>
  </si>
  <si>
    <t>Tubo de Hopcalite</t>
  </si>
  <si>
    <t>Óxido de Cálcio</t>
  </si>
  <si>
    <t>Óxido de Magnésio</t>
  </si>
  <si>
    <t>Acrilato de Metila</t>
  </si>
  <si>
    <t>Método NIOSH 1459</t>
  </si>
  <si>
    <t>&lt;0,004</t>
  </si>
  <si>
    <t>&lt;0,007</t>
  </si>
  <si>
    <t>&lt;0,003</t>
  </si>
  <si>
    <t>Viniltolueno</t>
  </si>
  <si>
    <t>Boro</t>
  </si>
  <si>
    <t>480</t>
  </si>
  <si>
    <t>n-Butanol</t>
  </si>
  <si>
    <t>Método NIOSH 1401</t>
  </si>
  <si>
    <t>Sec-Butanol</t>
  </si>
  <si>
    <t>n-Octano</t>
  </si>
  <si>
    <t>Óxido Nitroso</t>
  </si>
  <si>
    <t>Óleo Mineral</t>
  </si>
  <si>
    <t>Óxido Nítrico</t>
  </si>
  <si>
    <t>α Metil Estireno</t>
  </si>
  <si>
    <t>O limite de Tolerância da ACGIH neste relatório foi corrigido através do Método Brief e Scala para jornada de trabalho de 44 horas/semanais.</t>
  </si>
  <si>
    <t>TLV - TWA: Threshold Limits Values (Limite de Exposição) - Média Ponderada pelo Tempo.</t>
  </si>
  <si>
    <t>TLV - STEL: Threshold Limits Values (Limite de Exposição) - Exposição de Curta Duração.</t>
  </si>
  <si>
    <t>Conclusão</t>
  </si>
  <si>
    <t>Sigular</t>
  </si>
  <si>
    <t>Foram utilizados os dados fornecidos pelo interessado. O resultado de cada parâmetro está em função do volume de ar amostrado.</t>
  </si>
  <si>
    <t>Irr TRS</t>
  </si>
  <si>
    <t>Partículas não especificadas de outra maneira (Vegetal)</t>
  </si>
  <si>
    <t>&lt; 0,031</t>
  </si>
  <si>
    <t>Acetato de Butila</t>
  </si>
  <si>
    <t>Acetato de 2-etoxietanol</t>
  </si>
  <si>
    <t>Método IT 10-07</t>
  </si>
  <si>
    <t>Diacetona Álcool</t>
  </si>
  <si>
    <t>Folha 01 de 03</t>
  </si>
  <si>
    <t>Folha 02 de 03</t>
  </si>
  <si>
    <t>Folha 03 de 03</t>
  </si>
  <si>
    <t>Irr olhos e TRS</t>
  </si>
  <si>
    <t>Dano embrio/fetal;
Dano reprodutivo masculino</t>
  </si>
  <si>
    <t>Irritações nos olhos;
Irritações na pele</t>
  </si>
  <si>
    <t>Irritações nos olhos;
Irritações no TRS</t>
  </si>
  <si>
    <t>Comprometimento do SNC</t>
  </si>
  <si>
    <t>Irritações no TRS;
Danos nos rins;
Dano reprodutivo feminino</t>
  </si>
  <si>
    <t>78-83-1</t>
  </si>
  <si>
    <t>71-36-3</t>
  </si>
  <si>
    <t>78-92-2</t>
  </si>
  <si>
    <t>Irritações no TRS;
Compr do SNC</t>
  </si>
  <si>
    <t>75-65-0</t>
  </si>
  <si>
    <t>Terc-butanol
 (Álcool terc-butílico)</t>
  </si>
  <si>
    <t>7440-36-0</t>
  </si>
  <si>
    <t>Irritações na pele;
Irritações no TRS</t>
  </si>
  <si>
    <t>Hidróxido de Potássio</t>
  </si>
  <si>
    <t>Hidróxido de Sódio</t>
  </si>
  <si>
    <t>7440-33-7</t>
  </si>
  <si>
    <t>Dano pulmonar</t>
  </si>
  <si>
    <t>1305-78-8</t>
  </si>
  <si>
    <t>Irritações no TRS</t>
  </si>
  <si>
    <t>&lt;0,010</t>
  </si>
  <si>
    <t>&lt;0,005</t>
  </si>
  <si>
    <t>Isobutanol 
(Álcool Isobutílico)</t>
  </si>
  <si>
    <t>Trato respiratório superior;
Febre dos fumos metálicos</t>
  </si>
  <si>
    <t>Filtro de fibra de vidro (IOM) + Tubo de resina XAD-7 de 100/50</t>
  </si>
  <si>
    <t>Hidróxido de Cálcio</t>
  </si>
  <si>
    <t>Irr olhos, pele &amp; TRS</t>
  </si>
  <si>
    <t>Irritação no TRS</t>
  </si>
  <si>
    <t>Tubo de resina XAD-2 de 80/40 mg</t>
  </si>
  <si>
    <t>Método OSHA PV2111 - HPLC</t>
  </si>
  <si>
    <t>Método PA 7.2-19</t>
  </si>
  <si>
    <t>Método OSHA 2108</t>
  </si>
  <si>
    <t>Tubo de XAD-7 de 200/100 mg com filtro de fibra de vidro embutido</t>
  </si>
  <si>
    <t>Hidroxitolueno Butilado</t>
  </si>
  <si>
    <t>Danos no fígado;
Danos nos rins;
Efeitos hematológicos</t>
  </si>
  <si>
    <t xml:space="preserve">Método OSHA PV 2095 </t>
  </si>
  <si>
    <t>20 - 300</t>
  </si>
  <si>
    <t>12 a 800</t>
  </si>
  <si>
    <t>Pentóxido de Vanádio</t>
  </si>
  <si>
    <t>Irritações no trato respiratório superior;
Irritações no trato respiratório inferior</t>
  </si>
  <si>
    <t>Irritações nos olhos;
Irritações no trato respiratório superior</t>
  </si>
  <si>
    <t>Irritações respiratórias</t>
  </si>
  <si>
    <t>2,0 para IOM</t>
  </si>
  <si>
    <t>Danos gastrointestinais;
Neuropatia periférica</t>
  </si>
  <si>
    <t>Nitrogênio</t>
  </si>
  <si>
    <t>Acetato de 2-Metoxietila</t>
  </si>
  <si>
    <t>Efe Hematológico e reprodutivo</t>
  </si>
  <si>
    <t>Método NIOSH 1451</t>
  </si>
  <si>
    <t>0,02 - 0,2</t>
  </si>
  <si>
    <t>Acetato de N-Propila</t>
  </si>
  <si>
    <t>1-Methoxy-2-propanol</t>
  </si>
  <si>
    <t>OSHA 99</t>
  </si>
  <si>
    <t>Óxido de Etileno</t>
  </si>
  <si>
    <t>Cód. e-Social: 01.19.034</t>
  </si>
  <si>
    <t>0,02 L/min (para TWA), 0,2 L/min (para STEL)</t>
  </si>
  <si>
    <t>máximo de 10 L para TWA, 3 L para STEL</t>
  </si>
  <si>
    <t>Occupational Safety and Health Administration - OSHA.</t>
  </si>
  <si>
    <t>Método NIOSH 2562</t>
  </si>
  <si>
    <t>79-34-5</t>
  </si>
  <si>
    <t>Tempo: 360</t>
  </si>
  <si>
    <t>Método NIOSH 1018</t>
  </si>
  <si>
    <t>Efeito na função pulmonar</t>
  </si>
  <si>
    <t>Cromo Hexavalente</t>
  </si>
  <si>
    <t>Silício</t>
  </si>
  <si>
    <t>Filtro de fibra de vidro</t>
  </si>
  <si>
    <t>Câncer de Pulmão; Cancer sinonasal; Irritação Trato Respiratório; Asma.</t>
  </si>
  <si>
    <t>Nº Relatório</t>
  </si>
  <si>
    <t>Irritação nos olhos &amp; pele</t>
  </si>
  <si>
    <t>Filtro de Fibra de Vidro</t>
  </si>
  <si>
    <t>OSHA PB2141</t>
  </si>
  <si>
    <t>Irritações no trato respiratório superior;
Irritações nos olhos</t>
  </si>
  <si>
    <t>Sensibilidade ao berílio; Doença crônica do berílio (beriliose)</t>
  </si>
  <si>
    <t>Efeito no fígado</t>
  </si>
  <si>
    <t xml:space="preserve">Irritação TRS; Extrema reação nas vias aéreas; Edema pulmonar. </t>
  </si>
  <si>
    <t>Irritação TRS; dano pulmonar; compr SNC</t>
  </si>
  <si>
    <t>Câncer; Comprometimento do sistema nervoso central</t>
  </si>
  <si>
    <t>Compr SNC; efeitos hematológicos; dano embrio/fetal</t>
  </si>
  <si>
    <t>105-46-4</t>
  </si>
  <si>
    <t>108-21-4</t>
  </si>
  <si>
    <t>79-20-9</t>
  </si>
  <si>
    <t>110-49-6</t>
  </si>
  <si>
    <t>7440-38-2</t>
  </si>
  <si>
    <t>1303-96-4</t>
  </si>
  <si>
    <t>Borato de sódio</t>
  </si>
  <si>
    <t>7726-95-6</t>
  </si>
  <si>
    <t>75-45-6</t>
  </si>
  <si>
    <t>Etér metílico de dipropileno Glicol</t>
  </si>
  <si>
    <t>13588-28-8</t>
  </si>
  <si>
    <t>112-34-5</t>
  </si>
  <si>
    <t>1309-37-1</t>
  </si>
  <si>
    <t>7553-56-2</t>
  </si>
  <si>
    <t>108-87-2</t>
  </si>
  <si>
    <t>Partículas não especificadas de outra maneira (Inaláveis)</t>
  </si>
  <si>
    <t>Anexo B - TLV</t>
  </si>
  <si>
    <t>IOM</t>
  </si>
  <si>
    <t>127-18-4</t>
  </si>
  <si>
    <t>1,1,2,2 Tetracloroetano</t>
  </si>
  <si>
    <t>79-01-6</t>
  </si>
  <si>
    <t>Comprometimento da função pulmonar; Irritações no trato respiratório superior; Irritações nos olhos</t>
  </si>
  <si>
    <t>Irritações nos olhos; Irritações na pele; Irritações no trato respiratório superior</t>
  </si>
  <si>
    <t>Irritações nos olhos; Irritações na pele; Irritações no trato respiratório superior; Danos nos olhos</t>
  </si>
  <si>
    <t>Carboxihemoglobinemia</t>
  </si>
  <si>
    <t>Danos no sistema nervoso central; Danos auditivos; Comprometimento da visão; Dano reprodutivo feminino; Aborto</t>
  </si>
  <si>
    <t>Willian Douglas Brito</t>
  </si>
  <si>
    <t>1. Objetivo</t>
  </si>
  <si>
    <t>2. Abreviaturas Utilizadas</t>
  </si>
  <si>
    <t>Relatório de Ensaio Analítico N.</t>
  </si>
  <si>
    <t>Amianto</t>
  </si>
  <si>
    <t>Cód. e-Social: 01.02.001</t>
  </si>
  <si>
    <t>720</t>
  </si>
  <si>
    <t>Pneumoconiose; Câncer no pulmão; Mesotelioma.</t>
  </si>
  <si>
    <t>Método NIOSH 7402</t>
  </si>
  <si>
    <t>Cassete condutivo com filtro de éster de celulose</t>
  </si>
  <si>
    <t>Microscópia de Transmissão de Elétrons</t>
  </si>
  <si>
    <t>&lt; 0,02</t>
  </si>
  <si>
    <t>Carboxihemoglobinemia; Comprometimento do SNC.</t>
  </si>
  <si>
    <t>Método  NIOSH 1018</t>
  </si>
  <si>
    <t>Método  NIOSH 1005</t>
  </si>
  <si>
    <t>Fumos de Cera de Parafina</t>
  </si>
  <si>
    <t>Método OSHA PV 2047</t>
  </si>
  <si>
    <r>
      <t>mg/m</t>
    </r>
    <r>
      <rPr>
        <vertAlign val="superscript"/>
        <sz val="12"/>
        <color theme="1"/>
        <rFont val="Arial"/>
        <family val="2"/>
      </rPr>
      <t>3</t>
    </r>
  </si>
  <si>
    <r>
      <t>mg/m</t>
    </r>
    <r>
      <rPr>
        <vertAlign val="superscript"/>
        <sz val="12"/>
        <color theme="1"/>
        <rFont val="Arial"/>
        <family val="2"/>
      </rPr>
      <t>4</t>
    </r>
    <r>
      <rPr>
        <sz val="11"/>
        <color theme="1"/>
        <rFont val="Calibri"/>
        <family val="2"/>
        <scheme val="minor"/>
      </rPr>
      <t/>
    </r>
  </si>
  <si>
    <t>Metacrilato de Metila</t>
  </si>
  <si>
    <t>Método NIOSH 2537</t>
  </si>
  <si>
    <t>Método NIOSH 7904</t>
  </si>
  <si>
    <t>Cianeto de Hidrogênio</t>
  </si>
  <si>
    <t>mg/m3</t>
  </si>
  <si>
    <t>Irritação no TRS; Náusea.</t>
  </si>
  <si>
    <t>Tubo de Resina Xad</t>
  </si>
  <si>
    <t>Irritação no TRS; Irritação nos olhos; Efeitos sobre o peso do corpo; Edema pulmonar.</t>
  </si>
  <si>
    <t>Cianetos</t>
  </si>
  <si>
    <t>Ions</t>
  </si>
  <si>
    <t>Irritações no trato respiratório superior;
Dor de cabeça;
Náusea;
Efeitos na tireóide</t>
  </si>
  <si>
    <t>780</t>
  </si>
  <si>
    <t>2-Cianoacrilato de etila</t>
  </si>
  <si>
    <t>Iodo</t>
  </si>
  <si>
    <t>Método OSHA 55 - HPLC</t>
  </si>
  <si>
    <t>708-85-0</t>
  </si>
  <si>
    <t>&lt;0,0005</t>
  </si>
  <si>
    <t>Cód. e-Social: 01.13.001</t>
  </si>
  <si>
    <t>pmm</t>
  </si>
  <si>
    <t>Hipotireoidismo;
Efeitos maternos reprodutivos;
Danos fetal e neonatal</t>
  </si>
  <si>
    <t>Método NIOSH 6005</t>
  </si>
  <si>
    <t>Data de Assinatura (Entrega do Relatório):</t>
  </si>
  <si>
    <t>Exemplo:</t>
  </si>
  <si>
    <t>106-99-0</t>
  </si>
  <si>
    <t>111-76-2</t>
  </si>
  <si>
    <t>110-8-5</t>
  </si>
  <si>
    <t>75-07-0</t>
  </si>
  <si>
    <t>111-15-9</t>
  </si>
  <si>
    <t>141-78-6</t>
  </si>
  <si>
    <t>123-86-4</t>
  </si>
  <si>
    <t>107-98-2</t>
  </si>
  <si>
    <t>61-64-1</t>
  </si>
  <si>
    <t>64-19-7</t>
  </si>
  <si>
    <t>7647-01-0</t>
  </si>
  <si>
    <t>7664-39-3</t>
  </si>
  <si>
    <t>64-18-6</t>
  </si>
  <si>
    <t>7664-38-2</t>
  </si>
  <si>
    <t>7697-37-2</t>
  </si>
  <si>
    <t>79-21-0</t>
  </si>
  <si>
    <t>7664-93-9</t>
  </si>
  <si>
    <t>64-17-5</t>
  </si>
  <si>
    <t>67-63-0</t>
  </si>
  <si>
    <t>107-13-1</t>
  </si>
  <si>
    <t>96-33-3</t>
  </si>
  <si>
    <t>7429-90-5</t>
  </si>
  <si>
    <t>12172-73-5</t>
  </si>
  <si>
    <t>7664-41-7</t>
  </si>
  <si>
    <t>7440-39-3</t>
  </si>
  <si>
    <t>71-43-2</t>
  </si>
  <si>
    <t>7440-41-7</t>
  </si>
  <si>
    <t>106-97-8</t>
  </si>
  <si>
    <t>7440-43-9</t>
  </si>
  <si>
    <t>7439-92-1</t>
  </si>
  <si>
    <t>74-90-8</t>
  </si>
  <si>
    <t>110-82-7</t>
  </si>
  <si>
    <t>108-93-0</t>
  </si>
  <si>
    <t>108-94-1</t>
  </si>
  <si>
    <t>110-83-8</t>
  </si>
  <si>
    <t>287-92-3</t>
  </si>
  <si>
    <t>7782-50-5</t>
  </si>
  <si>
    <t>67-66-3</t>
  </si>
  <si>
    <t>7440-48-4</t>
  </si>
  <si>
    <t>7440-50-8</t>
  </si>
  <si>
    <t>7440-47-3</t>
  </si>
  <si>
    <t>84989-04-8</t>
  </si>
  <si>
    <t>98-82-8</t>
  </si>
  <si>
    <t>68334-30-5</t>
  </si>
  <si>
    <t>123-42-2</t>
  </si>
  <si>
    <t>0,1 - 1,5</t>
  </si>
  <si>
    <t>0,02 - 1</t>
  </si>
  <si>
    <t>0,02 - 0,05</t>
  </si>
  <si>
    <t>6</t>
  </si>
  <si>
    <t>30 - 600</t>
  </si>
  <si>
    <t>15 - 1000</t>
  </si>
  <si>
    <t>15 - 2000</t>
  </si>
  <si>
    <t>15 - 120</t>
  </si>
  <si>
    <t>0,1 - 1</t>
  </si>
  <si>
    <t>0,2 - 3</t>
  </si>
  <si>
    <t>45 - 1000</t>
  </si>
  <si>
    <t>1,5 - 96</t>
  </si>
  <si>
    <t>7,5 - 30</t>
  </si>
  <si>
    <t>10 - 180</t>
  </si>
  <si>
    <t>2,5 - 5</t>
  </si>
  <si>
    <t>1 - 10</t>
  </si>
  <si>
    <t>Cód. e-Social: 01.04.001</t>
  </si>
  <si>
    <t>Mudanças na função pulmonar.</t>
  </si>
  <si>
    <t>Irritações nos olhos;
Irritações TRS;
Asma</t>
  </si>
  <si>
    <t>Irritações TRS; Irritações nos olhos; Comprometimento do SNC</t>
  </si>
  <si>
    <t>Comprometimento do SNC; Irritações noTRS; Irritações nos olhos</t>
  </si>
  <si>
    <t>Irritações no TRS; Irritações noTRI; Irritações na pele; Irritações nos olhos; Fluorese.</t>
  </si>
  <si>
    <t>Irritações nos olhos; Irritações noTRS; Comprometimento do SNC</t>
  </si>
  <si>
    <t>Comprometimento do SNC; Irritações no TRI</t>
  </si>
  <si>
    <t>Irritações no TRS;
Dor de cabeça;
Náusea;
Efeitos na tireóide</t>
  </si>
  <si>
    <t>Comprometimento do SNC;
Irritações nos olhos; Irritações no TRS.</t>
  </si>
  <si>
    <t>Comprometimento do SNC;
Asfixia; Senbilizante cardíaco</t>
  </si>
  <si>
    <t>Comprometimento do SNC; Comprometimento do sistema auditivo; Irritações no TRS; Neuropatia periférica; Desordens visuais</t>
  </si>
  <si>
    <t>Irritações no TRS; Irritações nos olhos; Danos nos rins (nefrotoxicidade); Comprometimento do SNC; Ototoxicidade</t>
  </si>
  <si>
    <t>Irritações no TRS;
Dano embrio/fetal; Dor de cabeça; Tontura</t>
  </si>
  <si>
    <t>Irritações no TRI</t>
  </si>
  <si>
    <t>Comprometimento do SNC; Neuropatia periférica; Irritações nos olhos</t>
  </si>
  <si>
    <t>Irritações no TRS; Comprometimento do SNC; Danos nos rins</t>
  </si>
  <si>
    <t>Irritações no TRS; Irritações nos olhos; Efeitos hematológicos; Ototoxicidade - apenas para o para-xileno e misturas contendo para-xileno; Comprometimento do SNC</t>
  </si>
  <si>
    <t>1,5 - 12</t>
  </si>
  <si>
    <t xml:space="preserve"> 1 - 10  </t>
  </si>
  <si>
    <t xml:space="preserve"> 3 - 25  </t>
  </si>
  <si>
    <t>3,5 - 20</t>
  </si>
  <si>
    <t xml:space="preserve">máximo de 5 </t>
  </si>
  <si>
    <t>180</t>
  </si>
  <si>
    <t>1 - 4</t>
  </si>
  <si>
    <t>1 - 14</t>
  </si>
  <si>
    <t>0,25 - 12</t>
  </si>
  <si>
    <t>408 - 960</t>
  </si>
  <si>
    <t>NÃO ENCONTREI</t>
  </si>
  <si>
    <t>100-41-4</t>
  </si>
  <si>
    <t>100-42-5</t>
  </si>
  <si>
    <t>78-93-3</t>
  </si>
  <si>
    <t>7439-98-7</t>
  </si>
  <si>
    <t>142-82-5</t>
  </si>
  <si>
    <t>110-54-3</t>
  </si>
  <si>
    <t>7782-49-2</t>
  </si>
  <si>
    <t>1 - 5</t>
  </si>
  <si>
    <t>1 - 9</t>
  </si>
  <si>
    <t>0,5 - 1</t>
  </si>
  <si>
    <t xml:space="preserve">0,01 - 0,2 </t>
  </si>
  <si>
    <t>0,02 - 0,5</t>
  </si>
  <si>
    <t>0,01 - 0,1</t>
  </si>
  <si>
    <t>0,02 - 0,1</t>
  </si>
  <si>
    <t>0,01 - 0,05</t>
  </si>
  <si>
    <t>1,3 - 20</t>
  </si>
  <si>
    <t xml:space="preserve">5 - 25 </t>
  </si>
  <si>
    <t xml:space="preserve">480 </t>
  </si>
  <si>
    <t xml:space="preserve">1 - 50 </t>
  </si>
  <si>
    <t>15 - 80</t>
  </si>
  <si>
    <t xml:space="preserve">1 - 24 </t>
  </si>
  <si>
    <t>Estanho - Compostos Orgânicos</t>
  </si>
  <si>
    <t>7440-31-5</t>
  </si>
  <si>
    <t>76-14-2</t>
  </si>
  <si>
    <t>0,5 - 2,5</t>
  </si>
  <si>
    <t>75-09-2</t>
  </si>
  <si>
    <t>68-12-2</t>
  </si>
  <si>
    <t>124-38-9</t>
  </si>
  <si>
    <t>Efeitos na função pulmonar; Irritação TRI</t>
  </si>
  <si>
    <t>3 a 6</t>
  </si>
  <si>
    <t>10102-44-0</t>
  </si>
  <si>
    <t>13463-67-7</t>
  </si>
  <si>
    <t>141-43-5</t>
  </si>
  <si>
    <t>1-20</t>
  </si>
  <si>
    <t>74-85-1</t>
  </si>
  <si>
    <t>108-95-2</t>
  </si>
  <si>
    <t>16984-48-8</t>
  </si>
  <si>
    <t>50-00-0</t>
  </si>
  <si>
    <t>0,05 - 0,15</t>
  </si>
  <si>
    <t>7723-14-0</t>
  </si>
  <si>
    <t>8002-74-2</t>
  </si>
  <si>
    <t>86290-81-5</t>
  </si>
  <si>
    <t>123-31-9</t>
  </si>
  <si>
    <t>1310-58-3</t>
  </si>
  <si>
    <t>45 a 1000</t>
  </si>
  <si>
    <t>1310-73-2</t>
  </si>
  <si>
    <t>1305-62-0</t>
  </si>
  <si>
    <t>128-37-0</t>
  </si>
  <si>
    <t>0,2 - 1</t>
  </si>
  <si>
    <t>2 - 25</t>
  </si>
  <si>
    <t>78-59-1</t>
  </si>
  <si>
    <t>2 - 10</t>
  </si>
  <si>
    <t>7439-96-5</t>
  </si>
  <si>
    <t>7439-97-6</t>
  </si>
  <si>
    <t>2 - 100</t>
  </si>
  <si>
    <t>0,15 - 0,25</t>
  </si>
  <si>
    <t>74-82-8</t>
  </si>
  <si>
    <t>67-56-1</t>
  </si>
  <si>
    <t>80-62-6</t>
  </si>
  <si>
    <t>108-10-1</t>
  </si>
  <si>
    <t>98-83-9</t>
  </si>
  <si>
    <t>630-08-0</t>
  </si>
  <si>
    <t xml:space="preserve">0,02 - 0,2 </t>
  </si>
  <si>
    <t>71-23-8</t>
  </si>
  <si>
    <t>109-66-0</t>
  </si>
  <si>
    <t>111-65-9</t>
  </si>
  <si>
    <t>1333-86-4</t>
  </si>
  <si>
    <t>Cód. e-Social: 01.07.001</t>
  </si>
  <si>
    <t>7440-02-0</t>
  </si>
  <si>
    <t>Nitrogênio - Óxido</t>
  </si>
  <si>
    <t>3 - 24</t>
  </si>
  <si>
    <t>101002-43-9</t>
  </si>
  <si>
    <t>48 - 960</t>
  </si>
  <si>
    <t>72623-86-0</t>
  </si>
  <si>
    <t>75-21-8</t>
  </si>
  <si>
    <t>10024-97-2</t>
  </si>
  <si>
    <t>1314-13-2</t>
  </si>
  <si>
    <t xml:space="preserve">1 - 40 </t>
  </si>
  <si>
    <t>7722-84-1</t>
  </si>
  <si>
    <t>1314-62-1</t>
  </si>
  <si>
    <t>110-86-1</t>
  </si>
  <si>
    <t>7498-6</t>
  </si>
  <si>
    <t>8008-20-6</t>
  </si>
  <si>
    <t xml:space="preserve">Fibrose pumonar; câncer de pulmão </t>
  </si>
  <si>
    <t>14808-60-7</t>
  </si>
  <si>
    <t>7783-06-4</t>
  </si>
  <si>
    <t>7440-28-0</t>
  </si>
  <si>
    <t>102-71-6</t>
  </si>
  <si>
    <t>5 - 300</t>
  </si>
  <si>
    <t>Danos TRS e pulmão</t>
  </si>
  <si>
    <t>25013-15-4</t>
  </si>
  <si>
    <t>0,2 - 30</t>
  </si>
  <si>
    <t>45-200</t>
  </si>
  <si>
    <t>7440-67-7</t>
  </si>
  <si>
    <t>18540-29-9</t>
  </si>
  <si>
    <t>480 - 960</t>
  </si>
  <si>
    <t>0,1 - 0,5</t>
  </si>
  <si>
    <t>0,03 - 1,5</t>
  </si>
  <si>
    <t>1 - 23</t>
  </si>
  <si>
    <t>1 - 30</t>
  </si>
  <si>
    <t>400 - 1000</t>
  </si>
  <si>
    <t>20 - 400</t>
  </si>
  <si>
    <t>240 - 960</t>
  </si>
  <si>
    <t>3 - 6</t>
  </si>
  <si>
    <t>4 - 200</t>
  </si>
  <si>
    <t>5 - 7</t>
  </si>
  <si>
    <t xml:space="preserve">2 - 10 </t>
  </si>
  <si>
    <t xml:space="preserve">0,2 - 20 </t>
  </si>
  <si>
    <t xml:space="preserve">0,2 - 10 </t>
  </si>
  <si>
    <t xml:space="preserve">0,1 - 9 </t>
  </si>
  <si>
    <t>Álcool Metílico</t>
  </si>
  <si>
    <t>1-5</t>
  </si>
  <si>
    <t>Butil Glicol</t>
  </si>
  <si>
    <t>1-10</t>
  </si>
  <si>
    <t>Dor de Cabeça; Danos nos olhos; Tontura; Nausea</t>
  </si>
  <si>
    <t>Irritações nos olhos; Irritações no TRS; Dor de cabeça; Náusea; Efeitos no SNC; Efeitos no SI</t>
  </si>
  <si>
    <t>Comprometimento do SNC; Perdas cognitivas; Toxicidade Renal</t>
  </si>
  <si>
    <t>Irritação TRS e TRI; Dano pulmão</t>
  </si>
  <si>
    <t>Síndrome mielodisplásica; Leucemia mieolóide aguda; Leucemia; Efeitos hematológicos; Dano cromossômico</t>
  </si>
  <si>
    <t>Dor de cabeça; Tontura; Náusea; Dano olhos (degeneração das células ganglionares da retina).</t>
  </si>
  <si>
    <t>Percloroetileno</t>
  </si>
  <si>
    <t>&lt; 0,0005</t>
  </si>
  <si>
    <t>&lt; 0,014</t>
  </si>
  <si>
    <t>0000 -</t>
  </si>
  <si>
    <t>Comprometimento do SNC; Comprometimento do sistema nervoso periférico; Efeitos hematológicos</t>
  </si>
  <si>
    <t>Danos nos Rins</t>
  </si>
  <si>
    <t>Tricloroetileno</t>
  </si>
  <si>
    <t>Irritações no trato respiratório superior; Irritações nos olhos</t>
  </si>
  <si>
    <t>Cloreto de Benzila</t>
  </si>
  <si>
    <t>Tetracloreto de Carbono</t>
  </si>
  <si>
    <t>Equipamento Utilizado na Coleta: Bomba Gravimétrica. Os resultados são válidos exclusivamente para a amostra analisada.</t>
  </si>
  <si>
    <t>ANEXO B - DOCUMENTOS E CERTIFICADOS DE CALIBRAÇÃO</t>
  </si>
  <si>
    <t>ANEXO - RELATÓRIOS ANALÍTICOS</t>
  </si>
  <si>
    <t>Narcose; Irritação no TRS.</t>
  </si>
  <si>
    <t>78-78-4</t>
  </si>
  <si>
    <t>Neuropatia periférica</t>
  </si>
  <si>
    <t>1,5 - 20</t>
  </si>
  <si>
    <t>64742-49-0</t>
  </si>
  <si>
    <t>(Nº DA AMOSTRA)</t>
  </si>
  <si>
    <t>Sílica Livre Cristalizada</t>
  </si>
  <si>
    <t>Poeira Total (Mineral)</t>
  </si>
  <si>
    <t>Poeira Respirável (Mineral)</t>
  </si>
  <si>
    <t>Efeitos na função pulmonar</t>
  </si>
  <si>
    <t>Método OSHA ID 214</t>
  </si>
  <si>
    <t>0,25 - 1,5</t>
  </si>
  <si>
    <t>90</t>
  </si>
  <si>
    <t>10028-15-6</t>
  </si>
  <si>
    <t>Acrilato de Etila</t>
  </si>
  <si>
    <t>140-88-5</t>
  </si>
  <si>
    <t>Irritações gastrointestinal;
Irritações no trato respiratório superior;
Irritações nos olhos;
Comprometimento do sistema nervoso central;
Sensibilidade na pele</t>
  </si>
  <si>
    <t>Identificação</t>
  </si>
  <si>
    <t>CNPJ</t>
  </si>
  <si>
    <t>Endereçoo</t>
  </si>
  <si>
    <t>Labsoft</t>
  </si>
  <si>
    <t>05.412.271/0001-78</t>
  </si>
  <si>
    <t>11342 Sociedade Fogas Ltda - Manaus</t>
  </si>
  <si>
    <t>4563672000166</t>
  </si>
  <si>
    <t>Sociedade Fogas Ltda - Santarém</t>
  </si>
  <si>
    <t>04563672000590</t>
  </si>
  <si>
    <t>Placibras da Amazônia Ltda</t>
  </si>
  <si>
    <t>5338882000202</t>
  </si>
  <si>
    <t>Componel Industria e Comércio Ltda</t>
  </si>
  <si>
    <t>57593253000567</t>
  </si>
  <si>
    <t>Pam Industria de Plasticos Injetados Ltda - Filial (04.413.977/0007-87)</t>
  </si>
  <si>
    <t>4413977000787</t>
  </si>
  <si>
    <t>Stratura Asfaltos S.A</t>
  </si>
  <si>
    <t>59128553001220</t>
  </si>
  <si>
    <t>Naturex - Ingredientes Naturais Ltda</t>
  </si>
  <si>
    <t>3899381000180</t>
  </si>
  <si>
    <t>11349 Hisamitsu Farmaceutica do Brasil Ltda</t>
  </si>
  <si>
    <t>49383250000147</t>
  </si>
  <si>
    <t>Andrade Gutierrez Engenharia S/A</t>
  </si>
  <si>
    <t>17262213025936</t>
  </si>
  <si>
    <t>Tigre Materiais e Soluções Para Construção Ltda.</t>
  </si>
  <si>
    <t>8862530000584</t>
  </si>
  <si>
    <t>Itautinga Agro Industrial S.A</t>
  </si>
  <si>
    <t>4265872000132</t>
  </si>
  <si>
    <t xml:space="preserve"> 11353 Alpha Assembly Solutions Brasil Soldas Ltda</t>
  </si>
  <si>
    <t>00892361000190</t>
  </si>
  <si>
    <t>11354 Liteon Mobile Industria e Comércio de Plásticos Ltda.</t>
  </si>
  <si>
    <t>4889830000172</t>
  </si>
  <si>
    <t>Yamaha Motor Eletronics do Brasil Ltda</t>
  </si>
  <si>
    <t>10427061000193</t>
  </si>
  <si>
    <t>11356 Gera Amazonas Geradora de Energia do Amazonas S/A.</t>
  </si>
  <si>
    <t>07469933000171</t>
  </si>
  <si>
    <t>11357 Sumidenso da Amazônia Industria Eletricas Ltda</t>
  </si>
  <si>
    <t>8962294000144</t>
  </si>
  <si>
    <t>Cal-Comp Industria e Comércio de Eletronicos  LTDA - CCBR F2</t>
  </si>
  <si>
    <t>07200194000380</t>
  </si>
  <si>
    <t>11359 Hitachi Astemo Manaus Powertrain Systens Ltda (Keihin)</t>
  </si>
  <si>
    <t>4161047000198</t>
  </si>
  <si>
    <t>11360 Salcomp Industrial Eletrônica Da Amazônia Ltda (MATRIZ)</t>
  </si>
  <si>
    <t>7637620000185</t>
  </si>
  <si>
    <t>Mil Energia Renovável LTDA -Bk Energia Itacoatiara Ltda</t>
  </si>
  <si>
    <t>4310086000100</t>
  </si>
  <si>
    <t>11362 LG Electronics do Brasil LTDA</t>
  </si>
  <si>
    <t>1166372000821</t>
  </si>
  <si>
    <t>Parente Andrade Ltda</t>
  </si>
  <si>
    <t>05057914000102</t>
  </si>
  <si>
    <t>11364 Flex Impor. Expor. Ind. E Comércio de Máquina e Motores Ltda</t>
  </si>
  <si>
    <t>22798094000129</t>
  </si>
  <si>
    <t>11365 Flex Impor. Expor. Ind. E Comércio de Máquina e Motores Ltda (Galpão 01)</t>
  </si>
  <si>
    <t>Amazon Industria de Gelo e Bebidas Ltda</t>
  </si>
  <si>
    <t>02402867000522</t>
  </si>
  <si>
    <t>J Cruz Indústria de Bebidas Ltda (Amazon Refrigerante - Filial)</t>
  </si>
  <si>
    <t>4398251000550</t>
  </si>
  <si>
    <t>11368 D.D Williamson do Brasil Ltda</t>
  </si>
  <si>
    <t>02789565000125</t>
  </si>
  <si>
    <t>11369 Eternal Ind. Com. Serv. e Trat de Resíduos da Amazônia Ltda</t>
  </si>
  <si>
    <t>84527274000123</t>
  </si>
  <si>
    <t>GRI Koleta - Gerenciamento de Resíduos Industriais S.A</t>
  </si>
  <si>
    <t>4517241001135</t>
  </si>
  <si>
    <t>F E Isaías de Lima (Ceramica LIMA)</t>
  </si>
  <si>
    <t>22815369000195</t>
  </si>
  <si>
    <t>Sodecia Automotive Manaus Ltda</t>
  </si>
  <si>
    <t>2499629000153</t>
  </si>
  <si>
    <t>Amcor Embalagens da Amazônia Ltda</t>
  </si>
  <si>
    <t>84127208000166</t>
  </si>
  <si>
    <t>Musashi da Amazônia Ltda</t>
  </si>
  <si>
    <t>4944068000180</t>
  </si>
  <si>
    <t>11375 Caloi Norte S.A</t>
  </si>
  <si>
    <t>4301024000131</t>
  </si>
  <si>
    <t>11376 Agropecuária Jayoro Ltda</t>
  </si>
  <si>
    <t>5827977000109</t>
  </si>
  <si>
    <t>Norte Ambiental Tratamento de Resíduos Ltda</t>
  </si>
  <si>
    <t>14214776000119</t>
  </si>
  <si>
    <t>11378 Klabin S.A</t>
  </si>
  <si>
    <t>89637490016653</t>
  </si>
  <si>
    <t>Polimix Concreto Ltda</t>
  </si>
  <si>
    <t>29067113025423</t>
  </si>
  <si>
    <t>Cometais Indústria e Comercio de Metais Ltda (Matriz)</t>
  </si>
  <si>
    <t>2896727000124</t>
  </si>
  <si>
    <t>Cometais Industria e ComéFundição rcio de Metais Ltda (Fundição)</t>
  </si>
  <si>
    <t>2896727000396</t>
  </si>
  <si>
    <t>Gera Maranhão - Geradorada de Energia do Maranhão S.A</t>
  </si>
  <si>
    <t>9110880000123</t>
  </si>
  <si>
    <t>Brasitech Industria E Comercio De Aparelhos Para Beleza Ltda</t>
  </si>
  <si>
    <t>7293118000102</t>
  </si>
  <si>
    <t>HDL da Amazônia Indústria Eletrônica Ltda</t>
  </si>
  <si>
    <t>4034304000120</t>
  </si>
  <si>
    <t>Samsung Eletronica da Amazônia Ltda</t>
  </si>
  <si>
    <t>280273000137</t>
  </si>
  <si>
    <t>Evadin Indústria Amazônia Sociedade Anônima</t>
  </si>
  <si>
    <t>4180279000193</t>
  </si>
  <si>
    <t>11387 Jabil Industrial do Brasil Ltda</t>
  </si>
  <si>
    <t>04898857000202</t>
  </si>
  <si>
    <t>Solutions 2 Go Do Brasil Industria, Comercio E Distribuicao Ltda - Tarumã</t>
  </si>
  <si>
    <t>07305913000750</t>
  </si>
  <si>
    <t>11389 Minebea AccessSolutions do Brasil Ltda</t>
  </si>
  <si>
    <t>7379546000144</t>
  </si>
  <si>
    <t>11390 Klabin da Amazonia Soluções em Embalagens de Papel LTDA (Embacorp)</t>
  </si>
  <si>
    <t>4398525000188</t>
  </si>
  <si>
    <t>Condomínio Residencial Ilhas Gregas I</t>
  </si>
  <si>
    <t>11827893000160</t>
  </si>
  <si>
    <t>Arcoma da Amazônia Indústria e Comércio Ltda</t>
  </si>
  <si>
    <t>84094911000115</t>
  </si>
  <si>
    <t>11393 Nippon Seiki do Brasil Ltda</t>
  </si>
  <si>
    <t>5213262000158</t>
  </si>
  <si>
    <t>Nippon Carbide Industria do Brasil Ltda</t>
  </si>
  <si>
    <t>20846063000170</t>
  </si>
  <si>
    <t>Condomínio Residencial Tarsila do Amaral</t>
  </si>
  <si>
    <t>14936814000147</t>
  </si>
  <si>
    <t>11396 Flextronics da Amazônia LTDA - 04.454.120/0001-10</t>
  </si>
  <si>
    <t>44541200000110</t>
  </si>
  <si>
    <t>Hiroiaque Comércio de Produtos Alimenticios Ltda (Varejão Ponta Negra)</t>
  </si>
  <si>
    <t>11102673000179</t>
  </si>
  <si>
    <t>Residencial SKY</t>
  </si>
  <si>
    <t>22126594000114</t>
  </si>
  <si>
    <t>Cimento Vencemos do Amazonas Ltda</t>
  </si>
  <si>
    <t>13314000129</t>
  </si>
  <si>
    <t>Rio Amazonas Energia S/A - Raesa</t>
  </si>
  <si>
    <t>07386098000297</t>
  </si>
  <si>
    <t>11401 Denso Industrial da Amazônia Ltda</t>
  </si>
  <si>
    <t>84657907000118</t>
  </si>
  <si>
    <t>Novamed Fabricação de Produtos Farmaceuticos Ltda.</t>
  </si>
  <si>
    <t>12424020000179</t>
  </si>
  <si>
    <t>Colortech da Amazônia Ltda</t>
  </si>
  <si>
    <t>02699552000165</t>
  </si>
  <si>
    <t>Edacos Transportes Coletivos Especiais e Turismo Ltda</t>
  </si>
  <si>
    <t xml:space="preserve">84.499.383/0001-84 </t>
  </si>
  <si>
    <t>Condomínio Amazon Trade Center</t>
  </si>
  <si>
    <t>5465725000179</t>
  </si>
  <si>
    <t>Canon Industria de Manaus Ltda</t>
  </si>
  <si>
    <t>15530875000172</t>
  </si>
  <si>
    <t>Aslan Soluções Ltda</t>
  </si>
  <si>
    <t>16828075000103</t>
  </si>
  <si>
    <t>Comdomínio Edifício Residencial Rembrandt</t>
  </si>
  <si>
    <t>84514405000138</t>
  </si>
  <si>
    <t>Amazon Fort Soluções Ambientais e Serviços de Engenharia Eireli</t>
  </si>
  <si>
    <t>84750538000103</t>
  </si>
  <si>
    <t>Petrovan Derivados de Petróleo LTDA - Matriz</t>
  </si>
  <si>
    <t>84472851000127</t>
  </si>
  <si>
    <t>Amazon Ecopark Hoteis e Turismo Eireli</t>
  </si>
  <si>
    <t>84134501000150</t>
  </si>
  <si>
    <t>Ceras Johnson Ltda</t>
  </si>
  <si>
    <t>33122466000704</t>
  </si>
  <si>
    <t>Condomínio do Edifício Altos do Recife</t>
  </si>
  <si>
    <t>7857714000160</t>
  </si>
  <si>
    <t>Condomínio Edifício Di Cavalcante</t>
  </si>
  <si>
    <t>12148679000140</t>
  </si>
  <si>
    <t>Daido Indústria de Correntes da Amazônia Ltda</t>
  </si>
  <si>
    <t>8996956000105</t>
  </si>
  <si>
    <t>Semso Serviços Especializados em Medicina e Segurança do Trabalho e Meio Ambiente LTDA</t>
  </si>
  <si>
    <t>7074592000135</t>
  </si>
  <si>
    <t>Carboman Gás Carbonico de Manaus LTDA</t>
  </si>
  <si>
    <t>63634596000100</t>
  </si>
  <si>
    <t>Whirlpool S.A</t>
  </si>
  <si>
    <t>59105999006974</t>
  </si>
  <si>
    <t>11420 Envision Industria de Produtos Eletrônicos Ltda</t>
  </si>
  <si>
    <t>04176689000160</t>
  </si>
  <si>
    <t>TPV do Brasil Industria de Eletrônicos Ltda</t>
  </si>
  <si>
    <t>11758367000195</t>
  </si>
  <si>
    <t>CAA Comércio Amazonense de Alumínio Ltda</t>
  </si>
  <si>
    <t>9675751000182</t>
  </si>
  <si>
    <t>Condomínio Saint Remy Residence</t>
  </si>
  <si>
    <t>5875210000147</t>
  </si>
  <si>
    <t>Condomínio Edifício Saint Honore</t>
  </si>
  <si>
    <t>15769151000186</t>
  </si>
  <si>
    <t>Condomínio do Edifício Milano</t>
  </si>
  <si>
    <t>21376539000110</t>
  </si>
  <si>
    <t>Condomínio do Edifício Metropolis Residence</t>
  </si>
  <si>
    <t>10620697000157</t>
  </si>
  <si>
    <t>Tec Toy S.A - Matriz</t>
  </si>
  <si>
    <t>22770366000182</t>
  </si>
  <si>
    <t>Videolar Innova S/A</t>
  </si>
  <si>
    <t>4229761000170</t>
  </si>
  <si>
    <t>Pantos do Brasil Logistica Ltda</t>
  </si>
  <si>
    <t>8889896000113</t>
  </si>
  <si>
    <t>Panasonic do Brasil Ltda</t>
  </si>
  <si>
    <t>4403408000165</t>
  </si>
  <si>
    <t>Moto Traxx da Amazonia Ltda</t>
  </si>
  <si>
    <t>7506399000126</t>
  </si>
  <si>
    <t>Foxconn Moebg Indústria de Eletrônicos Ltda - Ypê</t>
  </si>
  <si>
    <t>8986284000220</t>
  </si>
  <si>
    <t>TSE Industria de Artefatos Estampados de Metal Ltda</t>
  </si>
  <si>
    <t>13051400000178</t>
  </si>
  <si>
    <t>Pepsi-Cola Industrial da Amazônia Ltda</t>
  </si>
  <si>
    <t>2726752000160</t>
  </si>
  <si>
    <t>Condomínio Residencial Topázio</t>
  </si>
  <si>
    <t>16888906000124</t>
  </si>
  <si>
    <t>Condomínio Residencial Vertentes do Tarumã</t>
  </si>
  <si>
    <t>17883021000103</t>
  </si>
  <si>
    <t>11437 Mitsuba do Brasil Ltda</t>
  </si>
  <si>
    <t>5299463000110</t>
  </si>
  <si>
    <t>Ecomix-Moagem e Tratamento de Residuos Eireli</t>
  </si>
  <si>
    <t>10978993000124</t>
  </si>
  <si>
    <t>Rimo S.A</t>
  </si>
  <si>
    <t>67562884000491</t>
  </si>
  <si>
    <t>11440 Essilor da Amazônia Indústria e Comércio Ltda</t>
  </si>
  <si>
    <t>54612650000117</t>
  </si>
  <si>
    <t>11441 Companhia Energética Manauara</t>
  </si>
  <si>
    <t>7303379000239</t>
  </si>
  <si>
    <t>M.C.W Construções, Comércio e Terraplanagem - Eireli</t>
  </si>
  <si>
    <t>10449469000166</t>
  </si>
  <si>
    <t>Venezia Comércio de Caminhões Ltda</t>
  </si>
  <si>
    <t>1824931000258</t>
  </si>
  <si>
    <t>11444 Valmar Serviços Industriais Ltda</t>
  </si>
  <si>
    <t>00469393000349</t>
  </si>
  <si>
    <t>11445 TCL SEMP Indústria e Comércio de Eletroeletrônicos S.A</t>
  </si>
  <si>
    <t>24227491000176</t>
  </si>
  <si>
    <t>Esgotec Serviços de Transporte Ltda</t>
  </si>
  <si>
    <t>7402200000110</t>
  </si>
  <si>
    <t>Harley-Davidson do Brasil Ltda</t>
  </si>
  <si>
    <t>2273580000116</t>
  </si>
  <si>
    <t>Cecilia de Oliveira Pinheiro 
(Lavandeiria Bonasecco)</t>
  </si>
  <si>
    <t>10925467000104</t>
  </si>
  <si>
    <t>Empresa Industrial de Juta S.A - Jutal</t>
  </si>
  <si>
    <t>4398459000499</t>
  </si>
  <si>
    <t>11450 Harman da Amazônia Indústria Eletrônica e Participações Ltda - Filial (Automotive)</t>
  </si>
  <si>
    <t>7703111000294</t>
  </si>
  <si>
    <t>BMW Manufacturing Indústria de Motos da Amazônia Ltda</t>
  </si>
  <si>
    <t>23871782000130</t>
  </si>
  <si>
    <t>11452 Climazon Industrial Ltda - Midea</t>
  </si>
  <si>
    <t>4222931000195</t>
  </si>
  <si>
    <t>Serviço Social do Comércio - Sesc</t>
  </si>
  <si>
    <t>3965963000118</t>
  </si>
  <si>
    <t>Amazongás Distrib. de Gás Liquef. De Petróleo Ltda</t>
  </si>
  <si>
    <t>04957650000180</t>
  </si>
  <si>
    <t xml:space="preserve"> 11455 Sociedade Michelin de Participações Indústria e Comércio Ltda</t>
  </si>
  <si>
    <t>50567288002526</t>
  </si>
  <si>
    <t>Cefisso Empreendimentos Imobiliários Ltda- (Direcional London)</t>
  </si>
  <si>
    <t>12492607000115</t>
  </si>
  <si>
    <t>Eridano Empreendimentos Imobiliários SPE Ltda. (Direcional Liverpool)</t>
  </si>
  <si>
    <t>12474876000159</t>
  </si>
  <si>
    <t>CTK Indústria de Embalagens da Amazônia Ltda</t>
  </si>
  <si>
    <t>14868322000161</t>
  </si>
  <si>
    <t>Keston Logística Ltda</t>
  </si>
  <si>
    <t>9653058000290</t>
  </si>
  <si>
    <t>Clínica Multiprofissional de Saúde Ltda (CMS)</t>
  </si>
  <si>
    <t>20040167000193</t>
  </si>
  <si>
    <t>UCB da Amazônia S.A.</t>
  </si>
  <si>
    <t>3951798000145</t>
  </si>
  <si>
    <t>Inoxx Indústria e Serviços em Artefatos de Metal Ltda</t>
  </si>
  <si>
    <t>21792266000194</t>
  </si>
  <si>
    <t>Harman da Amazônia Indústria Eletrônica e Participações Ltda - Matriz (Lifestyle)</t>
  </si>
  <si>
    <t>7703111000103</t>
  </si>
  <si>
    <t>Rio Tapajós Logística Ltda</t>
  </si>
  <si>
    <t>23933554000147</t>
  </si>
  <si>
    <t>Ictec Indústria Comércio e Representações Ltda</t>
  </si>
  <si>
    <t>634562000197</t>
  </si>
  <si>
    <t>Condominío Gran Vista Ponta Negra</t>
  </si>
  <si>
    <t>17823819000151</t>
  </si>
  <si>
    <t>Novotempo Indústria Gráfica Ltda</t>
  </si>
  <si>
    <t>1208577000156</t>
  </si>
  <si>
    <t>Chibatão Navegação e Comercio Ltda - Tomiasi</t>
  </si>
  <si>
    <t>84098383001063</t>
  </si>
  <si>
    <t>Transire Fabricação de Componentes Eletrônicos Ltda</t>
  </si>
  <si>
    <t>21785364000102</t>
  </si>
  <si>
    <t>Auto Posto Camila Ltda</t>
  </si>
  <si>
    <t>03932978000180</t>
  </si>
  <si>
    <t>Express Comércio Varejista de Derivados de Petróleo Ltda (Posto Franceses)</t>
  </si>
  <si>
    <t>84537349000157</t>
  </si>
  <si>
    <t>Digitron da Amazônia Indústria e Comércio Ltda</t>
  </si>
  <si>
    <t>84489988000518</t>
  </si>
  <si>
    <t>Clínica Renal de Manaus Ltda</t>
  </si>
  <si>
    <t>4666319000101</t>
  </si>
  <si>
    <t>Petróleo Brasileiro S.A Petrobras</t>
  </si>
  <si>
    <t>33000167113143</t>
  </si>
  <si>
    <t xml:space="preserve">11475 Tutiplast Indústria e Comércio LTDA - Matriz </t>
  </si>
  <si>
    <t>84501873000178</t>
  </si>
  <si>
    <t>Humax do Brasil Indústria Eletrônica Ltda</t>
  </si>
  <si>
    <t>13645479000165</t>
  </si>
  <si>
    <t>Aurora da Amazonia Terminais e Servicos Ltda</t>
  </si>
  <si>
    <t>4694548000130</t>
  </si>
  <si>
    <t>Noroeste Máquinas e Equipamentos Ltda</t>
  </si>
  <si>
    <t>18918142000106</t>
  </si>
  <si>
    <t>Mapa da Amazonia Industria e Comercio de Saneantes Ltda</t>
  </si>
  <si>
    <t>1548960000153</t>
  </si>
  <si>
    <t>Ciex Comercio Industria e Exportação - Usina Americana</t>
  </si>
  <si>
    <t>4354940000210</t>
  </si>
  <si>
    <t>Ciex Comercio Industria e Exportação Ltda - Usina Steve Negron</t>
  </si>
  <si>
    <t>4354940000482</t>
  </si>
  <si>
    <t>Ox-Red Química Ltda</t>
  </si>
  <si>
    <t>63640643000110</t>
  </si>
  <si>
    <t>Atex do Brasil Locação de Equipamentos Ltda</t>
  </si>
  <si>
    <t>65354649000822</t>
  </si>
  <si>
    <t>11484 Flextronics International Tecnologia LTDA - 74.404.229/0008-02</t>
  </si>
  <si>
    <t>74404229000802</t>
  </si>
  <si>
    <t>Naverio Navegação do Rio Amazonas Ltda (Posto XV)</t>
  </si>
  <si>
    <t>84477215001593</t>
  </si>
  <si>
    <t>11486 Knauf Isopor da Amazônia Ltda</t>
  </si>
  <si>
    <t>01592818000103</t>
  </si>
  <si>
    <t>Termo Metais Ltda</t>
  </si>
  <si>
    <t>07234778000104</t>
  </si>
  <si>
    <t>M.K Eletrodomesticos Mondial S.A</t>
  </si>
  <si>
    <t>07666567000736</t>
  </si>
  <si>
    <t>Pomar Comercio de Derivados de Petroleo e Construção Eireli</t>
  </si>
  <si>
    <t>12675374000196</t>
  </si>
  <si>
    <t>Renan Santos Brasilio (LTL Lavanderia e Tinturaria)</t>
  </si>
  <si>
    <t>12521870000195</t>
  </si>
  <si>
    <t>MEE Navegação e Logística Ltda</t>
  </si>
  <si>
    <t>04288618000150</t>
  </si>
  <si>
    <t>Petrovan Derivados de Petróleo LTDA - Filial</t>
  </si>
  <si>
    <t>84472851000399</t>
  </si>
  <si>
    <t>Petromay Derivados de Petroleo Ltda</t>
  </si>
  <si>
    <t>01691433000101</t>
  </si>
  <si>
    <t>Delta Consultoria Empresarial e Serviços de Segurança do Trabalho Ltda</t>
  </si>
  <si>
    <t>18554385000102</t>
  </si>
  <si>
    <t>11495 Ardo - Construtora e Pavimentação Ltda</t>
  </si>
  <si>
    <t>07354898000145</t>
  </si>
  <si>
    <t>TNT Mercúrio Cargas e Encomendas Expressas Ltda</t>
  </si>
  <si>
    <t>95591723011587</t>
  </si>
  <si>
    <t>Ocidental Consultoria e Projetos Ltda</t>
  </si>
  <si>
    <t>13292973000193</t>
  </si>
  <si>
    <t>Trading Derivados de Petróleo Ltda (Posto 700)</t>
  </si>
  <si>
    <t>04173910000127</t>
  </si>
  <si>
    <t>BRG Brasil Geradores Eireli</t>
  </si>
  <si>
    <t>04675878000340</t>
  </si>
  <si>
    <t>Transglobal Serviços Ltda (Sede)</t>
  </si>
  <si>
    <t>01362266000147</t>
  </si>
  <si>
    <t>Serviço de Petroleo Constellation S.A</t>
  </si>
  <si>
    <t>30521090000399</t>
  </si>
  <si>
    <t>Amazon Sand Industria e Comercio de Areia de Fundição Ltda</t>
  </si>
  <si>
    <t>08541798000190</t>
  </si>
  <si>
    <t>DAT Comércio de Derivados de Petroleo Ltda</t>
  </si>
  <si>
    <t>01647520000153</t>
  </si>
  <si>
    <t>Waldemiro P. Lustosza e Cia Ltda</t>
  </si>
  <si>
    <t>04562773000112</t>
  </si>
  <si>
    <t>Corprint da Amazonia Grafica e Editora Ltda</t>
  </si>
  <si>
    <t>07519331000181</t>
  </si>
  <si>
    <t>Ferreira e Assef Eireli - ME (Motel Tahiti)</t>
  </si>
  <si>
    <t>08346253000123</t>
  </si>
  <si>
    <t>11 507 Yamaha Motor da Amazônia Ltda (Carla/Priscila)</t>
  </si>
  <si>
    <t>04.817.052/0001-06</t>
  </si>
  <si>
    <t>Hevi Embalagens da Amazônia Ltda</t>
  </si>
  <si>
    <t>06996299000162</t>
  </si>
  <si>
    <t>Petrobras Distribuidora S.A (Baman Base Manaus)</t>
  </si>
  <si>
    <t>34274233009150</t>
  </si>
  <si>
    <t>Transglobal Serviços Ltda (Filial)</t>
  </si>
  <si>
    <t>01362266000570</t>
  </si>
  <si>
    <t>Saint-Gobain do Brasil Produtos Industriais e para Construção Ltda (WEBER)</t>
  </si>
  <si>
    <t>61064838009785</t>
  </si>
  <si>
    <t>PST Eletrônica Ltda</t>
  </si>
  <si>
    <t>84496066000104</t>
  </si>
  <si>
    <t>Digiboard Eletrônica da Amazônia Ltda</t>
  </si>
  <si>
    <t>7448261000118</t>
  </si>
  <si>
    <t>Prossegur Brasil S/A Transportadora de Valores e Segurança</t>
  </si>
  <si>
    <t>17428731012494</t>
  </si>
  <si>
    <t>Brasman Indústria Comércio e Representação Comercial Eireli</t>
  </si>
  <si>
    <t>03774156000118</t>
  </si>
  <si>
    <t>AGM Comércio e Disribuidora de Materiais de Perfumaria e Limpeza Ltda</t>
  </si>
  <si>
    <t>03673826000100</t>
  </si>
  <si>
    <t>Portal das Rosas Empreendimento Imobiliário Ltda (Direcional)</t>
  </si>
  <si>
    <t>11838746000276</t>
  </si>
  <si>
    <t>Direcional Rubi Empreendimentos Imobiliários Ltda</t>
  </si>
  <si>
    <t>09037901000556</t>
  </si>
  <si>
    <t>Fujifilm do Brasil Ltda</t>
  </si>
  <si>
    <t>60397874000407</t>
  </si>
  <si>
    <t>V8 Restaurante e Bar Eireli</t>
  </si>
  <si>
    <t>11856976000187</t>
  </si>
  <si>
    <t>Universal Electronics do Brasil Ltda</t>
  </si>
  <si>
    <t>12493492000183</t>
  </si>
  <si>
    <t>Medical Clin Serviços Médicos e Laboratório Eireli</t>
  </si>
  <si>
    <t>22487401000150</t>
  </si>
  <si>
    <t>Label Packing Industria de Embalagens da Amazonia Ltda</t>
  </si>
  <si>
    <t>17179228000193</t>
  </si>
  <si>
    <t>GR Serviços e Alimentação Ltda</t>
  </si>
  <si>
    <t>02905110017950</t>
  </si>
  <si>
    <t>Construtora Marquise S.A.</t>
  </si>
  <si>
    <t>07950702000266</t>
  </si>
  <si>
    <t>Choperia Copacabana Ltda</t>
  </si>
  <si>
    <t>15209782000140</t>
  </si>
  <si>
    <t>M I Montreal Informatica S.A</t>
  </si>
  <si>
    <t>42563692001874</t>
  </si>
  <si>
    <t>Saldanha Rodrigues Ltda</t>
  </si>
  <si>
    <t>03426484000123</t>
  </si>
  <si>
    <t>11531 Braserv Petroleo Ltda</t>
  </si>
  <si>
    <t>10941603000303</t>
  </si>
  <si>
    <t>Sat Bras Industria Eletrônica da Amazônia Ltda.</t>
  </si>
  <si>
    <t>03521296000184</t>
  </si>
  <si>
    <t>Kelp Serviços Médicos Ltda (SASMET)</t>
  </si>
  <si>
    <t>03072191000195</t>
  </si>
  <si>
    <t>11534 Amazônia P L Marinho (Prossesmt)</t>
  </si>
  <si>
    <t>08692979000118</t>
  </si>
  <si>
    <t>Sociedade Fogas Limitada (Boa Vista)</t>
  </si>
  <si>
    <t>04563672001219</t>
  </si>
  <si>
    <t>11536 Procomp Amazônia Indústria Eletrônica Ltda</t>
  </si>
  <si>
    <t>84107697000194</t>
  </si>
  <si>
    <t>11537 FCC do Brasil Ltda</t>
  </si>
  <si>
    <t>02672357000141</t>
  </si>
  <si>
    <t>WWF de Moraes (Posto ATEM)</t>
  </si>
  <si>
    <t>23030356000173</t>
  </si>
  <si>
    <t>11539 Consórcio Condomínio Shopping Ponta Negra</t>
  </si>
  <si>
    <t>18893082000106</t>
  </si>
  <si>
    <t>I-Sheng Brasil Indústria e Comércio de Componentes Eletronicos Ltda</t>
  </si>
  <si>
    <t>04547098000152</t>
  </si>
  <si>
    <t>Companhia de Gás do Amazonas - Cigas</t>
  </si>
  <si>
    <t>00624964000100</t>
  </si>
  <si>
    <t>Mega Pack Plasticos S.A</t>
  </si>
  <si>
    <t>19631376000122</t>
  </si>
  <si>
    <t>Challenger da Amazônia Indústria De Peças para Veículos Automotores Ltda</t>
  </si>
  <si>
    <t>12901599000113</t>
  </si>
  <si>
    <t>Norte Ambiental LTDA</t>
  </si>
  <si>
    <t>15868091000159</t>
  </si>
  <si>
    <t>11545 Condomínio do Edificio Nau Capitania</t>
  </si>
  <si>
    <t>09507354000100</t>
  </si>
  <si>
    <t>Conipa Indústria e Comércio de Presentes, Metais e Artigos De Decoração Ltda</t>
  </si>
  <si>
    <t>26013023000124</t>
  </si>
  <si>
    <t>Fermazon Ferro e Aço do Amazonas LTDA - Indústria</t>
  </si>
  <si>
    <t>84464346000130</t>
  </si>
  <si>
    <t>B M Engenharia Ambiental LTDA</t>
  </si>
  <si>
    <t>08395546000109</t>
  </si>
  <si>
    <t>Agro Rio Comércio e Serviço de Resíduos Reciclados Ltda</t>
  </si>
  <si>
    <t>14855328000102</t>
  </si>
  <si>
    <t>Qualymed Saúde Ocupacional LTDA</t>
  </si>
  <si>
    <t>20400334000160</t>
  </si>
  <si>
    <t>Araujo e Leite Ltda (Audclin)</t>
  </si>
  <si>
    <t>18017974000143</t>
  </si>
  <si>
    <t>11552 Compar Companhia Paraense de Refrigerantes PVH</t>
  </si>
  <si>
    <t>04928297001859</t>
  </si>
  <si>
    <t>11553 COMPAR Companhia Paraense de Refrigerantes RBR</t>
  </si>
  <si>
    <t>04928297002073</t>
  </si>
  <si>
    <t>ET de Oliveira Eireli 
(Rent Hotel)</t>
  </si>
  <si>
    <t>05972228000167</t>
  </si>
  <si>
    <t>ACTUS - Assessoria e Consultoria de Saúde Ocupacional e Meio Ambiente S/S Ltda</t>
  </si>
  <si>
    <t>00944911000177</t>
  </si>
  <si>
    <t>Condomínio Authentic Recife</t>
  </si>
  <si>
    <t>22695334000160</t>
  </si>
  <si>
    <t>Condomínio do Edifício Sense Apart Hotel 
(Blue Three)</t>
  </si>
  <si>
    <t>11530031000170</t>
  </si>
  <si>
    <t>F T Soares &amp; Cia Ltda</t>
  </si>
  <si>
    <t>05541594000161</t>
  </si>
  <si>
    <t>Chibatão Navegação e Comercio Ltda
 (HTR - Armazéns, Transportes E Logística. )</t>
  </si>
  <si>
    <t>84098383000768</t>
  </si>
  <si>
    <t>Sakura Exhaust do Brasil Ltda</t>
  </si>
  <si>
    <t>09623649000133</t>
  </si>
  <si>
    <t>Paula de Jesus Ribeiro da Silva</t>
  </si>
  <si>
    <t>22977669000170</t>
  </si>
  <si>
    <t>Auto Posto Pedras Ltda</t>
  </si>
  <si>
    <t>26591472000150</t>
  </si>
  <si>
    <t>11564 Cargill Agricola S.A - Santarem</t>
  </si>
  <si>
    <t>60498706033594</t>
  </si>
  <si>
    <t>Vagno Ferreira da Silva</t>
  </si>
  <si>
    <t>29420646000100</t>
  </si>
  <si>
    <t>11566 SC Transportes Ltda</t>
  </si>
  <si>
    <t>04330304000178</t>
  </si>
  <si>
    <t>Auto Posto Marcia Ltda</t>
  </si>
  <si>
    <t>34475061000631</t>
  </si>
  <si>
    <t>Sociedade Fogas Ltda - Rio Branco</t>
  </si>
  <si>
    <t>04563672000751</t>
  </si>
  <si>
    <t>Suguita e Kodama Restaurante e Comercio de Produtos Alimentícios Ltda</t>
  </si>
  <si>
    <t>30298926000176</t>
  </si>
  <si>
    <t>11570 Pioneer do Brasil Ltda</t>
  </si>
  <si>
    <t>05553531000125</t>
  </si>
  <si>
    <t>Moto Honda da Amazonia Ltda</t>
  </si>
  <si>
    <t>04337168000148</t>
  </si>
  <si>
    <t>Marchelli de Almeida Crispim Eireli</t>
  </si>
  <si>
    <t>29270189000114</t>
  </si>
  <si>
    <t>Leonardo Soares de Souza Eireli</t>
  </si>
  <si>
    <t>7498786000168</t>
  </si>
  <si>
    <t>Condomínio Concept</t>
  </si>
  <si>
    <t>20849612000160</t>
  </si>
  <si>
    <t>Livea Castro Dantas (Rico Engenharia)</t>
  </si>
  <si>
    <t>27339445000157</t>
  </si>
  <si>
    <t>Amazon Consultoria em Engenharia Ambiental e Segurança do Trabalho Ltda</t>
  </si>
  <si>
    <t>24835989000111</t>
  </si>
  <si>
    <t>KMA Fabricação e Comércio de Aparelhos de Refrigeração Ltda</t>
  </si>
  <si>
    <t>14499581000162</t>
  </si>
  <si>
    <t>Entec Maquinas e Equipamentos Ltda</t>
  </si>
  <si>
    <t>14593521000104</t>
  </si>
  <si>
    <t>Formapack Embalagens Plasticas Ltda</t>
  </si>
  <si>
    <t>09397075000122</t>
  </si>
  <si>
    <t>11580 Metalfino da Amazonia Ltda</t>
  </si>
  <si>
    <t>04414488000154</t>
  </si>
  <si>
    <t>Direcional Engenharia S/A (Filial Manaus)</t>
  </si>
  <si>
    <t>16614075000607</t>
  </si>
  <si>
    <t>Sony Brasil Ltda</t>
  </si>
  <si>
    <t>43447044000177</t>
  </si>
  <si>
    <t>11583 Brasil Norte Bebidas S/A - MAO</t>
  </si>
  <si>
    <t>34590315000158</t>
  </si>
  <si>
    <t>Condomínio do Edifício The Future Manaus Flat</t>
  </si>
  <si>
    <t>006162241000113</t>
  </si>
  <si>
    <t>Tecnosonda S.A</t>
  </si>
  <si>
    <t>33841727000231</t>
  </si>
  <si>
    <t>Metalúrgica Sato da Amazônia Ltda</t>
  </si>
  <si>
    <t>34505214000131</t>
  </si>
  <si>
    <t>11587 Flextronics da Amazonia Ltda (Masa da Amazônia)</t>
  </si>
  <si>
    <t>04454120000462</t>
  </si>
  <si>
    <t>Cidade Transporte Ltda</t>
  </si>
  <si>
    <t>06151511000190</t>
  </si>
  <si>
    <t>Bemol S/A</t>
  </si>
  <si>
    <t>04565289000570</t>
  </si>
  <si>
    <t>11 590 Saúde Manaus Serviços Laboratoriais e Segurança do trabalho Eireli</t>
  </si>
  <si>
    <t>28631492000132</t>
  </si>
  <si>
    <t>11591 Hermasa Navegação da Amazonia Ltda - Terminal</t>
  </si>
  <si>
    <t>84590892000207</t>
  </si>
  <si>
    <t>Condomínio View Club e Home</t>
  </si>
  <si>
    <t>21695134000144</t>
  </si>
  <si>
    <t>SEST Serviço de Engenharia Eireli</t>
  </si>
  <si>
    <t>18222433000157</t>
  </si>
  <si>
    <t>Batista e Belo Ltda (Amazonia Ship Service)</t>
  </si>
  <si>
    <t>21860467000181</t>
  </si>
  <si>
    <t>11595 Amaggi Exportação e Importação LTDA</t>
  </si>
  <si>
    <t>77294254002138</t>
  </si>
  <si>
    <t>Pronatus Do Amazonas Indústria E Comércio De Produtos Farmaceuticos Cosméticos Ltda</t>
  </si>
  <si>
    <t>14186324000332</t>
  </si>
  <si>
    <t>Expresso Coroado Ltda</t>
  </si>
  <si>
    <t>12393289000135</t>
  </si>
  <si>
    <t>LL Teixeira e Cia Ltda</t>
  </si>
  <si>
    <t>04764429000106</t>
  </si>
  <si>
    <t>Omni Táxi Aéreo S.A</t>
  </si>
  <si>
    <t>03670763000138</t>
  </si>
  <si>
    <t>Via Verde Transportes Coletivos Ltda</t>
  </si>
  <si>
    <t>09122002000128</t>
  </si>
  <si>
    <t>JR Saboia dos Santos</t>
  </si>
  <si>
    <t>11792762000194</t>
  </si>
  <si>
    <t>MAG Peças e Serviços de Motores Martimos Eireli</t>
  </si>
  <si>
    <t>06122036000124</t>
  </si>
  <si>
    <t>A. N. S. de Araújo (Ceramica Ximenes)</t>
  </si>
  <si>
    <t>03327489000107</t>
  </si>
  <si>
    <t>Cepal Construtora de Poço Artesianos e Serviços Ltda (Juvêncio Neto)</t>
  </si>
  <si>
    <t>07513569000108</t>
  </si>
  <si>
    <t>A. Fontes Revestimento Em Metais Ltda</t>
  </si>
  <si>
    <t>27187941000132</t>
  </si>
  <si>
    <t>Navegação Nóbrega Ltda</t>
  </si>
  <si>
    <t>34486076000190</t>
  </si>
  <si>
    <t>Ônix Empreendimentos Imobiliários Ltda (Direcional)</t>
  </si>
  <si>
    <t>10221375000135</t>
  </si>
  <si>
    <t>Condomínio Weekend Club Ponta Negra</t>
  </si>
  <si>
    <t>15482527000177</t>
  </si>
  <si>
    <t>Condomínio Residencial Tiradentes</t>
  </si>
  <si>
    <t>10780712000124</t>
  </si>
  <si>
    <t>Sociedade Fogas Ltda (Porto Velho)</t>
  </si>
  <si>
    <t>04563672000409</t>
  </si>
  <si>
    <t>Murano Veículos Ltda</t>
  </si>
  <si>
    <t>84492198000168</t>
  </si>
  <si>
    <t>Condomínio do Edifício Jardim Adrianópolis</t>
  </si>
  <si>
    <t>07165620000120</t>
  </si>
  <si>
    <t>Terminais Fluviais do Brasil S/A</t>
  </si>
  <si>
    <t>11389394000219</t>
  </si>
  <si>
    <t>Auto Posto União Ltda</t>
  </si>
  <si>
    <t>23029382000858</t>
  </si>
  <si>
    <t>JMV Global Gestão Treinamento e Consultoria em SST Eireli</t>
  </si>
  <si>
    <t>27779236000124</t>
  </si>
  <si>
    <t>Manauara Empreendimentos Imobiliários Ltda (Direcional)</t>
  </si>
  <si>
    <t>19329950000273</t>
  </si>
  <si>
    <t>Help Serviços Montagens e Soluções Industriais - Eireli</t>
  </si>
  <si>
    <t>08747087000177</t>
  </si>
  <si>
    <t>Tumpex Empresa Amazonense de Coleta de Lixo LTDA</t>
  </si>
  <si>
    <t>34485243000189</t>
  </si>
  <si>
    <t>Sete Comercio e Serviços de Pneus LTDA</t>
  </si>
  <si>
    <t>10370780000115</t>
  </si>
  <si>
    <t>11620 Hermasa Navegação da Amazônia Ltda - Estaleiro</t>
  </si>
  <si>
    <t>84590892000975</t>
  </si>
  <si>
    <t>Souza Montagem e Locação Ltda - ME</t>
  </si>
  <si>
    <t>21681726000107</t>
  </si>
  <si>
    <t>Rota Comércio e Transporte de Combustiveis Ltda</t>
  </si>
  <si>
    <t>22891608000196</t>
  </si>
  <si>
    <t>NorteBag Industria de Embalagens Eireli</t>
  </si>
  <si>
    <t>05399071000122</t>
  </si>
  <si>
    <t>Construtora Savassi Eireli</t>
  </si>
  <si>
    <t>03952190000135</t>
  </si>
  <si>
    <t>Metalma da Amazonia Ltda</t>
  </si>
  <si>
    <t>06207412000183</t>
  </si>
  <si>
    <t>JC de Oliveira Filho Construções e Terraplanagens Eirell</t>
  </si>
  <si>
    <t>32137147000114</t>
  </si>
  <si>
    <t>M. de Fátima Santiago (Arte Tubos)</t>
  </si>
  <si>
    <t>06866037000183</t>
  </si>
  <si>
    <t>D.D. Incorporações Imobiliárias Ltda</t>
  </si>
  <si>
    <t>09212963000123</t>
  </si>
  <si>
    <t>Bringer do Brasil Agenciamento de Cargas Nacionais e Internacionais Ltda</t>
  </si>
  <si>
    <t>94001641000104</t>
  </si>
  <si>
    <t>11630 White Solder da Amazônia Ltda</t>
  </si>
  <si>
    <t>04799871000178</t>
  </si>
  <si>
    <t>Portela Auto Posto Ltda</t>
  </si>
  <si>
    <t>26588399000167</t>
  </si>
  <si>
    <t>Makro Atacadista S.A</t>
  </si>
  <si>
    <t>47427653000468</t>
  </si>
  <si>
    <t>Pousada de Pesca Esportiva Sucunduri Ltda</t>
  </si>
  <si>
    <t>32172921000128</t>
  </si>
  <si>
    <t>Wandesson Souza Silva (SegControl)</t>
  </si>
  <si>
    <t>23176377000100</t>
  </si>
  <si>
    <t>11635 Electrolux do Brasil S/A</t>
  </si>
  <si>
    <t>76487032005437</t>
  </si>
  <si>
    <t>Shizen Veiculos Ltda</t>
  </si>
  <si>
    <t>02518679000130</t>
  </si>
  <si>
    <t>Beira Alta Industrial Ltda</t>
  </si>
  <si>
    <t>01481603000115</t>
  </si>
  <si>
    <t>Carboxi - Indústria e Comércio de Gases Ltda</t>
  </si>
  <si>
    <t>05914165000192</t>
  </si>
  <si>
    <t>Du Nort Comericio de Veículos Ltda</t>
  </si>
  <si>
    <t>32137508000122</t>
  </si>
  <si>
    <t>Vip Bauru Serviços e Locação de Mao de Obras Ltda</t>
  </si>
  <si>
    <t>5030939000112</t>
  </si>
  <si>
    <t>Toka da Karol Materiais de Contrrução Ltda</t>
  </si>
  <si>
    <t>84463918000167</t>
  </si>
  <si>
    <t>Centro Educacional Risque e Rabisque Ltda</t>
  </si>
  <si>
    <t>24544062000122</t>
  </si>
  <si>
    <t>11643 Daikin Ar Condicionado Amazonas Ltda</t>
  </si>
  <si>
    <t>18073380000150</t>
  </si>
  <si>
    <t>Intermodal Brasil Logística Ltda - IBL</t>
  </si>
  <si>
    <t>3558055000533</t>
  </si>
  <si>
    <t>Condomínio do Edificio Vieiralves Business Center</t>
  </si>
  <si>
    <t>10392754000198</t>
  </si>
  <si>
    <t>Weg Amazônia S/A</t>
  </si>
  <si>
    <t>06303603000149</t>
  </si>
  <si>
    <t>Águas Claras Serviços e Transportes Marítimos LTDA</t>
  </si>
  <si>
    <t>4518968000165</t>
  </si>
  <si>
    <t>Petrorep Servicos e Representacoes Ltda</t>
  </si>
  <si>
    <t>11922312000179</t>
  </si>
  <si>
    <t>Geo Strauss Engenharia de Fundações Da Amazônia Ltda</t>
  </si>
  <si>
    <t>9140647000193</t>
  </si>
  <si>
    <t>GBR Componentes da Amazônia Ltda</t>
  </si>
  <si>
    <t>5370795000143</t>
  </si>
  <si>
    <t>Gurguel Transportes Ltda</t>
  </si>
  <si>
    <t>4913173000151</t>
  </si>
  <si>
    <t>11653 Boreo Indústria de Componentes Eletrônicos Ltda</t>
  </si>
  <si>
    <t>25096598000195</t>
  </si>
  <si>
    <t>Electrolux do Brasil S.A (Djalma)</t>
  </si>
  <si>
    <t>76487032004546</t>
  </si>
  <si>
    <t>Cimara Ozorio de Brito (Laboratório AudiFono)</t>
  </si>
  <si>
    <t>16623152000180</t>
  </si>
  <si>
    <t>Bioete da Amazonia LTDA</t>
  </si>
  <si>
    <t>30317591000196</t>
  </si>
  <si>
    <t>UNIK Medicina e Segurança do Trabalho Ltda</t>
  </si>
  <si>
    <t>21616761000142</t>
  </si>
  <si>
    <t>Coral Empreendimentos Imobiliários Ltda</t>
  </si>
  <si>
    <t>10348152000303</t>
  </si>
  <si>
    <t>Administração de Bens de Infraestrutura S.A</t>
  </si>
  <si>
    <t>10701088000637</t>
  </si>
  <si>
    <t>Transale Transportadora Ale Ltda</t>
  </si>
  <si>
    <t>05511290000151</t>
  </si>
  <si>
    <t>Oliva Pinto Logistica Ltda</t>
  </si>
  <si>
    <t>07374179000196</t>
  </si>
  <si>
    <t>Condominio Residencial Paradise Lake</t>
  </si>
  <si>
    <t>23590594000133</t>
  </si>
  <si>
    <t>Guascor do Brasil LTDA</t>
  </si>
  <si>
    <t>01676897002427</t>
  </si>
  <si>
    <t>Nell Engenharia Eireli</t>
  </si>
  <si>
    <t>08596794000100</t>
  </si>
  <si>
    <t>Jabil Industrial do Brasil Ltda - TQT - 04.898.857.0001-21</t>
  </si>
  <si>
    <t>04898857000121</t>
  </si>
  <si>
    <t>White Solder Metalurgica e Mineração Ltda</t>
  </si>
  <si>
    <t>04107120000143</t>
  </si>
  <si>
    <t>CR Obras da Construção Ltda</t>
  </si>
  <si>
    <t>01756239000159</t>
  </si>
  <si>
    <t>Crown Embalagens Metálicas da Amazânia S/A</t>
  </si>
  <si>
    <t>33174335000185</t>
  </si>
  <si>
    <t>11670 Escola Internacional do Amazonas Ltda</t>
  </si>
  <si>
    <t>07549572000173</t>
  </si>
  <si>
    <t>Amatura Empreendimentos Imobiliários Ltda</t>
  </si>
  <si>
    <t>32039850000270</t>
  </si>
  <si>
    <t>Escavatec Aluguel de Maquinas e Equipamentes Ltda</t>
  </si>
  <si>
    <t>07122726000146</t>
  </si>
  <si>
    <t>Plasticos Manaus Ltda</t>
  </si>
  <si>
    <t>34553677000179</t>
  </si>
  <si>
    <t>Callidus Industria, Comercio e Serviços de Placas e Componentes de Indormática S.A.</t>
  </si>
  <si>
    <t>08258870000177</t>
  </si>
  <si>
    <t>Instituto de Tecnologia e Biotecnologia do Amazonas</t>
  </si>
  <si>
    <t>29093966000100</t>
  </si>
  <si>
    <t>New Mecânica Serviços Automotivos Ltda</t>
  </si>
  <si>
    <t>26179212000171</t>
  </si>
  <si>
    <t>Alves e Amorim Comércio de Veiculos Ltda (Pedragon)</t>
  </si>
  <si>
    <t>10638915000180</t>
  </si>
  <si>
    <t>Procuradoria Geral de Justiça do Estado do Amazonas (Ministério Público)</t>
  </si>
  <si>
    <t>04153748000185</t>
  </si>
  <si>
    <t>Mega Pack Plasticos S.A (Filial)</t>
  </si>
  <si>
    <t>19631376000203</t>
  </si>
  <si>
    <t>Condominio Conquista Torquato Tapajós</t>
  </si>
  <si>
    <t>32921539000170</t>
  </si>
  <si>
    <t>Procargo Serviços de Administração de Empresas Ltda</t>
  </si>
  <si>
    <t>07142861000153</t>
  </si>
  <si>
    <t>Assoc. Adv. Norte Brasileira de Prevenção e Assistência a Saúde (Hospital Adventista de Manaus)</t>
  </si>
  <si>
    <t>83367342000767</t>
  </si>
  <si>
    <t>11683 Super Terminais Comércio e Indústria Ltda</t>
  </si>
  <si>
    <t>04335535000255</t>
  </si>
  <si>
    <t>José Leandro da Costa da Lima (JJ Climatização)</t>
  </si>
  <si>
    <t>28735927000199</t>
  </si>
  <si>
    <t>Powertech Engenharia Serviços e Locações de Geradores de Energia, Máquinas e Equipamentos S.A</t>
  </si>
  <si>
    <t>12302292000368</t>
  </si>
  <si>
    <t>Residenza Empreendimentos Imobiliários Ltda</t>
  </si>
  <si>
    <t>10374558000190</t>
  </si>
  <si>
    <t>W.H.B do Brasil Ltda</t>
  </si>
  <si>
    <t>01111039000491</t>
  </si>
  <si>
    <t>Primeira Igreja Batista da Restauração em Manaus</t>
  </si>
  <si>
    <t>63693576000100</t>
  </si>
  <si>
    <t>VP Flexgen (Brazil) SPE Ltda (BORBA)</t>
  </si>
  <si>
    <t>28231767000655</t>
  </si>
  <si>
    <t>VP Flexgen (Brazil) SPE Ltda - (NOVA OLINDA)</t>
  </si>
  <si>
    <t>28231767000221</t>
  </si>
  <si>
    <t>VP Flexgen (Brazil) SPE Ltda - (AUTAZES)</t>
  </si>
  <si>
    <t>28231767000302</t>
  </si>
  <si>
    <t>PR Construções e Terraplanagem Ltda</t>
  </si>
  <si>
    <t>84496033000164</t>
  </si>
  <si>
    <t>Genesis Administração de Bens Ltda
 (Scórpios da Amazônia)</t>
  </si>
  <si>
    <t>35978752000106</t>
  </si>
  <si>
    <t>Porto do Cimento e Navegação Eirili</t>
  </si>
  <si>
    <t>07104898000197</t>
  </si>
  <si>
    <t>Radio TV do Amazonas Ltda</t>
  </si>
  <si>
    <t>04387825000161</t>
  </si>
  <si>
    <t>Masseg Transportes e Assessoria Ltda</t>
  </si>
  <si>
    <t>05158534000164</t>
  </si>
  <si>
    <t>Impram - Impressora Amazonense Ltda</t>
  </si>
  <si>
    <t>04755065000106</t>
  </si>
  <si>
    <t>Edifer Comercio e Representações Ltda (Industria Plástica de Manaus)</t>
  </si>
  <si>
    <t>63706089000126</t>
  </si>
  <si>
    <t>OZN Health Spe S.A</t>
  </si>
  <si>
    <t>18080368000172</t>
  </si>
  <si>
    <t>Sodecia da Amazonia Ltda</t>
  </si>
  <si>
    <t>02422460000133</t>
  </si>
  <si>
    <t>Maikom Medeiros de Oliveira (MM Engenharia)</t>
  </si>
  <si>
    <t>22305182000141</t>
  </si>
  <si>
    <t>11703 Compar Companhia Paraense de Refrigerantes Belem</t>
  </si>
  <si>
    <t>Mais Vida Clinica Médica e Corretora de Seguro Eireli</t>
  </si>
  <si>
    <t>28726734000171</t>
  </si>
  <si>
    <t>Gree Electric Appliances do Brasil Ltda</t>
  </si>
  <si>
    <t>03519135000156</t>
  </si>
  <si>
    <t>Água Pura Serviços de Analises Tecnicas Ltda</t>
  </si>
  <si>
    <t>02809871000186</t>
  </si>
  <si>
    <t>Infrutas Indústria de Frutas da Amazônia S/A</t>
  </si>
  <si>
    <t>02951316000194</t>
  </si>
  <si>
    <t>Manauara IV Empreendimento Imobiliários SPE Ltda (Direcional)</t>
  </si>
  <si>
    <t>24396084000192</t>
  </si>
  <si>
    <t>11709 Coimpa Industrial LTDA</t>
  </si>
  <si>
    <t>04222428000130</t>
  </si>
  <si>
    <t>Comserviço LTDA</t>
  </si>
  <si>
    <t>03552884000185</t>
  </si>
  <si>
    <t>Arris Industria Eletronica do Brasil LTDA</t>
  </si>
  <si>
    <t>09154836000115</t>
  </si>
  <si>
    <t>Emops Controle Ambiental Eireli</t>
  </si>
  <si>
    <t>08014539000101</t>
  </si>
  <si>
    <t>Psicovida Clínica de Psicologia Ltda ME</t>
  </si>
  <si>
    <t>12563691000110</t>
  </si>
  <si>
    <t>Grafisa Grafica e Editora LTDA</t>
  </si>
  <si>
    <t>03633502000148</t>
  </si>
  <si>
    <t>Condomínio Splendore Confort Residence</t>
  </si>
  <si>
    <t>28679493000157</t>
  </si>
  <si>
    <t>Marcia Batista da Silva</t>
  </si>
  <si>
    <t>00077807588268</t>
  </si>
  <si>
    <t>Elson Francisco Torres Rivorêdo</t>
  </si>
  <si>
    <t>31020720204</t>
  </si>
  <si>
    <t>Guascor do Brasil LTDA - Pará</t>
  </si>
  <si>
    <t>01676897000211</t>
  </si>
  <si>
    <t>JF Serviços</t>
  </si>
  <si>
    <t>09508073000163</t>
  </si>
  <si>
    <t>Infotec Consultoria e Planejamento LTDA</t>
  </si>
  <si>
    <t>29884632000147</t>
  </si>
  <si>
    <t>Purissima da Amazonia, Industria e Comercio de Agua e Ceramica Ltda</t>
  </si>
  <si>
    <t>10907534000230</t>
  </si>
  <si>
    <t>Jomaga Participações LTDA</t>
  </si>
  <si>
    <t>04606250001607</t>
  </si>
  <si>
    <t>Wild Amazon Flavors Concentrados e Corantes para Bebidas LTDA</t>
  </si>
  <si>
    <t>07540217000133</t>
  </si>
  <si>
    <t>Incinere Resíduos LTDA</t>
  </si>
  <si>
    <t>17475314000143</t>
  </si>
  <si>
    <t>Manoel de Jesus Vieira de Araujo - Saniete</t>
  </si>
  <si>
    <t>15539911000169</t>
  </si>
  <si>
    <t>Indústria de Papel Sovel da Amazônia Ltda</t>
  </si>
  <si>
    <t>15774508000114</t>
  </si>
  <si>
    <t>Sovel da Amazônia Ltda</t>
  </si>
  <si>
    <t>04278669000109</t>
  </si>
  <si>
    <t>Cond. Residencial Eldorado Park Torre Inka</t>
  </si>
  <si>
    <t>07505216000158</t>
  </si>
  <si>
    <t>A. W Faber - Castell Amazonia S.A</t>
  </si>
  <si>
    <t>07656227000139</t>
  </si>
  <si>
    <t>E M Bastos da Silva e Silva Engenharia LTDA</t>
  </si>
  <si>
    <t>35763173000146</t>
  </si>
  <si>
    <t>Amazonia Cabo LTDA</t>
  </si>
  <si>
    <t>02311604000184</t>
  </si>
  <si>
    <t>Guascor do Brasil LTDA - Rio Branco</t>
  </si>
  <si>
    <t>01676897000483</t>
  </si>
  <si>
    <t>Gagliardi Norte Distribuidora de Lubrificantes LTDA</t>
  </si>
  <si>
    <t>12742655000114</t>
  </si>
  <si>
    <t>HCS Mota e Cia Ltda - HC Transporte</t>
  </si>
  <si>
    <t>07764398000181</t>
  </si>
  <si>
    <t>11736 Nansen Instrumentos de Precisão LTDA</t>
  </si>
  <si>
    <t>17155276000575</t>
  </si>
  <si>
    <t>Kinglog Transportes Multimodais LTDA</t>
  </si>
  <si>
    <t>26002003000158</t>
  </si>
  <si>
    <t>Aliança Serviços de Edificações e Trans. LTDA</t>
  </si>
  <si>
    <t>06044947000180</t>
  </si>
  <si>
    <t>CST Engenharia LTDA</t>
  </si>
  <si>
    <t>16958792000141</t>
  </si>
  <si>
    <t>Washington Feitosa</t>
  </si>
  <si>
    <t>00071200304268</t>
  </si>
  <si>
    <t>L B BARROS COM DE ELETROELETRONICOS EIRELI</t>
  </si>
  <si>
    <t>08832601000172</t>
  </si>
  <si>
    <t>TS Serviços, Transporte e Logística Ltda</t>
  </si>
  <si>
    <t>10892021000112</t>
  </si>
  <si>
    <t>Personality Treinament e Desenv. Profissional LTDA</t>
  </si>
  <si>
    <t>14343914000160</t>
  </si>
  <si>
    <t>FIH do Brasil Industria e Comercio de Eletronicos LTDA</t>
  </si>
  <si>
    <t>04009604000150</t>
  </si>
  <si>
    <t>Frooty Comércio e Indústria de Alimentos S.A</t>
  </si>
  <si>
    <t>68093095001060</t>
  </si>
  <si>
    <t>P D M de Santiago Serviços</t>
  </si>
  <si>
    <t>21426966000165</t>
  </si>
  <si>
    <t>11748 EMAM - Emulsões e Transportes LTDA</t>
  </si>
  <si>
    <t>04420916000151</t>
  </si>
  <si>
    <t>11749 LSL Transportes da Amazônia Ltda</t>
  </si>
  <si>
    <t>21026335000159</t>
  </si>
  <si>
    <t>Elsys Equipamentos Eletrônicos LTDA</t>
  </si>
  <si>
    <t>34484188000102</t>
  </si>
  <si>
    <t>Clinica Master Saúde</t>
  </si>
  <si>
    <t>18422079000104</t>
  </si>
  <si>
    <t>R&amp;J Consultoria</t>
  </si>
  <si>
    <t>23075584000160</t>
  </si>
  <si>
    <t>MRV Engenharia e Participações S.A</t>
  </si>
  <si>
    <t>08343492061005</t>
  </si>
  <si>
    <t>Aslan Curso de Idiomas LTDA</t>
  </si>
  <si>
    <t>12403015000422</t>
  </si>
  <si>
    <t>11755 TCL SEMP Indústria e Comércio de Condicionadores de Ar S.A</t>
  </si>
  <si>
    <t>26794410000145</t>
  </si>
  <si>
    <t>11756 Elgin Industrial da Amazônia Ltda</t>
  </si>
  <si>
    <t>14200166000166</t>
  </si>
  <si>
    <t>Conselho Regional de Enfermagem do Amazonas</t>
  </si>
  <si>
    <t>04667846000130</t>
  </si>
  <si>
    <t>Fenix Industria de Ceramicas e artefatos LTDA</t>
  </si>
  <si>
    <t>04382781000187</t>
  </si>
  <si>
    <t>VP FLEXGEN BRAZIL SPE LTDA - HUMAITA</t>
  </si>
  <si>
    <t>28231767000574</t>
  </si>
  <si>
    <t>TST José Emiliano da Silva</t>
  </si>
  <si>
    <t>00063597330215</t>
  </si>
  <si>
    <t>BDA Serviços em construção e Comercio EIRELI</t>
  </si>
  <si>
    <t>17010074000101</t>
  </si>
  <si>
    <t>Procter e Gamble do Brasil S.A - Rio Solimões</t>
  </si>
  <si>
    <t>59476770000158</t>
  </si>
  <si>
    <t>Francilene Mendonça da Silva (Marajoara)</t>
  </si>
  <si>
    <t>31785469000107</t>
  </si>
  <si>
    <t>Jr Comércio de Artefatos Metálicos Ltda</t>
  </si>
  <si>
    <t>09565801000179</t>
  </si>
  <si>
    <t>Auto Post Ozival XI ( Grupo Oziel Mustafa)</t>
  </si>
  <si>
    <t>04643904001168</t>
  </si>
  <si>
    <t>Glayciane Sabino Laranjeira</t>
  </si>
  <si>
    <t>68872410215</t>
  </si>
  <si>
    <t>Emam Logistica LTDA</t>
  </si>
  <si>
    <t>11105987000125</t>
  </si>
  <si>
    <t>11768 Intelbras S.A Ind. De Telecomunicação Eletrônica Brasileira</t>
  </si>
  <si>
    <t>82901000001522</t>
  </si>
  <si>
    <t>Hitachi Astemo Manaus Chassis Systens LTDA (Showa)</t>
  </si>
  <si>
    <t>Engenheira Carolina</t>
  </si>
  <si>
    <t>Amazon Aço Indústria e Comércio LTDA</t>
  </si>
  <si>
    <t>05477207000175</t>
  </si>
  <si>
    <t>Navegação Cunha LTDA - MAO</t>
  </si>
  <si>
    <t>04616801000137</t>
  </si>
  <si>
    <t>11774 Zilia Technologies Industria e Comércio de Componentes Eletrônicos LTDA</t>
  </si>
  <si>
    <t>11576445000211</t>
  </si>
  <si>
    <t>VP Flexgen (Brazil) SPE Ltda - São Gabriel da Cachoeira</t>
  </si>
  <si>
    <t>28231767000493</t>
  </si>
  <si>
    <t>SMX Agroindustrial Ltda</t>
  </si>
  <si>
    <t>05399225000186</t>
  </si>
  <si>
    <t>Francisco Afonso de Souza – EPP</t>
  </si>
  <si>
    <t>04763698000158</t>
  </si>
  <si>
    <t>La Rondine Indústria e Comércio de Embalagens Ltda</t>
  </si>
  <si>
    <t>04176315000145</t>
  </si>
  <si>
    <t>Sociedade Porvir Cientifico (La Salle)</t>
  </si>
  <si>
    <t>92741990004124</t>
  </si>
  <si>
    <t>Amazon Etiquetas Indústria e Comércio Ltda</t>
  </si>
  <si>
    <t>03486616000148</t>
  </si>
  <si>
    <t>Engenheiro Marivaldo</t>
  </si>
  <si>
    <t>GD Santos</t>
  </si>
  <si>
    <t>Tuboaços da Amazônia LTDA</t>
  </si>
  <si>
    <t>05236056000163</t>
  </si>
  <si>
    <t>Apis Floresta Produtos Apicolos LTDA</t>
  </si>
  <si>
    <t>84664937000151</t>
  </si>
  <si>
    <t>Tim Live Manaus</t>
  </si>
  <si>
    <t>02421421003137</t>
  </si>
  <si>
    <t>Dipon Gás</t>
  </si>
  <si>
    <t>01506543000148</t>
  </si>
  <si>
    <t>JDS Serviços de Estrutura Metálica Ltda</t>
  </si>
  <si>
    <t>09502722000119</t>
  </si>
  <si>
    <t>CNN – Cia Norte de Navegação</t>
  </si>
  <si>
    <t>14160269000140</t>
  </si>
  <si>
    <t>Speed Transporte Multimodal de Cargas Limitada</t>
  </si>
  <si>
    <t>31145051000135</t>
  </si>
  <si>
    <t>Serviço Nacional de Aprendizagem - SENAI</t>
  </si>
  <si>
    <t>03795071001350</t>
  </si>
  <si>
    <t xml:space="preserve">11791 Terminal Portuário Novo Remanso S/A </t>
  </si>
  <si>
    <t>13999991000100</t>
  </si>
  <si>
    <t>Masa Indústria de Plásticos da Amazônia Ltda</t>
  </si>
  <si>
    <t>31303127000103</t>
  </si>
  <si>
    <t>Allan Kardec Bandeira de Melo Filho</t>
  </si>
  <si>
    <t>Alterosa Empreendimentos Imobiliários Ltda</t>
  </si>
  <si>
    <t>28014788000376</t>
  </si>
  <si>
    <t>Nascseg Assessoria e Consultoria Empresarial</t>
  </si>
  <si>
    <t>11993348000143</t>
  </si>
  <si>
    <t>Frigorífico Rio Maria Ltda</t>
  </si>
  <si>
    <t>04749233000142</t>
  </si>
  <si>
    <t>Marthina S da Costa Serviços</t>
  </si>
  <si>
    <t>29616375000162</t>
  </si>
  <si>
    <t xml:space="preserve">BP Serviços de Esterilização SPE S.A´- Matriz </t>
  </si>
  <si>
    <t>21821773000109</t>
  </si>
  <si>
    <t>Biopulos Com. e Rep. de Medicamentos e Serviços de Equipamentos Medico-Hospitalares Ltda</t>
  </si>
  <si>
    <t>08992424000191</t>
  </si>
  <si>
    <t>Civilcorp Icorporações LTDA - Residencial Morada dos Passaros</t>
  </si>
  <si>
    <t>03187301000164</t>
  </si>
  <si>
    <t>11801 Positivo Tecnologia S.A</t>
  </si>
  <si>
    <t>81243735001977</t>
  </si>
  <si>
    <t>Foco Agencia de Cargas LTDA</t>
  </si>
  <si>
    <t>07784967000401</t>
  </si>
  <si>
    <t>Petrobras Distribuidora S.A - BARAC</t>
  </si>
  <si>
    <t>34274233014588</t>
  </si>
  <si>
    <t>Marcos José Miiler</t>
  </si>
  <si>
    <t>00001655364111</t>
  </si>
  <si>
    <t>11805 FIT Instituto de Tecnologia da Amazonia</t>
  </si>
  <si>
    <t>28494214000180</t>
  </si>
  <si>
    <t>Serv. Autonomo de Água e Esgoto de Itacoatiara</t>
  </si>
  <si>
    <t>04320180000140</t>
  </si>
  <si>
    <t>Dafra da Amazonia Ind. De Com de Motocicletas LTDA</t>
  </si>
  <si>
    <t>08322908000123</t>
  </si>
  <si>
    <t>Elcoa Industria e Comércio LTDA</t>
  </si>
  <si>
    <t>02782499000242</t>
  </si>
  <si>
    <t>Ocupacional Safety Serviços Medicos Amb.</t>
  </si>
  <si>
    <t>22568408000105</t>
  </si>
  <si>
    <t>Residencial Villa Poupex</t>
  </si>
  <si>
    <t>11040225000198</t>
  </si>
  <si>
    <t>11811 Valgroup AM Indústria de Embalagens Flexiveis LTDA</t>
  </si>
  <si>
    <t>04807608000183</t>
  </si>
  <si>
    <t>Vista Serrana Empreendimentos Imobiliarios LTDA</t>
  </si>
  <si>
    <t>31259382000287</t>
  </si>
  <si>
    <t>Município de Pindaré</t>
  </si>
  <si>
    <t>06189344000177</t>
  </si>
  <si>
    <t>Chibatão Navegação e Comércio LTDA - Alfandegado</t>
  </si>
  <si>
    <t>84098383000172</t>
  </si>
  <si>
    <t>Mais Proteção Santarem</t>
  </si>
  <si>
    <t>Felipe Ricardo Oliveira Alencar - Everest Consultoria</t>
  </si>
  <si>
    <t>35599255000105</t>
  </si>
  <si>
    <t>Roberto Wag Chen</t>
  </si>
  <si>
    <t>Françoise Paloma Mamede</t>
  </si>
  <si>
    <t>00051535556234</t>
  </si>
  <si>
    <t>Pinheiro e Rodrigues LTDA - Frigorifico de Pescado da Am</t>
  </si>
  <si>
    <t>84488170000157</t>
  </si>
  <si>
    <t>11820 Itacol Com e Serv. De Material de Construção LTDA</t>
  </si>
  <si>
    <t>01426994000175</t>
  </si>
  <si>
    <t>CONTROL AMB. SUSTENTABILIDADE E MEIO AMBIENTE S.A</t>
  </si>
  <si>
    <t>10550896000721</t>
  </si>
  <si>
    <t>Alcance Transportes LTDA</t>
  </si>
  <si>
    <t>02149109000544</t>
  </si>
  <si>
    <t>Nort Tech Serviços em Energia LTDA</t>
  </si>
  <si>
    <t>33822061000436</t>
  </si>
  <si>
    <t>José Ribamar</t>
  </si>
  <si>
    <t>Kawasaki Motores Do Brasil Ltda</t>
  </si>
  <si>
    <t>Jucirley Rodrigues</t>
  </si>
  <si>
    <t>00056002696253</t>
  </si>
  <si>
    <t>Tercom Terraplanagem LTDA</t>
  </si>
  <si>
    <t>14198006000120</t>
  </si>
  <si>
    <t>Real Bebidas da Amazonia LTDA</t>
  </si>
  <si>
    <t>06990011000142</t>
  </si>
  <si>
    <t>Jesus Eduardo Barbosa Martins</t>
  </si>
  <si>
    <t>20191621000107</t>
  </si>
  <si>
    <t>Chibatão Navegação e Comércio LTDA - ATR</t>
  </si>
  <si>
    <t>84098383000687</t>
  </si>
  <si>
    <t>Chibatão Navegação e Comércio LTDA - Colonia</t>
  </si>
  <si>
    <t>84098383000415</t>
  </si>
  <si>
    <t>J. F. De Oliveira Navegação LTDA - Ceasa</t>
  </si>
  <si>
    <t>22797070000155</t>
  </si>
  <si>
    <t>11833 FW Serviços e Manutenção Elétrica LTDA</t>
  </si>
  <si>
    <t>18568875000150</t>
  </si>
  <si>
    <t>Chistiano Queiroz da Costa EIRELI</t>
  </si>
  <si>
    <t>36209499000199</t>
  </si>
  <si>
    <t>Arosuco Aromas e Sucos LTDA - Cerv da Amazônia</t>
  </si>
  <si>
    <t>03134910000236</t>
  </si>
  <si>
    <t>Cerâmica Manauara LTDA</t>
  </si>
  <si>
    <t>05564611000186</t>
  </si>
  <si>
    <t>Vega Manaus Transporte de Passageiros LTDA</t>
  </si>
  <si>
    <t>13928488000163</t>
  </si>
  <si>
    <t>Federal Mogul Industria de Autopeças LTDA</t>
  </si>
  <si>
    <t>09241710000188</t>
  </si>
  <si>
    <t>Erinete Valentim Jeronimo</t>
  </si>
  <si>
    <t>00047476737253</t>
  </si>
  <si>
    <t>Alfaprint Derpac Industria Gráfica LTDA</t>
  </si>
  <si>
    <t>03645131000114</t>
  </si>
  <si>
    <t>Condominio Solar dos Franceses</t>
  </si>
  <si>
    <t>17002943000156</t>
  </si>
  <si>
    <t>Cal-Comp Indústria e Comércio de Eletrônicos e Informática LTDA</t>
  </si>
  <si>
    <t>07200194000118</t>
  </si>
  <si>
    <t>Condominio Residencial Portugal</t>
  </si>
  <si>
    <t>08939052000130</t>
  </si>
  <si>
    <t>Vivante Norte S.A</t>
  </si>
  <si>
    <t>04647470000100</t>
  </si>
  <si>
    <t>Jessica Silva de Castro</t>
  </si>
  <si>
    <t>00002209989221</t>
  </si>
  <si>
    <t>CONTERMA ENERGIA EIRELI EPP</t>
  </si>
  <si>
    <t>06635157000250</t>
  </si>
  <si>
    <t>Tae Yang do Brasil Ind e Com de Injeção Plastica LTDA</t>
  </si>
  <si>
    <t>14675968000122</t>
  </si>
  <si>
    <t>White Martins Gases Ind. do Norte LTDA</t>
  </si>
  <si>
    <t>34597955000432</t>
  </si>
  <si>
    <t>SC Bueno LTDA - Compol</t>
  </si>
  <si>
    <t>17290530000114</t>
  </si>
  <si>
    <t>11851 Frank Abilio Andrade de Souza</t>
  </si>
  <si>
    <t>12613366000115</t>
  </si>
  <si>
    <t>Leandro Manoel Beiga</t>
  </si>
  <si>
    <t>24219136000155</t>
  </si>
  <si>
    <t>R H E Empreendimentos Imobiliarios LTDA - 
Hiroshi Nakatani</t>
  </si>
  <si>
    <t>42841455000180</t>
  </si>
  <si>
    <t>Derjam Rocha de Oliveira Ltda</t>
  </si>
  <si>
    <t>42381927000169</t>
  </si>
  <si>
    <t>Lima Consultoria e Assessoria Empresarial EIRELLI</t>
  </si>
  <si>
    <t>27874531000160</t>
  </si>
  <si>
    <t>Vila Olimpia Empreendimentos Imobiliários Ltda</t>
  </si>
  <si>
    <t>40036230000125</t>
  </si>
  <si>
    <t>11857 Alex Rojas Salvioni - Globo da Amazônia</t>
  </si>
  <si>
    <t>05167811000103</t>
  </si>
  <si>
    <t>SABOR DE CHEF INDUSTRIA DE PRODUTOS ALIMENTICIOS LTDA</t>
  </si>
  <si>
    <t>40072752000182</t>
  </si>
  <si>
    <t>Canaã Infinity Assistencial e Serviço Funerário Ltda</t>
  </si>
  <si>
    <t>30045646000156</t>
  </si>
  <si>
    <t>Silvaclin Clinica em Medicina do Trabalho Ltda</t>
  </si>
  <si>
    <t>14515700000123</t>
  </si>
  <si>
    <t>Tecplam Indústria Eletrônica LTDA</t>
  </si>
  <si>
    <t>01775542000107</t>
  </si>
  <si>
    <t>Bridge Industria de Produtos Plásticos da Amazonia Ltda</t>
  </si>
  <si>
    <t>24352003000152</t>
  </si>
  <si>
    <t>TST Denilson</t>
  </si>
  <si>
    <t>Tx-Fuel Serviços de Apoio Administrativo e ao Comércio Eireli</t>
  </si>
  <si>
    <t>25337354000238</t>
  </si>
  <si>
    <t>Estrutura Comércio e Transportes de Asfalto Ltda</t>
  </si>
  <si>
    <t>35617510000197</t>
  </si>
  <si>
    <t>3R Material de Construção</t>
  </si>
  <si>
    <t>08082848000119</t>
  </si>
  <si>
    <t>Giese Silva de Digueiredo Costa - 
Cond. Villa dos Passaros</t>
  </si>
  <si>
    <t>00051391015215</t>
  </si>
  <si>
    <t>Messias Serviços</t>
  </si>
  <si>
    <t>Ravibrás Embalagens da Amazônia LTDA</t>
  </si>
  <si>
    <t>08658519000173</t>
  </si>
  <si>
    <t>Vanderleia Castro</t>
  </si>
  <si>
    <t>Clínica Saúde Para Todos Ltda</t>
  </si>
  <si>
    <t>40823576000173</t>
  </si>
  <si>
    <t>Nicel Comércio Importação e Repr. LTDA</t>
  </si>
  <si>
    <t>05326461000172</t>
  </si>
  <si>
    <t>AJ Ind. e Comércio de Metais LTDA</t>
  </si>
  <si>
    <t>08651435000108</t>
  </si>
  <si>
    <t>Engenheiro Paulo Sérgio</t>
  </si>
  <si>
    <t>11876 Benevides Águas S/A - BVB</t>
  </si>
  <si>
    <t>15887193000200</t>
  </si>
  <si>
    <t>11877 Compar Companhia Paraense de Refrigerantes - Ji Paraná</t>
  </si>
  <si>
    <t>04928297001930</t>
  </si>
  <si>
    <t>Dantas Trasportes</t>
  </si>
  <si>
    <t>Condominio Residencial do Bosque</t>
  </si>
  <si>
    <t>39742470000166</t>
  </si>
  <si>
    <t>11 880 Compalead Eletrônica do Brasil Indústria e Comércio LTDA</t>
  </si>
  <si>
    <t>10142624000369</t>
  </si>
  <si>
    <t>Porto Franco Empreendimentos Imobiliarios LTDA</t>
  </si>
  <si>
    <t>32583093000200</t>
  </si>
  <si>
    <t>Guilherme Caliri</t>
  </si>
  <si>
    <t>A M P Pereira Assessoria - Engetrab Comércio e Consultoria</t>
  </si>
  <si>
    <t>25079800000170</t>
  </si>
  <si>
    <t>Engenheiro João Bosco</t>
  </si>
  <si>
    <t>AMO Assessoria em Medicina Ocupacional</t>
  </si>
  <si>
    <t>40710471000108</t>
  </si>
  <si>
    <t>Marcus Guerra Junior</t>
  </si>
  <si>
    <t>Ambipar Response Control Environ Consulting S/A</t>
  </si>
  <si>
    <t>10550896000136</t>
  </si>
  <si>
    <t>Três Corações Alimentos S/A</t>
  </si>
  <si>
    <t>63310411003461</t>
  </si>
  <si>
    <t>Jumara Pinho Maciel - Flutuante SUP Amazonas</t>
  </si>
  <si>
    <t>43275286000120</t>
  </si>
  <si>
    <t>RD-Tronics Industria e Comercio de Componentes Eletrônicos Ltda</t>
  </si>
  <si>
    <t>38315730000154</t>
  </si>
  <si>
    <t>CDC Empreendimentos Ltda</t>
  </si>
  <si>
    <t>84524842000132</t>
  </si>
  <si>
    <t>Matprim Solutions Fabricação de Refrescos Concentrados LTDA</t>
  </si>
  <si>
    <t>15383358000118</t>
  </si>
  <si>
    <t>Ambientallix Soluções em Resíduos LTDA</t>
  </si>
  <si>
    <t>15062166000100</t>
  </si>
  <si>
    <t>Carboquimica da Amazônia LTDA</t>
  </si>
  <si>
    <t>04952792000155</t>
  </si>
  <si>
    <t>Monica Maricaua Carvalho</t>
  </si>
  <si>
    <t>00000500809208</t>
  </si>
  <si>
    <t>Ana Claudia Oliveira da Silva - CASST</t>
  </si>
  <si>
    <t>37742768000140</t>
  </si>
  <si>
    <t>I 3 M Engenharia LTDA</t>
  </si>
  <si>
    <t>05526543000160</t>
  </si>
  <si>
    <t>Saquarema Empreendimentos Imobiliarios Ltda</t>
  </si>
  <si>
    <t>31259563000203</t>
  </si>
  <si>
    <t>Jaks Industria e Comercio de Papel Ltda</t>
  </si>
  <si>
    <t>05464685000140</t>
  </si>
  <si>
    <t>Clinica Popular do Amazonas Eireli</t>
  </si>
  <si>
    <t>32652662000132</t>
  </si>
  <si>
    <t>Thiago Kazuto Almeida Yamamoto</t>
  </si>
  <si>
    <t>00080486703215</t>
  </si>
  <si>
    <t>Moura Consulting Gestão de Segurança do Trabalho</t>
  </si>
  <si>
    <t>31269543000132</t>
  </si>
  <si>
    <t>Fundação Amazônia Sustentável</t>
  </si>
  <si>
    <t>09351359000188</t>
  </si>
  <si>
    <t>TSA Industria e Comércio de Peças e Serviços LTDA</t>
  </si>
  <si>
    <t>07652832000131</t>
  </si>
  <si>
    <t>Clinman Serviços de Saúde Ocupacional LTDA</t>
  </si>
  <si>
    <t>44100439000161</t>
  </si>
  <si>
    <t>11907 L.P L. de AraúJo Eireli</t>
  </si>
  <si>
    <t>31999124000156</t>
  </si>
  <si>
    <t>T Freitas da Silva</t>
  </si>
  <si>
    <t>27424057000174</t>
  </si>
  <si>
    <t>Natanael Viana da Silva - Econk Engenharia</t>
  </si>
  <si>
    <t>39229578000150</t>
  </si>
  <si>
    <t>Rubberon Ind, Com, Imp e Exportação S.A</t>
  </si>
  <si>
    <t>09641540000552</t>
  </si>
  <si>
    <t>11 911 J Cruz Industria de Bebidas LTDA - Matriz</t>
  </si>
  <si>
    <t>04398251000127</t>
  </si>
  <si>
    <t>Ana Stefanie da Costa Paiva Eirelli - Paiva Gestão Ambiental e de Segurança do Trabalho</t>
  </si>
  <si>
    <t>35634627000189</t>
  </si>
  <si>
    <t>Royal Pet Center Comércio Imp. e Exp. LTDA</t>
  </si>
  <si>
    <t>01015512000194</t>
  </si>
  <si>
    <t>Conveniencia Adrianopólis Comércio de Bebidas e Alimentos LTDA</t>
  </si>
  <si>
    <t>17101251000165</t>
  </si>
  <si>
    <t>ADS Transporte e Serviços</t>
  </si>
  <si>
    <t>25340362000152</t>
  </si>
  <si>
    <t>Caren Luana de Souza Assante - Overview Consultoria</t>
  </si>
  <si>
    <t>15787824000120</t>
  </si>
  <si>
    <t>Mercantil Nova Era LTDA - Santa Etelvina</t>
  </si>
  <si>
    <t>04240370001803</t>
  </si>
  <si>
    <t>Mercantil Nova Era LTDA - Cidade de Deus</t>
  </si>
  <si>
    <t>04240370003504</t>
  </si>
  <si>
    <t>Mercantil Nova Era LTDA - Crespo</t>
  </si>
  <si>
    <t>04240370003415</t>
  </si>
  <si>
    <t>Mercantil Nova Era LTDA- Tarumã-Açu</t>
  </si>
  <si>
    <t>04240370003334</t>
  </si>
  <si>
    <t>Mercantil Nova Era LTDA - Centro</t>
  </si>
  <si>
    <t>04240370003253</t>
  </si>
  <si>
    <t>Mercantil Nova Era LTDA - Novo Aleixo</t>
  </si>
  <si>
    <t>04240370003172</t>
  </si>
  <si>
    <t>Mercantil Nova Era LTDA - Santo Agostinho</t>
  </si>
  <si>
    <t>04240370003687</t>
  </si>
  <si>
    <t>Gabriela - Arimar</t>
  </si>
  <si>
    <t>Espantalhos Pneus LTDA</t>
  </si>
  <si>
    <t>02314882000357</t>
  </si>
  <si>
    <t>Tec Toy S.A - Filial</t>
  </si>
  <si>
    <t>22770366002207</t>
  </si>
  <si>
    <t>Debora Elaine Penteado -Aptamedi</t>
  </si>
  <si>
    <t>29293809000130</t>
  </si>
  <si>
    <t>K N S Batista Engenharia</t>
  </si>
  <si>
    <t>45682543000174</t>
  </si>
  <si>
    <t>Douglas Alessandro de Araújo - Daraujo Consultoria</t>
  </si>
  <si>
    <t>44026934000178</t>
  </si>
  <si>
    <t>Hitachi Astemo Manaus Brake Systems LTDA</t>
  </si>
  <si>
    <t>01771241000105</t>
  </si>
  <si>
    <t>IF Engenharia</t>
  </si>
  <si>
    <t>21921392000100</t>
  </si>
  <si>
    <t xml:space="preserve">Leonardo Wilson Souza </t>
  </si>
  <si>
    <t>Transnorte Logistica LTDA</t>
  </si>
  <si>
    <t>Coplast Indústria Química LTDA</t>
  </si>
  <si>
    <t xml:space="preserve"> 04672291000115</t>
  </si>
  <si>
    <t>SP Posto Comércio de Combustível para Veículos LTDA</t>
  </si>
  <si>
    <t>18234915000127</t>
  </si>
  <si>
    <t>Mecsam Serviços de Engenharia EIRELI</t>
  </si>
  <si>
    <t>HF Comércio de Máquinas e Equipamentos LTDA</t>
  </si>
  <si>
    <t>01038511000165</t>
  </si>
  <si>
    <t>Sylvio Pereira das Chagas Neto - SN Refrigeração</t>
  </si>
  <si>
    <t>Construtora Alcance LTDA</t>
  </si>
  <si>
    <t>03018149000196</t>
  </si>
  <si>
    <t>SP Restaurantes LTDA</t>
  </si>
  <si>
    <t>26277931000125</t>
  </si>
  <si>
    <t>Vitta Verdi Espaço de Festas LTDA</t>
  </si>
  <si>
    <t>32597044000137</t>
  </si>
  <si>
    <t>CENTRO DO ALUMINIO INDUSTRIA E COMERCIO DE FERRAGENS, FERRAMENTAS E MADEIRAS LTDA</t>
  </si>
  <si>
    <t>33906812000150</t>
  </si>
  <si>
    <t>Antonelly Construções e Serviços Eirelli</t>
  </si>
  <si>
    <t xml:space="preserve">Samel Serviços de Assistência Médico Hospitalar </t>
  </si>
  <si>
    <t xml:space="preserve">13383 C de S Amorim Engenharia </t>
  </si>
  <si>
    <t>43294413000139</t>
  </si>
  <si>
    <t>Nilton Lins - Prédio Acadêmico</t>
  </si>
  <si>
    <t>Reman Petrobras</t>
  </si>
  <si>
    <t>Brother</t>
  </si>
  <si>
    <t>08584308000133</t>
  </si>
  <si>
    <t>Cond. Maison</t>
  </si>
  <si>
    <t xml:space="preserve">Cervejaria Ambev - Maués </t>
  </si>
  <si>
    <t>ETN Soluções Ambientais</t>
  </si>
  <si>
    <t>18871441000124</t>
  </si>
  <si>
    <t>Prédio Ediman</t>
  </si>
  <si>
    <t>04.606.250/0016-07</t>
  </si>
  <si>
    <t>Magi Clean Serviços Prestados a Empresas LTDA</t>
  </si>
  <si>
    <t>29638209000167</t>
  </si>
  <si>
    <t>Home Center</t>
  </si>
  <si>
    <t>15.001.549/0001-78</t>
  </si>
  <si>
    <t>Cond. Rio Amazonas</t>
  </si>
  <si>
    <t>03208558000155</t>
  </si>
  <si>
    <t xml:space="preserve">NC Engenharia </t>
  </si>
  <si>
    <t>24784834000101</t>
  </si>
  <si>
    <t>RN Indústria e Comércio de Produtos Alimentícios LTDA - Negobom Padaria e Confeitaria</t>
  </si>
  <si>
    <t>63643191000120</t>
  </si>
  <si>
    <t>I. J. P. Farias - Seven Print</t>
  </si>
  <si>
    <t>16.631.344/0001-39</t>
  </si>
  <si>
    <t>Fábrica Virrosas LTDA</t>
  </si>
  <si>
    <t>04559019000123</t>
  </si>
  <si>
    <t>Azevedo Transportes LTDA</t>
  </si>
  <si>
    <t>84507920000190</t>
  </si>
  <si>
    <t xml:space="preserve">LVIEIRA ENGENHARIA E CONSULTORIA </t>
  </si>
  <si>
    <t>43424281000112</t>
  </si>
  <si>
    <t>Smart Service Assessoria e Treinamento</t>
  </si>
  <si>
    <t>35850573000199</t>
  </si>
  <si>
    <t>Azulão Geração de Energia</t>
  </si>
  <si>
    <t>30185130000450</t>
  </si>
  <si>
    <t>Felinto Neto</t>
  </si>
  <si>
    <t>MAM Participações e Contruções LTDA</t>
  </si>
  <si>
    <t>07423141000247</t>
  </si>
  <si>
    <t>13450 Clinica Saúde Manaus</t>
  </si>
  <si>
    <t>28.631.492/0001-32</t>
  </si>
  <si>
    <t>Viação São Pedro</t>
  </si>
  <si>
    <t>17256249000165</t>
  </si>
  <si>
    <t>Cunha e Correa LTDA</t>
  </si>
  <si>
    <t>15121216000182</t>
  </si>
  <si>
    <t>Sena Transporte e Comércio LTDA</t>
  </si>
  <si>
    <t>02516267000161</t>
  </si>
  <si>
    <t>Amazon Clean Serviços de Incineração LTDA</t>
  </si>
  <si>
    <t>04659617000174</t>
  </si>
  <si>
    <t>Inventus Power Eletrônica do Brasil LTDA</t>
  </si>
  <si>
    <t>00399541000134</t>
  </si>
  <si>
    <t>LPB Consultoria, Serviços e Construções Eirelli</t>
  </si>
  <si>
    <t>12565113000113</t>
  </si>
  <si>
    <t xml:space="preserve">Solutions 2 Go Do Brasil Industria, Comercio E Distribuicao Ltda -  Cupiuba </t>
  </si>
  <si>
    <t>07305913000165</t>
  </si>
  <si>
    <t xml:space="preserve">Mercantil Nova Era LTDA - Santo Antônio </t>
  </si>
  <si>
    <t>04.240.370/0007-42</t>
  </si>
  <si>
    <t>Mercantil Nova Era LTDA - Da Paz</t>
  </si>
  <si>
    <t>04240370001048</t>
  </si>
  <si>
    <t>Brothers Indústria de Alimentos LTDA</t>
  </si>
  <si>
    <t>Condomínio Residencial Rio Amazonas</t>
  </si>
  <si>
    <t>Condomínio Edifício Maison Noblesse</t>
  </si>
  <si>
    <t>Qualitech Indústria, Comércio e Representações LTDA</t>
  </si>
  <si>
    <t>04104523000139</t>
  </si>
  <si>
    <t>Sociedade Fogas LTDA - Cuiabá</t>
  </si>
  <si>
    <t>04563672002614</t>
  </si>
  <si>
    <t xml:space="preserve">Concessionária dos Aeroportos da Amazônia S.A - CNPJ 42548035000100 - Insc. Est. Isento - Insc. Suframa 210176318 - Insc Munic 50585801 - End: Av. Santos Dumont, n° 1.350 Tarumã, CEP 69.041-000 Manaus/Am </t>
  </si>
  <si>
    <t>42548035000100</t>
  </si>
  <si>
    <t>Manauara 01 Empreend. Imobiliarios Spe Ltda - RD Engenharia</t>
  </si>
  <si>
    <t>17613905000130</t>
  </si>
  <si>
    <t>Flextronics da Amazônia Ltda</t>
  </si>
  <si>
    <t>04454120000624</t>
  </si>
  <si>
    <t>Mattoso Extratos Naturais LTDA</t>
  </si>
  <si>
    <t>08165605000144</t>
  </si>
  <si>
    <t>13514 Manauara VII Empreendimentos Imobiliarios SPE LTDA</t>
  </si>
  <si>
    <t>25237626000147</t>
  </si>
  <si>
    <t>Rio Limpo Industria e Comércio de Resíduos LTDA</t>
  </si>
  <si>
    <t>06030520000123</t>
  </si>
  <si>
    <t>Companhia de Saneamento do Amazonas</t>
  </si>
  <si>
    <t>04406195000125</t>
  </si>
  <si>
    <t>Nortexlog Transporte LTDA</t>
  </si>
  <si>
    <t>11094826000183</t>
  </si>
  <si>
    <t>Condomínio do Edfício Porto Seguro</t>
  </si>
  <si>
    <t>06224404000145</t>
  </si>
  <si>
    <t xml:space="preserve">Alessandra Dias de Lima - ADL Assessoria </t>
  </si>
  <si>
    <t>34610561000124</t>
  </si>
  <si>
    <t>TNL Manutenção e Reparação de Coletas e Resíduos Eireli</t>
  </si>
  <si>
    <t>12621210000186</t>
  </si>
  <si>
    <t>Oxe Energia Participações S.A</t>
  </si>
  <si>
    <t>36.159.996/0001-20</t>
  </si>
  <si>
    <t>Diego Oliveira Damasceno</t>
  </si>
  <si>
    <t>30816241856</t>
  </si>
  <si>
    <t>K S Lima Consultoria Química e Ambiental</t>
  </si>
  <si>
    <t>45726967000193</t>
  </si>
  <si>
    <t xml:space="preserve">Patrick Matos da Silva </t>
  </si>
  <si>
    <t>51620901234</t>
  </si>
  <si>
    <t xml:space="preserve">Secretaria Estadual do Meio Ambiente </t>
  </si>
  <si>
    <t>05.562.326/0001-26</t>
  </si>
  <si>
    <t>RA Engenharia - Rafael Alves Marques</t>
  </si>
  <si>
    <t>42686767000166</t>
  </si>
  <si>
    <t>Bonfim Geração e Comércio de Energia SPE S/A - Serra da Lua</t>
  </si>
  <si>
    <t>34714313000204</t>
  </si>
  <si>
    <t>Cantá Geração e Comércio de Energia SPE S/A - Serra da Lua</t>
  </si>
  <si>
    <t>34714322000203</t>
  </si>
  <si>
    <t xml:space="preserve">Pau Rainha Geração e Comércio de Energia SPE S/A - Jacitara </t>
  </si>
  <si>
    <t>34714305000268</t>
  </si>
  <si>
    <t>Santa Luz Geração e Comércio de Energia SPE S/A - Jacitara</t>
  </si>
  <si>
    <t>34745410000264</t>
  </si>
  <si>
    <t>Pedro Santiago</t>
  </si>
  <si>
    <t>3PL Brasil Logística S.A</t>
  </si>
  <si>
    <t>23429671002707</t>
  </si>
  <si>
    <t>Centro de Pesquisa e Diagnósticos Especializados LTDA</t>
  </si>
  <si>
    <t>34574038000190</t>
  </si>
  <si>
    <t xml:space="preserve">Stahl Talhas Equipamentos de Movimentação LTDA </t>
  </si>
  <si>
    <t xml:space="preserve">05811776000105 </t>
  </si>
  <si>
    <t>Flatex - Fabricação de Componentes Eletrônicos Eirelli</t>
  </si>
  <si>
    <t>13460174000189</t>
  </si>
  <si>
    <t>Condomínio Residencial Villa Lobos</t>
  </si>
  <si>
    <t>07108043000134</t>
  </si>
  <si>
    <t>Valmar Serviços Industriais LTDA - Alagoas</t>
  </si>
  <si>
    <t>00469393000187</t>
  </si>
  <si>
    <t>Hotelaria Accor Brasil S.A</t>
  </si>
  <si>
    <t>09967852000127</t>
  </si>
  <si>
    <t>Centro Educacional Risque e Rabisque LTDA - Filial</t>
  </si>
  <si>
    <t>24544062000203</t>
  </si>
  <si>
    <t>Ronaldo Macedo</t>
  </si>
  <si>
    <t>13633 Yamamoto Engenharia Eireli</t>
  </si>
  <si>
    <t>32968855000105</t>
  </si>
  <si>
    <t>Cal-comp Industria de Semicondutores S.A - CCBS</t>
  </si>
  <si>
    <t>21315035000190</t>
  </si>
  <si>
    <t>J G Rodrigues e CIA LTDA - Garcia Veículos</t>
  </si>
  <si>
    <t>04565503000165</t>
  </si>
  <si>
    <t>Mundial Exportação Comercial LTDA</t>
  </si>
  <si>
    <t>15741077000190</t>
  </si>
  <si>
    <t>RF Comércio de Materiais de Construção Eirelli</t>
  </si>
  <si>
    <t>14207076000105</t>
  </si>
  <si>
    <t>ST Ocupacional - T L ALENCAR EIRELI</t>
  </si>
  <si>
    <t>27372289000126</t>
  </si>
  <si>
    <t>FRTB - Consultoria Ambiental</t>
  </si>
  <si>
    <t>39305618000103</t>
  </si>
  <si>
    <t>Foxconn MOEBG Ind de Eletronicos Ltda - Acaí</t>
  </si>
  <si>
    <t>08986284000149</t>
  </si>
  <si>
    <t>Pontual Construtora LTDA</t>
  </si>
  <si>
    <t>02311117000111</t>
  </si>
  <si>
    <t>Elson Rivorêdo</t>
  </si>
  <si>
    <t>Microservice Tecnologia Digital da Amazonia LTDA</t>
  </si>
  <si>
    <t>34.525.444/0003-24</t>
  </si>
  <si>
    <t>3 M Manaus Ind. De Produtos Químicos Ltda</t>
  </si>
  <si>
    <t>08014346000150</t>
  </si>
  <si>
    <t>13668 Condomínio Geral do Millennium Center</t>
  </si>
  <si>
    <t>07119723000153</t>
  </si>
  <si>
    <t>HVJB Consultoria em Gestão Empresarial LTDA - Consult SGI</t>
  </si>
  <si>
    <t>22770852000109</t>
  </si>
  <si>
    <t>Associação dos Revendedores de Agrotóxicos do Amazonas LTDA - ARAM</t>
  </si>
  <si>
    <t>06144569000107</t>
  </si>
  <si>
    <t>CENESUP - Centro Nacional de Ensino Superior LTDA</t>
  </si>
  <si>
    <t>05474470002154</t>
  </si>
  <si>
    <t>Sticker Print Serviços de Acabamento Gráficos LTDA</t>
  </si>
  <si>
    <t>20219797000120</t>
  </si>
  <si>
    <t>Roberto Amorim</t>
  </si>
  <si>
    <t>Energy Assets do Brasil LTDA</t>
  </si>
  <si>
    <t>01676897002508</t>
  </si>
  <si>
    <t>Santa Etelvina Empreendimentos Imobiliários LTDA</t>
  </si>
  <si>
    <t>35201910000117</t>
  </si>
  <si>
    <t>Britânia Componentes Eletrônicos LTDA - BRIC 351</t>
  </si>
  <si>
    <t>13699433/000129</t>
  </si>
  <si>
    <t>13 699 Protect Segurança do Trabalho  LTDA</t>
  </si>
  <si>
    <t>48189178000159</t>
  </si>
  <si>
    <t xml:space="preserve">Grancity Comércio de Materiais de Construção Eireli </t>
  </si>
  <si>
    <t>23828170000164</t>
  </si>
  <si>
    <t>Instituto de Desenvolvimento Tecnologico</t>
  </si>
  <si>
    <t>04.802.134/0002-68</t>
  </si>
  <si>
    <t>Melo Sorveteria ltda</t>
  </si>
  <si>
    <t>Horizonte da Amazonia Logistica LTDA</t>
  </si>
  <si>
    <t>Taupo Consultoria e Projetos Ambientais LTDA</t>
  </si>
  <si>
    <t>29034632000158</t>
  </si>
  <si>
    <t>PMI South América Indúdtria de Plásticos LTDA</t>
  </si>
  <si>
    <t>08211330000138</t>
  </si>
  <si>
    <t>Ventisol da Amazonia Industria de Aparelhos Eletricos LTDA</t>
  </si>
  <si>
    <t>17417928000179</t>
  </si>
  <si>
    <t>Hipermercado DB</t>
  </si>
  <si>
    <t>Condominio River Park Residencial clube</t>
  </si>
  <si>
    <t>16617732000165</t>
  </si>
  <si>
    <t>JG Pericia do Trabalho LTDA</t>
  </si>
  <si>
    <t>42119674000150</t>
  </si>
  <si>
    <t>Procter &amp; Gamble do Brasil LTDA - Rio Negro</t>
  </si>
  <si>
    <t>59476770004064</t>
  </si>
  <si>
    <t>Pioneiro Combustiveis LTDA</t>
  </si>
  <si>
    <t>84010040001933</t>
  </si>
  <si>
    <t>Vibra Energia S.A</t>
  </si>
  <si>
    <t>13741 Pam Indústria de Plásticos Injetados LTDA - Matriz (04.413.977/0001-91)</t>
  </si>
  <si>
    <t>04413977000191</t>
  </si>
  <si>
    <t>Nortlub Industria de Óleos Minerais e Sintéticos LTDA</t>
  </si>
  <si>
    <t>06294505000192</t>
  </si>
  <si>
    <t>Oliveira Energia S.A</t>
  </si>
  <si>
    <t>04210423000197</t>
  </si>
  <si>
    <t>Entre Pontos Serviços de Logísticas LTDA</t>
  </si>
  <si>
    <t>26915771000100</t>
  </si>
  <si>
    <t>Condomínio Amsterdam Village</t>
  </si>
  <si>
    <t>29.280.795/0001-10</t>
  </si>
  <si>
    <t>Ativa Engenharia Serviços e Treinamentos</t>
  </si>
  <si>
    <t>24322214000142</t>
  </si>
  <si>
    <t>Water Meyer Tratamento de Água e do Ar LTDA</t>
  </si>
  <si>
    <t>08274464000289</t>
  </si>
  <si>
    <t xml:space="preserve"> 13764 Amazon Clipper Cruises Turismo LTDA</t>
  </si>
  <si>
    <t>05822223000158</t>
  </si>
  <si>
    <t>Northpav Pavimentação e Locação Eireli</t>
  </si>
  <si>
    <t>35346917000127</t>
  </si>
  <si>
    <t>13767 Sidia Instituto de Ciência e Tecnologia - Matriz (05.994.459/0001-71)</t>
  </si>
  <si>
    <t>05994459000171</t>
  </si>
  <si>
    <t>13768 Sidia Instituto de Ciência e Tecnologia - TQT (05.994.459/0009-29)</t>
  </si>
  <si>
    <t>05994459000929</t>
  </si>
  <si>
    <t>13769 Sidia Instituto de Ciência e Tecnologia - Autaz (05.994.459/0003-33)</t>
  </si>
  <si>
    <t>05994459000333</t>
  </si>
  <si>
    <t>13774 R.O Barros de Souza - Ilustre Confecções</t>
  </si>
  <si>
    <t>45736802000100</t>
  </si>
  <si>
    <t>Condomínio Carlos Drummond de Andrade</t>
  </si>
  <si>
    <t>09067960000143</t>
  </si>
  <si>
    <t>Jonas Dias da Silva - JD Engenharia e Assessoria</t>
  </si>
  <si>
    <t>44772123000116</t>
  </si>
  <si>
    <t>MG Instalações de Serviços Elétricos LTDA</t>
  </si>
  <si>
    <t xml:space="preserve">30268377000197 </t>
  </si>
  <si>
    <t>Arcon Tube Indústria e Comércio de Componentes para Refrigeração LTDA</t>
  </si>
  <si>
    <t>03088923000135</t>
  </si>
  <si>
    <t>Metalúrgica Magalhães Comércio e Indústria LTDA</t>
  </si>
  <si>
    <t>04491148000127</t>
  </si>
  <si>
    <t>Amorim e Abnader e LTDA - Sonho de Bolo</t>
  </si>
  <si>
    <t>23328406000101</t>
  </si>
  <si>
    <t>13791 E De Moura Pinto Filho - Costelão do Edinho</t>
  </si>
  <si>
    <t>42602994000166</t>
  </si>
  <si>
    <t>Erin Estaleiros Rio Negro LTDA</t>
  </si>
  <si>
    <t>04.222.584/0002-81</t>
  </si>
  <si>
    <t>Guadalupe Empreendimentos Imobiliários LTDA</t>
  </si>
  <si>
    <t>34393483000234</t>
  </si>
  <si>
    <t>JCS Comércio Varejista de Portas e Janelas LTDA</t>
  </si>
  <si>
    <t>23456331000136</t>
  </si>
  <si>
    <t>V E Industria Comércio e Serviços Gráficos LTDA</t>
  </si>
  <si>
    <t>07439885000179</t>
  </si>
  <si>
    <t>SV Instalações LTDA</t>
  </si>
  <si>
    <t>84089358000203</t>
  </si>
  <si>
    <t>DM Fundações e Soldagens LTDA</t>
  </si>
  <si>
    <t>35831685000100</t>
  </si>
  <si>
    <t>APH Logistica ltda</t>
  </si>
  <si>
    <t>33.147.599/0001-40</t>
  </si>
  <si>
    <t>Construtora Progresso LTDA</t>
  </si>
  <si>
    <t>06219583000122</t>
  </si>
  <si>
    <t>Rezende Caminhões Comércio e Representações LTDA</t>
  </si>
  <si>
    <t>09006295000188</t>
  </si>
  <si>
    <t>Viação Caravelas LTDA - Vical</t>
  </si>
  <si>
    <t>05471255000156</t>
  </si>
  <si>
    <t>Clinica de Atendimento Popular e Medicina Especializada do Trabalho</t>
  </si>
  <si>
    <t>46985053000100</t>
  </si>
  <si>
    <t>Osmar Ambrósio dos Santos Biscaro - Sanear</t>
  </si>
  <si>
    <t>07290186000100</t>
  </si>
  <si>
    <t>Tempus Comércio de Alimentos da Amazônia LTDA</t>
  </si>
  <si>
    <t>13471215000132</t>
  </si>
  <si>
    <t xml:space="preserve">Jojo Limpeza e Higienização LTDA </t>
  </si>
  <si>
    <t>26398402000180</t>
  </si>
  <si>
    <t>Rita Melo</t>
  </si>
  <si>
    <t>229-830-742-34</t>
  </si>
  <si>
    <t>Brasil Bio Fuels S.A - UTE Palmeiras do Javari</t>
  </si>
  <si>
    <t>09478309000166</t>
  </si>
  <si>
    <t>Ivonede Peixoto</t>
  </si>
  <si>
    <t>João Mendes do Nascimento</t>
  </si>
  <si>
    <t>MRX Produtos para Impressão e Acabamento Gráfico LTDA</t>
  </si>
  <si>
    <t>29495655000160</t>
  </si>
  <si>
    <t>Brasil Bio Fuels S.A - Feijoal</t>
  </si>
  <si>
    <t>Brasil Bio Fuels S.A - Palmeiras do Javari</t>
  </si>
  <si>
    <t>Brasil Bio Fuel S.A - Estirão do Equador</t>
  </si>
  <si>
    <t>Brasil Bio Fuels S.A- Envira</t>
  </si>
  <si>
    <t>09478309000751</t>
  </si>
  <si>
    <t>Brasil Bio Fuels S.A - Ipixuna</t>
  </si>
  <si>
    <t>09478309000851</t>
  </si>
  <si>
    <t>Metálica Comércio de Ferragem e Montagem LTDA</t>
  </si>
  <si>
    <t>07030188000160</t>
  </si>
  <si>
    <t>Santa Etelvina Empreendimentos Imobiliários Ltda</t>
  </si>
  <si>
    <t>35201910000206</t>
  </si>
  <si>
    <t>Gla Amazônia Indústria de Embalagens Plásticos LTDA</t>
  </si>
  <si>
    <t>39539918000149</t>
  </si>
  <si>
    <t>Eciana Santana</t>
  </si>
  <si>
    <t>Deborah Hounsell</t>
  </si>
  <si>
    <t>Napoli Empreendimentos ImobilÍarios LTDA</t>
  </si>
  <si>
    <t>21596349000299</t>
  </si>
  <si>
    <t>Toyolex Autos S.A</t>
  </si>
  <si>
    <t>07234453002094</t>
  </si>
  <si>
    <t xml:space="preserve">Matsuda Manaus </t>
  </si>
  <si>
    <t>EcoTeste</t>
  </si>
  <si>
    <t>00000000000000</t>
  </si>
  <si>
    <t xml:space="preserve">SL Serviços - S L dos R Moraes LTDA </t>
  </si>
  <si>
    <t>07928761000157</t>
  </si>
  <si>
    <t>Suzi Elen Alves da Silva</t>
  </si>
  <si>
    <t>Terra Indústria e Comércio de Componentes Eletrônicos LTDA EPP</t>
  </si>
  <si>
    <t>13505978000157</t>
  </si>
  <si>
    <t>Serviço Social da Industria - Dep. Regional de Roraima</t>
  </si>
  <si>
    <t>03.786.915/0001-62</t>
  </si>
  <si>
    <t xml:space="preserve">CHR Aluguéis de Máquinas e Veículos </t>
  </si>
  <si>
    <t>05327035000153</t>
  </si>
  <si>
    <t>Francinete Carneiro</t>
  </si>
  <si>
    <t>José Lima</t>
  </si>
  <si>
    <t>95333622272</t>
  </si>
  <si>
    <t>Norte Ambiental Tratamento de Resíduos LTDA - Acre</t>
  </si>
  <si>
    <t>14214776000542</t>
  </si>
  <si>
    <t>Wesley Lima</t>
  </si>
  <si>
    <t>STECK DA AMAZONIA INDUSTRIA ELETRICA LTDA</t>
  </si>
  <si>
    <t>06048486000114</t>
  </si>
  <si>
    <t>Jair Raimundo Pinheiro Pinto</t>
  </si>
  <si>
    <t>59651466200</t>
  </si>
  <si>
    <t>Thais Nunes Coutinho</t>
  </si>
  <si>
    <t>Consórcio Construtor Logístico do Amazonas</t>
  </si>
  <si>
    <t>47881486000188</t>
  </si>
  <si>
    <t>14905 Imperius Agenciamento de Cargas LTDA</t>
  </si>
  <si>
    <t>11706554000125</t>
  </si>
  <si>
    <t>ARMASETO COMERCIO E SERVICOS LTDA</t>
  </si>
  <si>
    <t>02247217000126</t>
  </si>
  <si>
    <t>FABITECK SANEAMENTO LIMITADA</t>
  </si>
  <si>
    <t>05503214000102</t>
  </si>
  <si>
    <t>Breitener Tambaqui S.A</t>
  </si>
  <si>
    <t>07390807000127</t>
  </si>
  <si>
    <t>Breitener Jaraqui S.A</t>
  </si>
  <si>
    <t>07387573000169</t>
  </si>
  <si>
    <t>14918 Frutal Empreendimentos imobiliarios Ltda</t>
  </si>
  <si>
    <t>35729667000295</t>
  </si>
  <si>
    <t>Isotropica Engenharia e Consultoria</t>
  </si>
  <si>
    <t>46988196000175</t>
  </si>
  <si>
    <t>Torres Consultoria Empresarial e Engenharia Eirelli</t>
  </si>
  <si>
    <t>40710487000110</t>
  </si>
  <si>
    <t>14925 Unicoba Energia S.A</t>
  </si>
  <si>
    <t>23650282000259</t>
  </si>
  <si>
    <t>Recauchutadora Elo LTDA</t>
  </si>
  <si>
    <t>05486691000107</t>
  </si>
  <si>
    <t xml:space="preserve">Condomínio Fechado Jardim dos Eucaliptos </t>
  </si>
  <si>
    <t>34490.086/000108</t>
  </si>
  <si>
    <t xml:space="preserve">Centro Médico Sanvie LTDA </t>
  </si>
  <si>
    <t>21296516/000103</t>
  </si>
  <si>
    <t xml:space="preserve">Amatur Amazônia Turismo LTDA </t>
  </si>
  <si>
    <t>34805903000242</t>
  </si>
  <si>
    <t xml:space="preserve">14937 Condomínio Residencial Moradas do Parque </t>
  </si>
  <si>
    <t>10791129000119</t>
  </si>
  <si>
    <t>11105987/0006-30</t>
  </si>
  <si>
    <t xml:space="preserve">FOS Consultoria e Assessoria </t>
  </si>
  <si>
    <t>14946 Construtora Soma LTDA</t>
  </si>
  <si>
    <t>01088713000464</t>
  </si>
  <si>
    <t>Origem Indústria e Comércio de Motos LTDA</t>
  </si>
  <si>
    <t>31723373000114</t>
  </si>
  <si>
    <t>14 952 Condomínio do Conjunto Habitacional Tocantins (2° etapa)</t>
  </si>
  <si>
    <t>05532080/000140</t>
  </si>
  <si>
    <t xml:space="preserve">Clinica Roraiclin do Trabalho Prosseg </t>
  </si>
  <si>
    <t>23167099000116</t>
  </si>
  <si>
    <t xml:space="preserve">Techinicolor Brasil Mídia e Entretenimento LTDA </t>
  </si>
  <si>
    <t>0277353/000142</t>
  </si>
  <si>
    <t xml:space="preserve">Mente Segura Treinamento e Serviços de Engenharia </t>
  </si>
  <si>
    <t>41513499000118</t>
  </si>
  <si>
    <t>Opmedical LTDA</t>
  </si>
  <si>
    <t>22486909000134</t>
  </si>
  <si>
    <t>Rio Negro Engenharia e Serviços de Manutenção S/A SPE</t>
  </si>
  <si>
    <t>15715379000193</t>
  </si>
  <si>
    <t>Rio Solimões Engenharia e Serviços de Manutenção S/A SPE</t>
  </si>
  <si>
    <t>15715222000168</t>
  </si>
  <si>
    <t>Morada do Peixe Restaurante e Lava Jato - RA Pontes LTDA</t>
  </si>
  <si>
    <t>23606880000140</t>
  </si>
  <si>
    <t>Brasil Bio Fuels S.A - UTE Belém do Solimões</t>
  </si>
  <si>
    <t xml:space="preserve">RM Indústria Química da Amazônia </t>
  </si>
  <si>
    <t>12643919000182</t>
  </si>
  <si>
    <t>Gertec Brasil LTDA</t>
  </si>
  <si>
    <t>03654119000338</t>
  </si>
  <si>
    <t>Thiago Pinheiro</t>
  </si>
  <si>
    <t>14986 Delegacia da Receita Federal do Brasil em Manaus</t>
  </si>
  <si>
    <t>00394460007235</t>
  </si>
  <si>
    <t>Centro Educacional Josephina de Mello</t>
  </si>
  <si>
    <t>01784135000158</t>
  </si>
  <si>
    <t xml:space="preserve">SLV Engenharia </t>
  </si>
  <si>
    <t>25193927000116</t>
  </si>
  <si>
    <t>Aço Verde do Brasil</t>
  </si>
  <si>
    <t>07636657000270</t>
  </si>
  <si>
    <t>CONDOMINIO LE BOULEVARD</t>
  </si>
  <si>
    <t>Manaus Aerotáxi Participações LTDA</t>
  </si>
  <si>
    <t>02324940000161</t>
  </si>
  <si>
    <t>Condomínio Smart Vista do Sol I</t>
  </si>
  <si>
    <t>40258518000144</t>
  </si>
  <si>
    <t>RAA Transporte - Revelino Aparecido de Almeida</t>
  </si>
  <si>
    <t>46339264000175</t>
  </si>
  <si>
    <t>Céu Azul Empreendimentos Imobiliários LTDA</t>
  </si>
  <si>
    <t>40726730000199</t>
  </si>
  <si>
    <t>EAN Transportes</t>
  </si>
  <si>
    <t>39288704000147</t>
  </si>
  <si>
    <t>Honda Trading Brasil LTDA</t>
  </si>
  <si>
    <t>01421979000487</t>
  </si>
  <si>
    <t>JE Comércio de Materiais e Construções de Poços LTDA</t>
  </si>
  <si>
    <t>06637210000171</t>
  </si>
  <si>
    <t>Flextronics International Tecnologia LTDA - 74.404.229/0009-85</t>
  </si>
  <si>
    <t>74404229000985</t>
  </si>
  <si>
    <t>Companhia Energética Amazonense S/A</t>
  </si>
  <si>
    <t>48448938000103</t>
  </si>
  <si>
    <t>Nelson Gutierrez Losada</t>
  </si>
  <si>
    <t>07862719000180</t>
  </si>
  <si>
    <t>Cargill Agrícola S.A - Itaituba</t>
  </si>
  <si>
    <t>60498706040108</t>
  </si>
  <si>
    <t xml:space="preserve">Energias do Acre SPE LTDA </t>
  </si>
  <si>
    <t>42767382000123</t>
  </si>
  <si>
    <t xml:space="preserve">Akmos Engenharia e Montagens Industriais LTDA </t>
  </si>
  <si>
    <t>36751283000150</t>
  </si>
  <si>
    <t>Apek Serviços Médicos Ambulatoriais LTDA</t>
  </si>
  <si>
    <t>12825671000170</t>
  </si>
  <si>
    <t>15041 Hermasa Navegação da Amazônia LTDA 84.590.892/0001-18</t>
  </si>
  <si>
    <t>84590892000118</t>
  </si>
  <si>
    <t xml:space="preserve">15042 Ferraro Engenharia - Leonel Coutinho da Fonseca </t>
  </si>
  <si>
    <t>32137512000190</t>
  </si>
  <si>
    <t>Visteon Amazonas LTDA</t>
  </si>
  <si>
    <t>02651366000156</t>
  </si>
  <si>
    <t xml:space="preserve">VIP Serviços Gerais LTDA </t>
  </si>
  <si>
    <t>02598002000150</t>
  </si>
  <si>
    <t>Mantena Empreendimentos Imobiliário LTDA</t>
  </si>
  <si>
    <t>35726180000259</t>
  </si>
  <si>
    <t>GR Gestão e Treinamento Profissional LTDA</t>
  </si>
  <si>
    <t>23314072000109</t>
  </si>
  <si>
    <t xml:space="preserve">Braspress Transportes Urgentes LTDA </t>
  </si>
  <si>
    <t>48740351005396</t>
  </si>
  <si>
    <t>Condomínio Britannia Park Offices</t>
  </si>
  <si>
    <t>36958203000132</t>
  </si>
  <si>
    <t xml:space="preserve">Cerâmica Vera Cruz - O Yamane Fontenelle </t>
  </si>
  <si>
    <t>17448485000183</t>
  </si>
  <si>
    <t>Technos da Amazônia Indústria e Comércio S.A</t>
  </si>
  <si>
    <t>04628426000145</t>
  </si>
  <si>
    <t>Condomínio do Edifício Nápoles</t>
  </si>
  <si>
    <t>08648499000150</t>
  </si>
  <si>
    <t>Gases da Amazônia LTDA</t>
  </si>
  <si>
    <t>22298504r000172</t>
  </si>
  <si>
    <t>Polimix Concreto LTDA - Manaus</t>
  </si>
  <si>
    <t>29067113022670</t>
  </si>
  <si>
    <t xml:space="preserve">Innova Ambiental - Serviços de Engenharia Ambiental LTDA </t>
  </si>
  <si>
    <t>31009757000170</t>
  </si>
  <si>
    <t xml:space="preserve">Serviço Social da Indústria da Construção C de Manaus - Seconci AM </t>
  </si>
  <si>
    <t>Sidia Instituto de Ciência e Tecnologia - PVH</t>
  </si>
  <si>
    <t>05994459001062</t>
  </si>
  <si>
    <t>R M P Romero</t>
  </si>
  <si>
    <t>15790280000156</t>
  </si>
  <si>
    <t>Ec Menezes</t>
  </si>
  <si>
    <t>085843080001333</t>
  </si>
  <si>
    <t>Walff Industrial Sociedade Anonima</t>
  </si>
  <si>
    <t>20703241000104</t>
  </si>
  <si>
    <t>Unitas Agrícola S. A</t>
  </si>
  <si>
    <t>43598846000188</t>
  </si>
  <si>
    <t>Linhas do Norte Construções SPE LTDA</t>
  </si>
  <si>
    <t>42072323000130</t>
  </si>
  <si>
    <t>Laboratório Sabin de Análises Clínicas S.A</t>
  </si>
  <si>
    <t>00718528010678</t>
  </si>
  <si>
    <t>Genis Equipamentos de Ginastica LTDA</t>
  </si>
  <si>
    <t>07489753000151</t>
  </si>
  <si>
    <t>qqqqq</t>
  </si>
  <si>
    <t>qq</t>
  </si>
  <si>
    <t xml:space="preserve">Condomínio do Parque Ponta Negra - Reserva das Praias </t>
  </si>
  <si>
    <t>21939961000136</t>
  </si>
  <si>
    <t>Wide Eletronics - M Miranda Alfaia</t>
  </si>
  <si>
    <t>20672984000164</t>
  </si>
  <si>
    <t xml:space="preserve">Fuxiplast - T J S Fabricação de Embalagens e Gestão Empresarial LTDA </t>
  </si>
  <si>
    <t>34650591000164</t>
  </si>
  <si>
    <t xml:space="preserve">Stamp Malhas - Marcone B P de Ataíde </t>
  </si>
  <si>
    <t>03706822000180</t>
  </si>
  <si>
    <t xml:space="preserve">Distribuidora Tapajós - Tapajós Comércio de Medicamentos LTDA </t>
  </si>
  <si>
    <t>845210053000148</t>
  </si>
  <si>
    <t>Condomínio Maison Ephigênio Salles</t>
  </si>
  <si>
    <t>15322039000100</t>
  </si>
  <si>
    <t>Beija Flor Motel LTDA</t>
  </si>
  <si>
    <t>06948506000103</t>
  </si>
  <si>
    <t xml:space="preserve">Transagil Transportes de Cargas LTDA </t>
  </si>
  <si>
    <t>07199061001493</t>
  </si>
  <si>
    <t>Integração Transportes LTDA</t>
  </si>
  <si>
    <t>13484296000105</t>
  </si>
  <si>
    <t xml:space="preserve">Condomínio Palm Village </t>
  </si>
  <si>
    <t>10805123000153</t>
  </si>
  <si>
    <t>SS Casa Noturna Produções e Eventos LTDA - All Night Pub</t>
  </si>
  <si>
    <t>08366209000185</t>
  </si>
  <si>
    <t xml:space="preserve">Engenharia e Comércio de Materiais de Construção Eireli </t>
  </si>
  <si>
    <t>31744984000149</t>
  </si>
  <si>
    <t xml:space="preserve">Ionara dos Santos </t>
  </si>
  <si>
    <t>Pelmex da Amazônia LTDA</t>
  </si>
  <si>
    <t>04.321.519/0001-22</t>
  </si>
  <si>
    <t>HS Serviços Médicos LTDA - Saúde e Vida Medicina e Segurança Ocupacional</t>
  </si>
  <si>
    <t>26117786000115</t>
  </si>
  <si>
    <t>Cerevisia Serviços de Bar e Restaurante LTDA</t>
  </si>
  <si>
    <t>21843199000190</t>
  </si>
  <si>
    <t xml:space="preserve">M S Logística e Transporte LTDA </t>
  </si>
  <si>
    <t>31621257000194</t>
  </si>
  <si>
    <t>Marcos Vinicius</t>
  </si>
  <si>
    <t>Mil Madeiras Preciosas LTDA</t>
  </si>
  <si>
    <t xml:space="preserve">H L Serviços de alinhamento e balanceamento de veículos automotores LTDA </t>
  </si>
  <si>
    <t>21520688000453</t>
  </si>
  <si>
    <t xml:space="preserve">Norte Comércio de Peças e Acessórios para Veículos LTDA </t>
  </si>
  <si>
    <t>34538850000160</t>
  </si>
  <si>
    <t xml:space="preserve">Micro-Lab LTDA </t>
  </si>
  <si>
    <t>15.792.732/0001-39</t>
  </si>
  <si>
    <t>Empilhacom ltda</t>
  </si>
  <si>
    <t>07605358/000197</t>
  </si>
  <si>
    <t>Gerdau Aços Longos LTDA</t>
  </si>
  <si>
    <t>07358761030823</t>
  </si>
  <si>
    <t>Amazonas Copiadoras LTDA - Amazon Copy</t>
  </si>
  <si>
    <t>01657353000121</t>
  </si>
  <si>
    <t xml:space="preserve">AGM Indústria Comércio e Representação LTDA </t>
  </si>
  <si>
    <t>84493469000108</t>
  </si>
  <si>
    <t>Engenheira Elza  Siqueira</t>
  </si>
  <si>
    <t>Diana da Silva Lima</t>
  </si>
  <si>
    <t>Francisco Araújo da Silva - Supermercado LTDA -  Supermercado Nova Cidade</t>
  </si>
  <si>
    <t>34551382000244</t>
  </si>
  <si>
    <t>Edelso Costa Nascimento LTDA - ECN Serviços</t>
  </si>
  <si>
    <t>39232284000187</t>
  </si>
  <si>
    <t>LCM Construção e Comércio SA</t>
  </si>
  <si>
    <t>19.758.842/0023-40</t>
  </si>
  <si>
    <t xml:space="preserve">Pablo A. dos Santos - BioLimpo </t>
  </si>
  <si>
    <t>Astra Saúde Ocupacional - Aliança e Saúde do Trabalho LTDA</t>
  </si>
  <si>
    <t>51505178000125</t>
  </si>
  <si>
    <t>Dárcio José da Silveira Sarubbi</t>
  </si>
  <si>
    <t>15237 Benevides Águas S.A</t>
  </si>
  <si>
    <t>15887193/0003-83</t>
  </si>
  <si>
    <t>André Menezes Brock</t>
  </si>
  <si>
    <t xml:space="preserve">Ar Siqueira - Andrerlã Rabelo de Siqueira </t>
  </si>
  <si>
    <t>32838024000100</t>
  </si>
  <si>
    <t xml:space="preserve">15243 Sette Serviços de Enegenharia - JP Silva Coelho LTDA </t>
  </si>
  <si>
    <t xml:space="preserve">Rhuana Tenório dos Santos </t>
  </si>
  <si>
    <t xml:space="preserve">Supermercado Rodrigues LTDA </t>
  </si>
  <si>
    <t>00835261000121</t>
  </si>
  <si>
    <t xml:space="preserve">LTL Lavanderia e Tinturaria </t>
  </si>
  <si>
    <t>BIC AMAZONIA S/A</t>
  </si>
  <si>
    <t>04.402.277/0001-00</t>
  </si>
  <si>
    <t>EQS Engenharia S.A</t>
  </si>
  <si>
    <t>80464753000197</t>
  </si>
  <si>
    <t>Jesmond Comércio Varejista LTDA - Granado Pharmacias (Amazonas)</t>
  </si>
  <si>
    <t>08743025009739</t>
  </si>
  <si>
    <t>Jesmond Comércio Varejista LTDA - Granado Pharmacias (Manauara)</t>
  </si>
  <si>
    <t>08743025005318</t>
  </si>
  <si>
    <t xml:space="preserve">15 269 Associação do Studio 5 Shopping </t>
  </si>
  <si>
    <t>33386796000111</t>
  </si>
  <si>
    <t xml:space="preserve">Digitech Ocupacional LTDA </t>
  </si>
  <si>
    <t>46697718000180</t>
  </si>
  <si>
    <t>15275 Manaós Odontologia LTDA</t>
  </si>
  <si>
    <t>06981897000168</t>
  </si>
  <si>
    <t>Irene Coelho Gomes</t>
  </si>
  <si>
    <t>10.654.388/0001-06</t>
  </si>
  <si>
    <t xml:space="preserve">Frederico Nicolau Cesarino </t>
  </si>
  <si>
    <t>48854761000137</t>
  </si>
  <si>
    <t>Condominio Terraço Vieiralves</t>
  </si>
  <si>
    <t>Mental Somática Serviços Médicos LTDA</t>
  </si>
  <si>
    <t>08.333.003/0001-59</t>
  </si>
  <si>
    <t xml:space="preserve">MG Silva Monteiro &amp; CIA LTDA - Tresz Mobiliário </t>
  </si>
  <si>
    <t>07234176000157</t>
  </si>
  <si>
    <t xml:space="preserve">Tribunal de Justiça do Estado do Amazonas </t>
  </si>
  <si>
    <t xml:space="preserve">Engenheiro Ornan Vieira </t>
  </si>
  <si>
    <t xml:space="preserve">Fênix Transportes - Soares e Silva Agencia de Viagem e Turismo Limitada </t>
  </si>
  <si>
    <t>09598373000180</t>
  </si>
  <si>
    <t xml:space="preserve">TS Serviços Transportes e LogÍstica LTDA </t>
  </si>
  <si>
    <t>Sharley Mendes Fermin - ME</t>
  </si>
  <si>
    <t>12.766.362/0001-77</t>
  </si>
  <si>
    <t>Gasônia Cilíndros LTDA</t>
  </si>
  <si>
    <t>39696594000152</t>
  </si>
  <si>
    <t>Gráfica e Editora Silva LTDA</t>
  </si>
  <si>
    <t>05445663000133</t>
  </si>
  <si>
    <t>OLN dos Santos - Lavanderia Pérola</t>
  </si>
  <si>
    <t>84536929000200</t>
  </si>
  <si>
    <t>15331 RS Indústria e Comércio de Embalagens  LTDA</t>
  </si>
  <si>
    <t>84531656000120</t>
  </si>
  <si>
    <t>Fitas Flax da Amazônia LTDA</t>
  </si>
  <si>
    <t>07169868000169</t>
  </si>
  <si>
    <t>Benevides Água S.A.</t>
  </si>
  <si>
    <t>15887193000111</t>
  </si>
  <si>
    <t xml:space="preserve">Leonardo Wilson Souza Bemergui </t>
  </si>
  <si>
    <t>632.334.012-72</t>
  </si>
  <si>
    <t>LabelPress Industria e Com. Da Amazônia LTDA</t>
  </si>
  <si>
    <t>03.497.916/0001-97</t>
  </si>
  <si>
    <t>Condomínio Parque Ponta Negra Reserva Das Águas</t>
  </si>
  <si>
    <t>22092155000138</t>
  </si>
  <si>
    <t>Rio Negro Embalagens LTDA</t>
  </si>
  <si>
    <t>45540197000190</t>
  </si>
  <si>
    <t>RCA Comércio de peças e serviços de refrigeração LTDA</t>
  </si>
  <si>
    <t>24751599000163</t>
  </si>
  <si>
    <t>Brenda Silva Ferreira</t>
  </si>
  <si>
    <t>02621108229</t>
  </si>
  <si>
    <t>Barollo - Spicy Restaurante e Serviços de Alimentação LTDA</t>
  </si>
  <si>
    <t>32925986000105</t>
  </si>
  <si>
    <t>Antônio Ferreira de Mesquita</t>
  </si>
  <si>
    <t>128.357.652-04</t>
  </si>
  <si>
    <t>Transportadora Bons Amigos - Transporte por Navegação Interior de Carga LTDA</t>
  </si>
  <si>
    <t>40272926000150</t>
  </si>
  <si>
    <t>Vivensis Indústria e Comércio LTDA</t>
  </si>
  <si>
    <t>07929761000503</t>
  </si>
  <si>
    <t>Navegação Rio Negro S.A</t>
  </si>
  <si>
    <t>06199077000119</t>
  </si>
  <si>
    <t>15389 RBA Logística - A.S Queiroz &amp; CIA LTDA</t>
  </si>
  <si>
    <t>45660604000100</t>
  </si>
  <si>
    <t>João Victor Amaral Procópio Pires</t>
  </si>
  <si>
    <t>122.697.736-75</t>
  </si>
  <si>
    <t>ERM Comércio e Serviços</t>
  </si>
  <si>
    <t>31597128000108</t>
  </si>
  <si>
    <t>Adata Eletronics Brazil LTDA</t>
  </si>
  <si>
    <t>21316271000201</t>
  </si>
  <si>
    <t>Sole Indústria de Componentes Plásticos LTDA</t>
  </si>
  <si>
    <t>Ração Amazonas</t>
  </si>
  <si>
    <t>Mapa da Amazônia Ind e Com de Saneantes</t>
  </si>
  <si>
    <t>Condomínio Amazon Boulevard Life</t>
  </si>
  <si>
    <t>08438403000129</t>
  </si>
  <si>
    <t>JV Comércio e Serviços Navais</t>
  </si>
  <si>
    <t xml:space="preserve">Navegação Oziel Mustafa - Oziel Mustafa dos Santos &amp; CIA </t>
  </si>
  <si>
    <t>23031289000101</t>
  </si>
  <si>
    <t>Angstrom Electric LTDA</t>
  </si>
  <si>
    <t>0924171000188</t>
  </si>
  <si>
    <t xml:space="preserve">EHS Smart Solution LTDA - EHS Soluções Inteligentes </t>
  </si>
  <si>
    <t>23208902000113</t>
  </si>
  <si>
    <t>Norte Tech Serviços em Energia LTDA</t>
  </si>
  <si>
    <t>33822061000193</t>
  </si>
  <si>
    <t>Turn Key Instalação e Manutenção Elétrica LTDA</t>
  </si>
  <si>
    <t>10486849000170</t>
  </si>
  <si>
    <t>Jenna Gomes de Souza</t>
  </si>
  <si>
    <t>39.531.968/0001-80</t>
  </si>
  <si>
    <t>Zaraplast da Amazônia LTDA</t>
  </si>
  <si>
    <t>34830317000258</t>
  </si>
  <si>
    <t>Passarelli Engenharia e Construção  LTDA</t>
  </si>
  <si>
    <t>60625829000101</t>
  </si>
  <si>
    <t xml:space="preserve">HSC Engenharia e Consultoria </t>
  </si>
  <si>
    <t>26973422000137</t>
  </si>
  <si>
    <t>Hélio Carvalho</t>
  </si>
  <si>
    <t>Marcelo Fioravante</t>
  </si>
  <si>
    <t>Eng. Alcione Barbosa</t>
  </si>
  <si>
    <t>34.373.609/0001-28</t>
  </si>
  <si>
    <t>DL SERVICOS DE ENGENHARIA AMBIENTAL E SEGURANCA DO TRABALHO LTDA.</t>
  </si>
  <si>
    <t>Manauense Indústria e Comércio de Plasticos LTDA</t>
  </si>
  <si>
    <t>32595932000110</t>
  </si>
  <si>
    <t>A L Gestão Empresarial LTDA</t>
  </si>
  <si>
    <t>Racing Juda Brito da Silva</t>
  </si>
  <si>
    <t xml:space="preserve">PSNL Engenharia </t>
  </si>
  <si>
    <t>18123433000108</t>
  </si>
  <si>
    <t>Dunorte Locação de Máquina e Logística  Limitada</t>
  </si>
  <si>
    <t>05678625000120</t>
  </si>
  <si>
    <t xml:space="preserve">Gilson da Silva Gomes </t>
  </si>
  <si>
    <t>54233255000123</t>
  </si>
  <si>
    <t xml:space="preserve">Laghi Engenharia LTDA </t>
  </si>
  <si>
    <t>01057727000178</t>
  </si>
  <si>
    <t>SX Led Lighting Comércio e Serviços LTDA</t>
  </si>
  <si>
    <t>22085520000268</t>
  </si>
  <si>
    <t>CMF Saúde e Segurança do Trabalho LTDA</t>
  </si>
  <si>
    <t>47072229000103</t>
  </si>
  <si>
    <t>RN de Lima Comercial - RM Comércio e Serviços</t>
  </si>
  <si>
    <t>08388057000111</t>
  </si>
  <si>
    <t xml:space="preserve">Thiago Maquiné </t>
  </si>
  <si>
    <t>M S V de Mendonça Alimentos</t>
  </si>
  <si>
    <t>05654184000127</t>
  </si>
  <si>
    <t>Amazon Química Indústria e Comércio de Produtos Químicos LTDA</t>
  </si>
  <si>
    <t>08617395000188</t>
  </si>
  <si>
    <t>Manaus Ambiental SA</t>
  </si>
  <si>
    <t>Amazon Consultoria e Gestão Empresarial LTDA</t>
  </si>
  <si>
    <t>15918554000140</t>
  </si>
  <si>
    <t xml:space="preserve">Duo Nobre Indústria de Jóias da Amazônia LTDA </t>
  </si>
  <si>
    <t>01628778000102</t>
  </si>
  <si>
    <t>Liliane Sena</t>
  </si>
  <si>
    <t>Preven - Consultoria em Segurança do Trabalho</t>
  </si>
  <si>
    <t>Transnorte Energia S.A</t>
  </si>
  <si>
    <t>14683671000370</t>
  </si>
  <si>
    <t xml:space="preserve">Felipe Sena Rocha </t>
  </si>
  <si>
    <t>54453487000197</t>
  </si>
  <si>
    <t xml:space="preserve">Felipe Barros </t>
  </si>
  <si>
    <t xml:space="preserve">Ocrim S.A Produtos Alimentícios </t>
  </si>
  <si>
    <t>61.065.199/0006-35</t>
  </si>
  <si>
    <t>FPF TECH</t>
  </si>
  <si>
    <t>02844344000102</t>
  </si>
  <si>
    <t>Atacadão JK LTDA</t>
  </si>
  <si>
    <t xml:space="preserve">Amanda Fornecimento de Alimentos - Eirelli </t>
  </si>
  <si>
    <t>Wasion da Amazônia Indústria de Instrumentos Eletrônicos LTDA</t>
  </si>
  <si>
    <t>09291019000109</t>
  </si>
  <si>
    <t>Juruá Estaleiros e Navegação LTDA</t>
  </si>
  <si>
    <t>63700553000177</t>
  </si>
  <si>
    <t xml:space="preserve">Clinica Medisol - Medicina e Tecnologia LTDA </t>
  </si>
  <si>
    <t>10886759000177</t>
  </si>
  <si>
    <t xml:space="preserve">NLEAO Soluções em Segurança do Trabalho </t>
  </si>
  <si>
    <t>52925311000165</t>
  </si>
  <si>
    <t>Saugos Construção e Perícia Técnica LTDA</t>
  </si>
  <si>
    <t>19.427.187/0001-32</t>
  </si>
  <si>
    <t>CGR da Amazônia LTDA</t>
  </si>
  <si>
    <t>41701249000101</t>
  </si>
  <si>
    <t xml:space="preserve">Instituto Cal-Comp de Pesquisa e Inovação Tecnológica da Amazônia </t>
  </si>
  <si>
    <t>21640591000131</t>
  </si>
  <si>
    <t>Engenheiro Coutinho</t>
  </si>
  <si>
    <t>Pascoal Auto Center Reparação de Veículos Automotores LTDA</t>
  </si>
  <si>
    <t>40620070000167</t>
  </si>
  <si>
    <t>Condomínio Manauara Shopping</t>
  </si>
  <si>
    <t>10.575.844/0001-14</t>
  </si>
  <si>
    <t>15564 Oesa Comércio e Representações S.A</t>
  </si>
  <si>
    <t>81.611.931/0050-06</t>
  </si>
  <si>
    <t xml:space="preserve">Vibra Energia S.A - Manaus </t>
  </si>
  <si>
    <t xml:space="preserve">Rogério R. da Silva - Purus Engenharia </t>
  </si>
  <si>
    <t>38192841000110</t>
  </si>
  <si>
    <t>OX da Amazônia Industria de Bicicletas S.A</t>
  </si>
  <si>
    <t>09365007000181</t>
  </si>
  <si>
    <t xml:space="preserve">Fort Flex Comercial LTDA </t>
  </si>
  <si>
    <t>03476067000357</t>
  </si>
  <si>
    <t>Condomínio Residencial Espanha</t>
  </si>
  <si>
    <t>14411713000152</t>
  </si>
  <si>
    <t>Aristolina S. de A. Neto LTDA</t>
  </si>
  <si>
    <t>54908559000143</t>
  </si>
  <si>
    <t xml:space="preserve">Condomínio Residencial Nossa Senhora de Fátima </t>
  </si>
  <si>
    <t>63678247000181</t>
  </si>
  <si>
    <t xml:space="preserve">Navegação Cunha LTDA - PVH </t>
  </si>
  <si>
    <t>04616801000218</t>
  </si>
  <si>
    <t xml:space="preserve">FortNorte Transportes de Valores e Vigilância LTDA </t>
  </si>
  <si>
    <t xml:space="preserve">Alex Ivan da Silva Maia </t>
  </si>
  <si>
    <t>34012154000115</t>
  </si>
  <si>
    <t xml:space="preserve">Alex Maia - AM Consultoria </t>
  </si>
  <si>
    <t xml:space="preserve">JH Hotelaria LTDA - Pousada Diplomata </t>
  </si>
  <si>
    <t>08033258000104</t>
  </si>
  <si>
    <t>Ampla Engenharia e Sustentabilidade - B N da Silva Ambiental</t>
  </si>
  <si>
    <t>28832002000166</t>
  </si>
  <si>
    <t>Hospital de Guarnição de Tabatinga</t>
  </si>
  <si>
    <t>09623258000119</t>
  </si>
  <si>
    <t xml:space="preserve">Thoten PAC - Indústria, Comércio, Importação e Exportação LTDA </t>
  </si>
  <si>
    <t>04537843000182</t>
  </si>
  <si>
    <t>Corporativo Socioambiental.</t>
  </si>
  <si>
    <t>Corporativo Socioambiental..</t>
  </si>
  <si>
    <t>ITAM - Indústria de Transformadores Amazonas LTDA</t>
  </si>
  <si>
    <t>15.815.491/0001-04</t>
  </si>
  <si>
    <t>Recofarma Indústria do Amazonas LTDA</t>
  </si>
  <si>
    <t>61454393000602</t>
  </si>
  <si>
    <t>Britânia Componentes Eletrônicos LTDA  - BRIC 352</t>
  </si>
  <si>
    <t>13699433000200</t>
  </si>
  <si>
    <t>Britânia Componentes Eletrônicos LTDA  - BRIC 353</t>
  </si>
  <si>
    <t>13699433000390</t>
  </si>
  <si>
    <t>Philco Eletronicos S.A</t>
  </si>
  <si>
    <t>SJL Soares - Treinamentos e Programas Ocupacionais</t>
  </si>
  <si>
    <t>39739344000152</t>
  </si>
  <si>
    <t>Jéssica Piotroski Alves</t>
  </si>
  <si>
    <t>051.923.973-32</t>
  </si>
  <si>
    <t>Konpax Construções LTDA</t>
  </si>
  <si>
    <t>11655258/000223</t>
  </si>
  <si>
    <t>Ponta Negra Administração e Empreendimentos Imobiliários LTDA</t>
  </si>
  <si>
    <t>04560769000115</t>
  </si>
  <si>
    <t>David Barbosa de Alencar</t>
  </si>
  <si>
    <t>708.715.232-72</t>
  </si>
  <si>
    <t>RLX Fluorochemical Importadora e Exportadora LTDA</t>
  </si>
  <si>
    <t>07312248000307</t>
  </si>
  <si>
    <t>Videolar Innova S.A (Abiurana)</t>
  </si>
  <si>
    <t>04229761000766</t>
  </si>
  <si>
    <t xml:space="preserve">LAV Norte Lavanderia LTDA </t>
  </si>
  <si>
    <t>13452690000323</t>
  </si>
  <si>
    <t>Vital Comercio, Locação e Serviços LTDA</t>
  </si>
  <si>
    <t>04950759000277</t>
  </si>
  <si>
    <t>LIASEVEN Soluções LTDA</t>
  </si>
  <si>
    <t>32.812.485/0001-04</t>
  </si>
  <si>
    <t>The Sun Condominium</t>
  </si>
  <si>
    <t>13540806000114</t>
  </si>
  <si>
    <t>E da Silva Bronzi LTDA - Instituto Brasileiro de Ensino do Norte</t>
  </si>
  <si>
    <t>08742358000100</t>
  </si>
  <si>
    <t>Tutiplast Indústria e Comércio LTDA - Filial</t>
  </si>
  <si>
    <t>Instrumental Técnico Ltda</t>
  </si>
  <si>
    <t>0000000000000000000</t>
  </si>
  <si>
    <t>Companhia Energetica Candeias</t>
  </si>
  <si>
    <t>10508162000199</t>
  </si>
  <si>
    <t>15699 BYD Indústria de Baterias LTDA</t>
  </si>
  <si>
    <t>27956445000104</t>
  </si>
  <si>
    <t xml:space="preserve">Ardagh Indústria de Embalagens Metálicas do Brasil LTDA </t>
  </si>
  <si>
    <t>27814911000109</t>
  </si>
  <si>
    <t>BP Serviços de Esterilização SPE S.A´- BP CME 28 de Agosto</t>
  </si>
  <si>
    <t>21821773000451</t>
  </si>
  <si>
    <t xml:space="preserve">Gilmara Eva Nogueira dos Santos - GD Engenharia </t>
  </si>
  <si>
    <t>39686222000145</t>
  </si>
  <si>
    <t>Eivissa Serviços Médicos</t>
  </si>
  <si>
    <t>27023634000116</t>
  </si>
  <si>
    <t xml:space="preserve">Edivaldo Lopes Barbosa </t>
  </si>
  <si>
    <t>877.339.862-49</t>
  </si>
  <si>
    <t>Clínica Mais Master Saúde LTDA</t>
  </si>
  <si>
    <t>55373455000144</t>
  </si>
  <si>
    <t>JF Organização Trading LTDA</t>
  </si>
  <si>
    <t>31019669000159</t>
  </si>
  <si>
    <t>Imbau Empreendimentos Imobiliarios Ltda - SCP Sitio Tilapia</t>
  </si>
  <si>
    <t>40726381000105</t>
  </si>
  <si>
    <t>Matadouro e Frigorífico Cristiano D'Ângelo LTDA</t>
  </si>
  <si>
    <t>Cotecna Serviços LTDA</t>
  </si>
  <si>
    <t>Concessionária dos Aeroportos da Amazônia S.A - CNPJ 42548035000371 - Insc. Est. Isento - Insc. Suframa 200424181 - Insc Munic 9097283 - End: Av. Plácido de Castro, S/n° Vila Aeroporto, CEP 69.923-900 Rio Branco / AC</t>
  </si>
  <si>
    <t>42548035000371</t>
  </si>
  <si>
    <t>Conin Construção e Montagem LTDA</t>
  </si>
  <si>
    <t>00712779000178</t>
  </si>
  <si>
    <t>Criativa Serviços Técnicos LTDA</t>
  </si>
  <si>
    <t>MJ Veículos LTDA</t>
  </si>
  <si>
    <t>04010407000150</t>
  </si>
  <si>
    <t>I3M Engenharia LTDA</t>
  </si>
  <si>
    <t>Mara Ferreira</t>
  </si>
  <si>
    <t>15765 Cesar - Centro de Estudos e Sistemas Avançados de Recife</t>
  </si>
  <si>
    <t>01203327000638</t>
  </si>
  <si>
    <t>Sabores do Amazonas Restaurante LTDA</t>
  </si>
  <si>
    <t>55624903000136</t>
  </si>
  <si>
    <t>Harman da Amazonia Industria Eletronica e Participações LTDA</t>
  </si>
  <si>
    <t>07703111000294</t>
  </si>
  <si>
    <t>Casa dos Geradores Comércio Serviços Importação e Exportação LTDA</t>
  </si>
  <si>
    <t>GIGA Industria E Comercio de Produtos de Segurança Eletronica S/A</t>
  </si>
  <si>
    <t>Quantum Tech</t>
  </si>
  <si>
    <t>Laboratório Reunidos da Amazônia S/A</t>
  </si>
  <si>
    <t>04528386000160</t>
  </si>
  <si>
    <t>DH3 Engenharia - DH Cavalcante Neto LTDA</t>
  </si>
  <si>
    <t>34619.69000107</t>
  </si>
  <si>
    <t>GIGA Industriaa e comércio de  produtos de segurança eletrônica S.A</t>
  </si>
  <si>
    <t>Pablo M Vieira</t>
  </si>
  <si>
    <t>09674579478</t>
  </si>
  <si>
    <t>Megaclean Indústria e Comércio de Produtos Químicos LTDA</t>
  </si>
  <si>
    <t>32780411000133</t>
  </si>
  <si>
    <t>Direcional Santo Antônio Empreendimentos Imobiliários LTDA</t>
  </si>
  <si>
    <t>12082405000367</t>
  </si>
  <si>
    <t>Indústria de Argamassas da Amazônia LTDA</t>
  </si>
  <si>
    <t>10294358000128</t>
  </si>
  <si>
    <t>TUPÃ INDÚSTRIA DE MOTOS LTDA</t>
  </si>
  <si>
    <t>Maverick Purificadora de Metais LTDA</t>
  </si>
  <si>
    <t>47024762000191</t>
  </si>
  <si>
    <t>Maquine Manutenção Elétrica ltda</t>
  </si>
  <si>
    <t>29118694/000148</t>
  </si>
  <si>
    <t>City Plastik Indústria e Comércio LTDA</t>
  </si>
  <si>
    <t>15776693000186</t>
  </si>
  <si>
    <t>Mega Work do Brasil Construtora e Locadora LTDA</t>
  </si>
  <si>
    <t>08902296000148</t>
  </si>
  <si>
    <t>RD Incorporação Imobiliária LTDA - RD INCORP</t>
  </si>
  <si>
    <t>07419298000118</t>
  </si>
  <si>
    <t>Fácil Segurança e Medicina do Trabalho LTDA - Ocupacional Safety</t>
  </si>
  <si>
    <t>37638280000178</t>
  </si>
  <si>
    <t>Gerselany Aquino Pimentel</t>
  </si>
  <si>
    <t>44157711220</t>
  </si>
  <si>
    <t xml:space="preserve">Concessionária dos Aeroportos da Amazônia S/A - Boa Vista </t>
  </si>
  <si>
    <t>42548035000703</t>
  </si>
  <si>
    <t xml:space="preserve">Palmaflan Energia SPE S.A </t>
  </si>
  <si>
    <t>34238198000168</t>
  </si>
  <si>
    <t>Alfatec Indústria e Comércio LTDA</t>
  </si>
  <si>
    <t xml:space="preserve">Grafeno Tecnologia Ambiental </t>
  </si>
  <si>
    <t>UNISSEG - Saúde, Segurança e Meio Ambiente</t>
  </si>
  <si>
    <t>30338934000107</t>
  </si>
  <si>
    <t>Sintezis Analises e Tecnologia Ambiental</t>
  </si>
  <si>
    <t xml:space="preserve">Pronto Cargo do Brasil LTDA </t>
  </si>
  <si>
    <t>Daniel Santana Ramos</t>
  </si>
  <si>
    <t>00660525216</t>
  </si>
  <si>
    <t>Matheus Mota Monteiro</t>
  </si>
  <si>
    <t>22874834000169</t>
  </si>
  <si>
    <t>84582973000106</t>
  </si>
  <si>
    <t>Rua Vigário João José Rodrigues, 905 - 7º Andar  Centro  Jundiaí/São Paulo</t>
  </si>
  <si>
    <t>Rua Rio Quixito, 86 -   Vila Buriti  Manaus/Amazonas</t>
  </si>
  <si>
    <t>Avenida Cuiba, Lote 5 - Area Portuária da CIA, doca do Pará  Sale  Santarém/Pará</t>
  </si>
  <si>
    <t>Avenida Autaz Mirim, 2645 -   Armando Mendes  Manaus/Amazonas</t>
  </si>
  <si>
    <t>Avenida Açaí, 1325 -   Distrito Industrial  Manaus/Amazonas</t>
  </si>
  <si>
    <t>Avenida Solimões, 105  - Lote 2.31  Distrito Industrial I  Manaus/Amazonas</t>
  </si>
  <si>
    <t>Av. Rodrigo Otávio, 2.890  -  Sala 03 Centro Comercial   Distrito Industrial I  Manaus/Amazonas</t>
  </si>
  <si>
    <t>Av. Buriti,  5.391 -   Distrito Industrial  Manaus/Amazonas</t>
  </si>
  <si>
    <t>Av. Buriti, 1.050 -   Distrito Industrial  Manaus/Amazonas</t>
  </si>
  <si>
    <t>Av. Djalma Batista, 3.637 - Sala 08  Flores  Manaus/Amazonas</t>
  </si>
  <si>
    <t>Av. Buriti, 3.501 -  Lote 03   Distrito Industrial I  Manaus/Amazonas</t>
  </si>
  <si>
    <t>Av. dos Oitis, 4.700 -   Distrito Industrail II  Manaus/Amazonas</t>
  </si>
  <si>
    <t>Rua Rio Jaguarão, 1.540 -   Vila Buriti  Manaus/Amazonas</t>
  </si>
  <si>
    <t>Av. Torquato Tapajós, 7.891  Tarumã  Manaus/Amazonas</t>
  </si>
  <si>
    <t>Av. Burit, 5.781  -   Distrito Industrial I  Manaus/Amazonas</t>
  </si>
  <si>
    <t>Rua Cmdor. Gutemberg Barbosa, 2  -   Ponta Negra II  Manaus/Amazonas</t>
  </si>
  <si>
    <t>Rua Abelardo Barbosa, 320  -   Aleixo  Manaus/Amazonas</t>
  </si>
  <si>
    <t>Av. Torquato Tapajos, 7.503  -  Galpão 02 Módulos 19 parte 20 e 21   Tarumã  Manaus/Amazonas</t>
  </si>
  <si>
    <t>Av. Torquato Tapajos, 8.003 -   Tarumã  Manaus/Amazonas</t>
  </si>
  <si>
    <t>Av. dos Oitis, 5.055  -   Distrito Industrial II  Manaus/Amazonas</t>
  </si>
  <si>
    <t>Rural S/N - Km 1 Rod -   AM 363 CP 101  Itacoatiara/Amazonas</t>
  </si>
  <si>
    <t>Rua Javari, 1.004 -   Distrito Industrial  Manaus/Amazonas</t>
  </si>
  <si>
    <t>Rua Nebraska, 202 -   Betânia  Manaus/Amazonas</t>
  </si>
  <si>
    <t>Av. Buriti, 4.821 -   Distrito Industrial  Manaus/Amazonas</t>
  </si>
  <si>
    <t>Rua da Granja Azul, 03  -  Galpão 01   Colônia Oliveira Machado  Manaus/Amazonas</t>
  </si>
  <si>
    <t>Rua da Granja Azul, n° 03  - Galpão 01  Col. Oliveira Machado  Manaus/Amazonas</t>
  </si>
  <si>
    <t>Rua José Romão, 452 -   São José Operário  Manaus/Amazonas</t>
  </si>
  <si>
    <t>Av. Buriti, 5.680 -   Distrito Industral  Manaus/Amazonas</t>
  </si>
  <si>
    <t>Rua Guiana Francesa, 01  -   Distrito Industial II  Manaus/Amazonas</t>
  </si>
  <si>
    <t>Rua Constelação de Gêmeos, 169 - Galpão 02  Aleixo  Manaus/Amazonas</t>
  </si>
  <si>
    <t>Rural S/N - Km 40 - Rural S/N - Km 40  - Área Rural de Manacapuru   Manacapuru  Manaus/Amazonas</t>
  </si>
  <si>
    <t>Rua Gisele, 1.000 -   Mauazinho  Manaus/Amazonas</t>
  </si>
  <si>
    <t>Rua Anhandui, 306 - Edifício D  Flores  Manaus/Amazonas</t>
  </si>
  <si>
    <t>Av. Flamboyant, 931 -   Distrito Industrial II  Manaus/Amazonas</t>
  </si>
  <si>
    <t>Av. Abiurana, 150 A -   Distrito Industrial  Manaus/Amazonas</t>
  </si>
  <si>
    <t>Est. BR 174 S/N  - Zona Rural   Ramal 14 Km 120  Presidente Figueiredo/Amazonas</t>
  </si>
  <si>
    <t>Est. Manoel Urbano S/N -   Km 02  Iranduba/Amazonas</t>
  </si>
  <si>
    <t>Av. dos Oitis N. 6.555  -  Terreo  Distrito Industrial II  Manaus/Amazonas</t>
  </si>
  <si>
    <t>Av. Curua - Uma   Jutaí  Santarém/Pará</t>
  </si>
  <si>
    <t>Rua Abelardo Barbosa, 486 -   Aleixo  Manaus/Amazonas</t>
  </si>
  <si>
    <t>Rua Bambuzinho, 831 -   Distrito Industrial II  Manaus/Amazonas</t>
  </si>
  <si>
    <t>V-Ac a Subestação Miranda II Da Eletronorte KM 3  -   Zona Rural  Miranda do Norte/Maranhão</t>
  </si>
  <si>
    <t>Rua Palmeira do Miriti, 1591  -   Distrito Industrial II  Manaus/Amazonas</t>
  </si>
  <si>
    <t>Av. Abiurana, 1150 -   Distrito Industrial  Manaus/Amazonas</t>
  </si>
  <si>
    <t>Av. dos Oitis, 1460  -   Distrito Industrial II  Manaus/Amazonas</t>
  </si>
  <si>
    <t>Av. Buriti, 2350 -   Distrito Industrial  Manaus/Amazonas</t>
  </si>
  <si>
    <t>Rua Matrinxa, 687 -   Distrito Industrial  Manaus/Amazonas</t>
  </si>
  <si>
    <t>Avenida do Turismo, 13520 Galpão 2  -   Tarumã  Manaus/Amazonas</t>
  </si>
  <si>
    <t>Rua Raimundo Nonato de Castro, 490 -   Santo Agostinho  Manaus/Amazonas</t>
  </si>
  <si>
    <t>Av. Açaí, 2659  Distrito Industrial  Manaus/Amazonas</t>
  </si>
  <si>
    <t>Alameda Albania, 50 -   Ponta Negra  Manaus/Amazonas</t>
  </si>
  <si>
    <t>Rua Palmeira do Miriti, 2564 -   Distrito Industrial II  Manaus/Amazonas</t>
  </si>
  <si>
    <t>Rua Palmeira do Miriti, 121 -   Gilberto Mestrinho  Manaus/Amazonas</t>
  </si>
  <si>
    <t>Av. Buriti, 3905  -   Distrito Industrial  Manaus/Amazonas</t>
  </si>
  <si>
    <t>Rua Jorge Baird,129 -   Nossa Senhora das Graças  Manaus/Amazonas</t>
  </si>
  <si>
    <t>Av. Torquato Tapajós, 7200  Colonia Terra Nova  Manaus/Amazonas</t>
  </si>
  <si>
    <t>Av. João Válerio,664  -   Nossa Senhora das Graças  Manaus/Amazonas</t>
  </si>
  <si>
    <t>Av. Pedro Teixeira, 725 -   Dom Pedro  Manaus/Amazonas</t>
  </si>
  <si>
    <t>Rua Desembargador Cesar do Rego, 02  -   Colônia Antônio Aleixo  Manaus/Amazonas</t>
  </si>
  <si>
    <t>Rodovia BR 174  -   Zona Rural  de Manaus  Manaus/Amazonas</t>
  </si>
  <si>
    <t>Av. Buriti, 3600  -   Distrito Industrial  Manaus/Amazonas</t>
  </si>
  <si>
    <t>Av. Torquato Tapajós ,17703  -  Área de Transição    Manaus/Amazonas</t>
  </si>
  <si>
    <t>Rua Bambuzinho, 532  -   Distrito Industrail II  Manaus/Amazonas</t>
  </si>
  <si>
    <t>Rua Hidra, 92  -   Santo Agostinho  Manaus/Amazonas</t>
  </si>
  <si>
    <t>Rua Franco de Sá,136 -   São Francisco  Manaus/Amazonas</t>
  </si>
  <si>
    <t>Av. Açaí,875   -   Distrito Industral  Manaus/Amazonas</t>
  </si>
  <si>
    <t>Rua Domingos Leite, 33  -   Bairro da paz  Manaus/Amazonas</t>
  </si>
  <si>
    <t>Av. Darcy Vargas, 755  -   Parque 10 de Novembro  Manaus/Amazonas</t>
  </si>
  <si>
    <t>Rua Angelo Cassol  -   Distrito Industrial  Porto Velho/Rondônia</t>
  </si>
  <si>
    <t>Rua João Valério, 230  -   Nossa Senhira das Graças  Manaus/Amazonas</t>
  </si>
  <si>
    <t>Área Rural  -   Área Rural de Manaus  Manaus/Amazonas</t>
  </si>
  <si>
    <t>Av. Professor Paulo Graça, 1901 -   Tarumã  Manaus/Amazonas</t>
  </si>
  <si>
    <t>Rua Recife, 3026  -   Parque 10  Manaus/Amazonas</t>
  </si>
  <si>
    <t>Rua Jorge Baird, 129  -   Nossa Senhora das Graças  Manaus/Amazonas</t>
  </si>
  <si>
    <t>Av. Solimões, 1825  -   Distrito Industrial  Manaus/Amazonas</t>
  </si>
  <si>
    <t>Rua Carlos José Sá 41 Pitangueiras -   Lauro de Freitas  Lauro de Freitas/Bahia</t>
  </si>
  <si>
    <t>Av. Torquato Tapajós, 5558   -   Flores  Manaus/Amazonas</t>
  </si>
  <si>
    <t>Estrada Torquato Tapajós,7500  -   Colonia Terra Nova  Manaus/Amazonas</t>
  </si>
  <si>
    <t>Av. Torquato Tapajós, 2236  -   Flores  Manaus/Amazonas</t>
  </si>
  <si>
    <t>Av. Torquato Tapajós, 2236   -     Manaus/Amazonas</t>
  </si>
  <si>
    <t>Av. Alvaro Maia N. 867 São Geraldo  -   São Geraldo  Manaus/Amazonas</t>
  </si>
  <si>
    <t>Rua Maceió, 618  -   Adrianopólis  Manaus/Amazonas</t>
  </si>
  <si>
    <t>Av. Darcy Vargas, 3000 -   Parque 10 de Novembro  Manaus/Amazonas</t>
  </si>
  <si>
    <t>Rua dos Passes, 02  -   Parque 10 de Novembro  Manaus/Amazonas</t>
  </si>
  <si>
    <t>Av. Maneca Marques, 16  -    Parque 10 de Novembro  Manaus/Amazonas</t>
  </si>
  <si>
    <t>Av. Ministro Mário Andreazza, 4120  Distrito Industrial  Manaus/Amazonas</t>
  </si>
  <si>
    <t>Av. Torquato Tapajós,5555  -   Tarumã  Manaus/Amazonas</t>
  </si>
  <si>
    <t>Av. Marcos Penteado de Uchoa Rodrigues, 1119  -   Tamboré  Barueri/São Paulo</t>
  </si>
  <si>
    <t>Rua Matrinxa N. 1165  -   Distrito Industrial  Manaus/Amazonas</t>
  </si>
  <si>
    <t>Rodovia Torquato Tapajós, 6548  -   Colônia Terra Nova  Manaus/Amazonas</t>
  </si>
  <si>
    <t>Rua Ipê, n° 535 - Distrito Industrial -  -   Distrito Industrial  Manaus/Amazonas</t>
  </si>
  <si>
    <t>Av. Buriti, 3000  -   Distrito Industrial  Manaus/Amazonas</t>
  </si>
  <si>
    <t>Av. Autaz Mirim, 1383 -   Distrito Industrial  Manaus/Amazonas</t>
  </si>
  <si>
    <t>Av. Grande Otelo  -   Parque 10 de Novembro  Manaus/Amazonas</t>
  </si>
  <si>
    <t>Av. do Cetur, 499  -   Tarumã  Manaus/Amazonas</t>
  </si>
  <si>
    <t>Av. Max Teixeira, 334 -  -   Flores  Manaus/Amazonas</t>
  </si>
  <si>
    <t>Av. Cosme Ferreira, 12640 -   Colônia Terra Nova  Manaus/Amazonas</t>
  </si>
  <si>
    <t>Av. Guaruba, 585  -   Distrito Industrial  Manaus/Amazonas</t>
  </si>
  <si>
    <t>Av. Cupiuba, 557  -   Distrito Industrial  Manaus/Amazonas</t>
  </si>
  <si>
    <t>AM 010  -   Zona Rural  Manaus/Amazonas</t>
  </si>
  <si>
    <t>Rua Olegario Mariano, 99  -   Santo Agostinho  Manaus/Amazonas</t>
  </si>
  <si>
    <t>Av. Camapua, N. 416 - Novo Aleixo - Manaus/AM -   Novo Aleixo  Manaus/Amazonas</t>
  </si>
  <si>
    <t>Rua Vanessa Marques, 11  -   Parque 10 de Novembro  Manaus/Amazonas</t>
  </si>
  <si>
    <t>Rua Içá, 500  -   Distrito Industrial  Manaus/Amazonas</t>
  </si>
  <si>
    <t>Rua Pajurazinho, 625 -   Distrito Industrial  Manaus/Amazonas</t>
  </si>
  <si>
    <t>Av. do Turismo, 2539  -   Ponta Negra  Manaus/Amazonas</t>
  </si>
  <si>
    <t>Av. Jorn. Humberto Calderaro Filho, 1088  -   Adrianopólis  Manaus/Amazonas</t>
  </si>
  <si>
    <t>Rua da Paz,  9  -   Presidentes Vargas  Manaus/Amazonas</t>
  </si>
  <si>
    <t>Av. Cupiuba, 401  -   Distrito Idustria  Manaus/Amazonas</t>
  </si>
  <si>
    <t>Av. Torquato Tapajós, 4010 -   Colônia Santo Antônio  Manaus/Amazonas</t>
  </si>
  <si>
    <t>Av. Torquato Tapajós,  7937  -   Tarumã  Manaus/Amazonas</t>
  </si>
  <si>
    <t>Rua Henrique Martins,  427  -   Centro  Manaus/Amazonas</t>
  </si>
  <si>
    <t>Rua Rio Quixito, 1223 - -   Distrito Industrial  Manaus/Amazonas</t>
  </si>
  <si>
    <t>Av. Torquato Tapajós, 17522  -   Lagoa Azul  Manaus/Amazonas</t>
  </si>
  <si>
    <t>Av. Doutor Theomario Pinto da Costa,  811  -   Chapada  Manaus/Amazonas</t>
  </si>
  <si>
    <t>Av. Coronel Teixeira, 6225  -   Ponta Negra  Manaus/Amazonas</t>
  </si>
  <si>
    <t>Av. Buruti, 3650  -   Distrito Industrail  Manaus/Amazonas</t>
  </si>
  <si>
    <t>Rua Guapirama, 52  -   Cidade Nova  Manaus/Amazonas</t>
  </si>
  <si>
    <t>Av. Ramos Ferreira, 1086  -   Centro  Manaus/Amazonas</t>
  </si>
  <si>
    <t>Av. Cupiuba, 753  -   Distrito Industrial  Manaus/Amazonas</t>
  </si>
  <si>
    <t>Av. Coronel Teixeira,  6402  -   Santo Agostinho  Manaus/Amazonas</t>
  </si>
  <si>
    <t>Av. Cupiuba, 401 -   Distrito Industrial  Manaus/Amazonas</t>
  </si>
  <si>
    <t>Est. Gleba 10 - Unidade 04  Distrito de Miritituba  Itaituba/Pará</t>
  </si>
  <si>
    <t>Av. Castelo Branco, 629  -   Cachoerinha  Manaus/Amazonas</t>
  </si>
  <si>
    <t>Rua Raimundo Nonato de Castro,685 -   Ponta Negra  Manaus/Amazonas</t>
  </si>
  <si>
    <t>Rua Rio Amazonas, 409  -   São Francisco  Manaus/Amazonas</t>
  </si>
  <si>
    <t>Rua Zebu, 1 -   Colônia Oliveira Machado  Manaus/Amazonas</t>
  </si>
  <si>
    <t>Av. Ministro Mario Anderazza, 4120  -   Distrito Industrial  Manaus/Amazonas</t>
  </si>
  <si>
    <t>Av.Cosme Ferreira, 3276  -   Coroado  Manaus/Amazonas</t>
  </si>
  <si>
    <t>Av. Desembargador João Machado, 391  -   Alvorada I  Manaus/Amazonas</t>
  </si>
  <si>
    <t>Av. Dona Otilia, 1490  -   Tarumã  Manaus/Amazonas</t>
  </si>
  <si>
    <t>Av. Castelo Branco, 1709  -   Cachoerinha  Manaus/Amazonas</t>
  </si>
  <si>
    <t>Av. Darcy Vargas, 645  -   Parque 10 de Novembro  Manaus/Amazonas</t>
  </si>
  <si>
    <t>Rua Rio Mutuzinho, 16  -   Armando Mendes  Manaus/Amazonas</t>
  </si>
  <si>
    <t>Av. Torquato Tapajós, 7503  -   Tarumã  Manaus/Amazonas</t>
  </si>
  <si>
    <t>Rua Ministro João Gonçalves de Araújo, 472  -   Distrito Industrial  Manaus/Amazonas</t>
  </si>
  <si>
    <t>Av. Efigênio Sales,  1800 -   Aleixo  Manaus/Amazonas</t>
  </si>
  <si>
    <t>Av. Margarita, 141  -   Monte das Oliveiras  Manaus/Amazonas</t>
  </si>
  <si>
    <t>Av. Leopaldo Peres,  41  -   Educandos  Manaus/Amazonas</t>
  </si>
  <si>
    <t>Rua Amancio de Miranda, 437  -   Educandos  Manaus/Amazonas</t>
  </si>
  <si>
    <t>Av. João Válerio, 250 -   São Geraldo  Manaus/Amazonas</t>
  </si>
  <si>
    <t>Av. Puraquequara, 1720  -   Puraquequara  Manaus/Amazonas</t>
  </si>
  <si>
    <t>Avenida Solimões, 805  Distrito Industrial I  Manaus/Amazonas</t>
  </si>
  <si>
    <t>Rua São Raimundo, 15  -   Santo Antonio  Manaus/Amazonas</t>
  </si>
  <si>
    <t>Rua Rio Jaguarão, 752  -   Distrito Industrial  Manaus/Amazonas</t>
  </si>
  <si>
    <t>Rua Licuri, 2010  -   Distrito Industrial  Manaus/Amazonas</t>
  </si>
  <si>
    <t>Av. Torquato Tapajós, 11760  -   Santa Etelvina  Manaus/Amazonas</t>
  </si>
  <si>
    <t>Av. Dom Pedro I,  29  -   Dom Pedro I  Manaus/Amazonas</t>
  </si>
  <si>
    <t>Rua Andorinha, 448  -   Jorge Teixeira  Manaus/Amazonas</t>
  </si>
  <si>
    <t>Av. Pedro Teixeira, 113 -   Dom Pedro  Manaus/Amazonas</t>
  </si>
  <si>
    <t>Av. Governador Jose Lindoso, 3211  -   Parque 10 de Novembro  Manaus/Amazonas</t>
  </si>
  <si>
    <t>Av. Dalma Batista, 4360  -   Flores  Manaus/Amazonas</t>
  </si>
  <si>
    <t>Rua Rio Arnon,  13  -   Nova Cidade  Manaus/Amazonas</t>
  </si>
  <si>
    <t>Av. Torquato Tapajós, 5  -   Lago Azul  Manaus/Amazonas</t>
  </si>
  <si>
    <t>Av. dos Oitis, 1771 -   Armando Mendes  Manaus/Amazonas</t>
  </si>
  <si>
    <t>Av. Laguna,  68 -   Planalto  Manaus/Amazonas</t>
  </si>
  <si>
    <t>Av. Dalma Batista, 700  -   Nossa Senhora das Graças  Manaus/Amazonas</t>
  </si>
  <si>
    <t>Rua Conde de Itaguai, 374 -   Flores  Manaus/Amazonas</t>
  </si>
  <si>
    <t>Av. Abiurana,  2351  -   Mauazinho  Manaus/Amazonas</t>
  </si>
  <si>
    <t>Av. do Turismo, 7000 -   Tarumã  Manaus/Amazonas</t>
  </si>
  <si>
    <t>Rua Gisele  1082  -   Mauazinho  Manaus/Amazonas</t>
  </si>
  <si>
    <t>Av. Doutor Theomarino Pinto da Costa, 5040  -   Chapada  Manaus/Amazonas</t>
  </si>
  <si>
    <t>Av. Padre Agostinho Caballero Martin, 23 -   São Raimundo  Manaus/Amazonas</t>
  </si>
  <si>
    <t>Av. Abiurana  1149 -   Distrito Industrial  Manaus/Amazonas</t>
  </si>
  <si>
    <t>Av. Coronel Teixeira, 4919 -   Ponta Negra  Manaus/Amazonas</t>
  </si>
  <si>
    <t>Rua Rio Jaguarão,1842  -   Vila Buriti  Manaus/Amazonas</t>
  </si>
  <si>
    <t>Av. Tefé, 500  -   Japiim  Manaus/Amazonas</t>
  </si>
  <si>
    <t>Rua Pajura,171 -   Vila Buriti  Manaus/Amazonas</t>
  </si>
  <si>
    <t>Av. Abiurana, 2305  -   Mauazinho  Manaus/Amazonas</t>
  </si>
  <si>
    <t>Av. Professor Paulo Graça, 7940  -   Lago Azul  Manaus/Amazonas</t>
  </si>
  <si>
    <t>Av. Açaí ,2045 -   Distrito Industral  Manaus/Amazonas</t>
  </si>
  <si>
    <t>Rua Matrinxa, 1111 -   Distrito Industral  Manaus/Amazonas</t>
  </si>
  <si>
    <t>Av. André Araújo,1150 -   São Francisco  Manaus/Amazonas</t>
  </si>
  <si>
    <t>Rua General Jacinto Botinelly -   Alvorada  Manaus/Amazonas</t>
  </si>
  <si>
    <t>Rua Gabriel Gonçalves, 345  -   Aleixo  Manaus/Amazonas</t>
  </si>
  <si>
    <t>Rua Acre, 428 -   Nossa Senhora das Graças  Manaus/Amazonas</t>
  </si>
  <si>
    <t>Rua Acre, 428  -   Nossa Senhora das Graças  Manaus/Amazonas</t>
  </si>
  <si>
    <t>Av. Desembargador, 6233  -   Alvorada  Manaus/Amazonas</t>
  </si>
  <si>
    <t>Av. Ephigenio Salles, 1235  -   Aleixo  Manaus/Amazonas</t>
  </si>
  <si>
    <t>Av. Torquato Tapajós, 4010 -     Manaus/Amazonas</t>
  </si>
  <si>
    <t>Av. Borba ,1423 -   Cachoerinha  Manaus/Amazonas</t>
  </si>
  <si>
    <t>Av. Max Teixeira, 2047  -   Colônia Santo Antônio  Manaus/Amazonas</t>
  </si>
  <si>
    <t>Rua Belém , 929  -   São Fracisco  Manaus/Amazonas</t>
  </si>
  <si>
    <t>Av. Torquato Tapajós, 4240 -   Colônia Santo Antônio  Manaus/Amazonas</t>
  </si>
  <si>
    <t>Av. do Turismo,  2666  -   Tarumã  Manaus/Amazonas</t>
  </si>
  <si>
    <t>Q SBS Quadra, 02  -   Asa Sul  Brasília/Distrito Federal</t>
  </si>
  <si>
    <t>Av. Torquato Tapajó, 2475  -     Manaus/Amazonas</t>
  </si>
  <si>
    <t>Rua Lisboa, 12 -   Planalto  Manaus/Amazonas</t>
  </si>
  <si>
    <t>Av. Torquato tapajós, no 7900  Colônia Santo Antônio  Manaus/Amazonas</t>
  </si>
  <si>
    <t>Av. Ayrão,  518  -   Centro  Manaus/Amazonas</t>
  </si>
  <si>
    <t>Av. São Jorge, 16 -   São Jorge  Manaus/Amazonas</t>
  </si>
  <si>
    <t>Rua Hildegardo Bantim, 1251 -   Distrito Industrial Governador Aquilino Mota Duart  Boa Vista/Roraima</t>
  </si>
  <si>
    <t>Rua Des. Filismino Soares, 70  -   Colônia Oliveira Machado  Manaus/Amazonas</t>
  </si>
  <si>
    <t>Rua Mogno N. 11 - Distrito Industrial - Manaus/AM -   Distrito Industrial  Manaus/Amazonas</t>
  </si>
  <si>
    <t>Av. Autaz Mirim N. 11 -Tancredo Neves - Manaus/AM -   Tancredo Neves  Manaus/Amazonas</t>
  </si>
  <si>
    <t>Av. Coronel Teixeira N. 5705 - Ponta Negra -   Ponta Negra  Manaus/Amazonas</t>
  </si>
  <si>
    <t>Rua Acara, 200 -   Distrito Industrial  Manaus/Amazonas</t>
  </si>
  <si>
    <t>Av. Torquato Tapajós, 6100  -   Flores  Manaus/Amazonas</t>
  </si>
  <si>
    <t>Av. Autaz Mirim, 1030  -   Distrito Industrial  Manaus/Amazonas</t>
  </si>
  <si>
    <t>Av. dos Oitis N. 6343 - Distrito Industrial - Manaus/AM -   Distrito Industrial  Manaus/Amazonas</t>
  </si>
  <si>
    <t>AC Linha C-55, KM 02 - Lote 01/A1, gleba 03  Área Rural de Ariquemes  Ariquemes/Rondônia</t>
  </si>
  <si>
    <t>Av. Efigenio Salles, 428  -   Parque 10 de Novembro  Manaus/Amazonas</t>
  </si>
  <si>
    <t>Rua Constelação de Touro, 299  -   Aleixo  Manaus/Amazonas</t>
  </si>
  <si>
    <t>Av. Buruti, 4100  -   Distrito Industrial  Manaus/Amazonas</t>
  </si>
  <si>
    <t>Av. Presidente Vargas, 4597  -   Caranazal  Manaus/Amazonas</t>
  </si>
  <si>
    <t>Rua Carmem Coelho Pinto,  2389  -   Zona Rural  Manaus/Amazonas</t>
  </si>
  <si>
    <t>Rua Emiliano Perneta, 860 -   Central  Curitiba/Paraná</t>
  </si>
  <si>
    <t>Av. Leonardo Malcher, 1444  -   Praça 14 de Janeiro  Manaus/Amazonas</t>
  </si>
  <si>
    <t>Estrada Areia Branca, 2200  -   Areia Branca  Porto Velho/Rondônia</t>
  </si>
  <si>
    <t>TV do Café  -   Distrito Industrial  Rio Branco/Acre</t>
  </si>
  <si>
    <t>Rua Flamboyant ( o verde), 22 -   Coroado  Manaus/Amazonas</t>
  </si>
  <si>
    <t>Av. Joaquim Nabuco, 2033  -   Centro  Manaus/Amazonas</t>
  </si>
  <si>
    <t>Av. Mario Ypiranga N. 987  -   Adrianópolis  Manaus/Amazonas</t>
  </si>
  <si>
    <t>Av. Jornalista Umberto Calderaro Filho N. 817  -   Adrianópolis  Manaus/Amazonas</t>
  </si>
  <si>
    <t>Av. Desembargador João Machado N. 1600  -   Alvorada I  Manaus/Amazonas</t>
  </si>
  <si>
    <t>Av. Presidente Kennedy, N. 920  -   Colônia Oliveira Machado  Manaus/Amazonas</t>
  </si>
  <si>
    <t>Rua Rio Jaguarão N. 1842 -   Vila Buriti  Manaus/Amazonas</t>
  </si>
  <si>
    <t>Av. Djalma Batista N. 98  -   Parque 10 de Novembro  Manaus/Amazonas</t>
  </si>
  <si>
    <t>Rua Lagoa de Pedras N. 2  -   Nova Cidade  Manaus/Amazonas</t>
  </si>
  <si>
    <t>Av. Cuiaba S/N Cdp, Lote 04  Sale  Santarém/Pará</t>
  </si>
  <si>
    <t>Av. Ilhas Marquesas N. 19  -   Bairro da Paz  Manaus/Amazonas</t>
  </si>
  <si>
    <t>Av. Djalma Batista N. 1719  -   Chapada  Manaus/Amazonas</t>
  </si>
  <si>
    <t>Av. Constantino Nery N. 1977  -   São Geraldo  Manaus/Amazonas</t>
  </si>
  <si>
    <t>Rua Issac Benchimol N. 120  -   Distrito Industrial  Rio Branco/Acre</t>
  </si>
  <si>
    <t>Rua Misushiro N. 210  -   Parque 10 de Novembro  Manaus/Amazonas</t>
  </si>
  <si>
    <t>Av. Torquato Tapajós N. 4920  -   Colônia Santo Antônio  Manaus/Amazonas</t>
  </si>
  <si>
    <t>Rua Jurua N. 160  -   Distrito Industrial  Manaus/Amazonas</t>
  </si>
  <si>
    <t>Av. Tefé N. 850  -   Japiim  Manaus/Amazonas</t>
  </si>
  <si>
    <t>Av. Adolfo Ducker I N. 205  -   Coroado  Manaus/Amazonas</t>
  </si>
  <si>
    <t>Av. Mario Ypiranga N. 1208  -   Adrianópolis  Manaus/Amazonas</t>
  </si>
  <si>
    <t>Rua Rio Tiapana N. 33  -   São José Operário  Manaus/Amazonas</t>
  </si>
  <si>
    <t>Rua Hidelbrando Antony N. 409  -   Alvorada  Manaus/Amazonas</t>
  </si>
  <si>
    <t>Rua Cumucim N. 122  -   Aleixo  Manaus/Amazonas</t>
  </si>
  <si>
    <t>Av. Cosme Ferreira N. 1620  Coroado  -   Manaus  Manaus/Amazonas</t>
  </si>
  <si>
    <t>Av. Abiurana N. 980  -   Distrito Industrial  Manaus/Amazonas</t>
  </si>
  <si>
    <t>Rua Ipe, 194  -   Distrito Industrial  Manaus/Amazonas</t>
  </si>
  <si>
    <t>Rua Acre N. 428  -   Nossa Senhora das Graças  Manaus/Amazonas</t>
  </si>
  <si>
    <t>Rua Ministro João Gonçalves de Araújo, N. 1274  -   Distrito Industrial Marechal Castelo Branco  Manaus/Amazonas</t>
  </si>
  <si>
    <t>Av. Torquato Tapajós,5800  -   Colônia Terra Nova  Manaus/Amazonas</t>
  </si>
  <si>
    <t>Rua Recife,1000  -   Adrianapolis  Manaus/Amazonas</t>
  </si>
  <si>
    <t>Rua da Tailandia, 85  -   Gr. Rurais Presidente Varga  Salvador/Bahia</t>
  </si>
  <si>
    <t>Av. Buriti , 5593  -   Distrito Industrial  Manaus/Amazonas</t>
  </si>
  <si>
    <t>Av. Torquato Tapajós, 7200  -   Colonia Terra Nova  Manaus/Amazonas</t>
  </si>
  <si>
    <t>Rua Rio Itannana, 109  -   Nossa Senhora das Graças  Manaus/Amazonas</t>
  </si>
  <si>
    <t>Av. Torquato Tapajós, 8251  -   Tarumã  Manaus/Amazonas</t>
  </si>
  <si>
    <t>Av. Ramos Ferreira, 498  -   Centro  Manaus/Amazonas</t>
  </si>
  <si>
    <t>Estrada das Indústrias   Zona Urbana  Manaus/Amazonas</t>
  </si>
  <si>
    <t>Rua Raimundo Nonato de Castro, 550  -   Santo Agostinho  Manaus/Amazonas</t>
  </si>
  <si>
    <t>Av. Rio Jutaí N. 7  -   Nossa Senhora das Graças  Manaus/Amazonas</t>
  </si>
  <si>
    <t>Rua Salvador N. 120  -   Adrianópolis  Manaus/Amazonas</t>
  </si>
  <si>
    <t>Estrada das Industrias  -   Zona Urbana  Itacoatiara/Amazonas</t>
  </si>
  <si>
    <t>Rua Vicente de Porto Alegre N. 432  -   Centro  Manaus/Amazonas</t>
  </si>
  <si>
    <t>Rua Raimundo A. Borges N. 279  -   Manaus  Manaus/Amazonas</t>
  </si>
  <si>
    <t>Rod. Vital de Mendonça Estrada  - AM 010   Zona Rural  Itacoatiara/Amazonas</t>
  </si>
  <si>
    <t>Av. Ayrton Senna N. 02541  -   Barra da Tijuca  Rio de Janeiro/Rio de Janeiro</t>
  </si>
  <si>
    <t>Av. Laguna N. 1380  -   Planalto  Manaus/Amazonas</t>
  </si>
  <si>
    <t>Rua Violeta Bayama N. 414  -   Gilberto Mestrinho  Manaus/Amazonas</t>
  </si>
  <si>
    <t>Av. Humaitá N. 465  -   Cachoeirinha  Manaus/Amazonas</t>
  </si>
  <si>
    <t>Rod. Manoel Urbano  -   Zona Rural  Manaus/Amazonas</t>
  </si>
  <si>
    <t>Rua Colider N. 14  -   Novo Aleixo  Manaus/Amazonas</t>
  </si>
  <si>
    <t>Av. Buriti N. 5000  -   Distrito Industrial  Manaus/Amazonas</t>
  </si>
  <si>
    <t>Rua Rio Prapo N. 91  -   Vila Buriti  Manaus/Amazonas</t>
  </si>
  <si>
    <t>Rua Raimundo Nonato de Castro N. 773  -   Ponta Negra  Manaus/Amazonas</t>
  </si>
  <si>
    <t>Rua Nelson Batista de Sales N. 05  -   Aleixo  Manaus/Amazonas</t>
  </si>
  <si>
    <t>Av. dos Migrantes N. 0101  -   São Sebastião  Porto Velho/Rondônia</t>
  </si>
  <si>
    <t>Av. Cosme Ferreira N. 443  -   Aleixo  Manaus/Amazonas</t>
  </si>
  <si>
    <t>Rua Via Lactea N. 1086  -   Aleixo  Manaus/Amazonas</t>
  </si>
  <si>
    <t>Rua Carlos Henrique Mohering N. 1300  -   Jauary II  Itacoatiara/Amazonas</t>
  </si>
  <si>
    <t>Av. Tefé N. 2165  -   Raiz  Manaus/Amazonas</t>
  </si>
  <si>
    <t>Rua Acre N. 00055  -   Centro  Rio de Janeiro/Rio de Janeiro</t>
  </si>
  <si>
    <t>Av. Borba N. 775  -   Cachoeirinha  Manaus/Amazonas</t>
  </si>
  <si>
    <t>Av. Torquato Tapajós N. 1292  -   Bairro da Paz  Manaus/Amazonas</t>
  </si>
  <si>
    <t>Av. Max Teixeira N. 30  -   Colônia Santo Antõnio  Manaus/Amazonas</t>
  </si>
  <si>
    <t>Est. Stone N. 900  -   Jauary I  Itacoatiara/Amazonas</t>
  </si>
  <si>
    <t>Rua 20 (CJ C Branco) N. 781  -   Parque 10 de Novembro  Manaus/Amazonas</t>
  </si>
  <si>
    <t>Av. Camapua, N. 0  -   Novo Aleixo  Manaus/Amazonas</t>
  </si>
  <si>
    <t>Av. Buriti, 5500  -   Distrito Industrial I  Manaus/Amazonas</t>
  </si>
  <si>
    <t>Av. Bispo Pedro Massa N. 12  -   Cidade Nova  Manaus/Amazonas</t>
  </si>
  <si>
    <t>Rua Igarapé Água Preta N. 194  -   Armando Mendes  Manaus/Amazonas</t>
  </si>
  <si>
    <t>Rua Olegario Mariano, N. 99  -   Santo Agostinho  Manaus/Amazonas</t>
  </si>
  <si>
    <t>Rua Tereza D'avila N. 20  -   Santa Etelvina  Manaus/Amazonas</t>
  </si>
  <si>
    <t>Av. Governador Jose Lindoso, N. 280  -   Aleixo  Manaus/Amazonas</t>
  </si>
  <si>
    <t>Av. Cruzeiro N. 300  -   Distrito Industrial  Cachoeirinha/Rio Grande do Sul</t>
  </si>
  <si>
    <t>Av. Buriti N. 4021  -   Distrito Industrial  Manaus/Amazonas</t>
  </si>
  <si>
    <t>Av. Coronel Teixeira, N. 9555  -   Ponta Negra  Manaus/Amazonas</t>
  </si>
  <si>
    <t>Av. Rodrigo Otávio N. 900  -   Japiim  Manaus/Amazonas</t>
  </si>
  <si>
    <t>Av. Rio Sucunduri MD N. 10 HÁ  -   Zona Rural  Borba/Amazonas</t>
  </si>
  <si>
    <t>Rua Fialho D'Almeida N. 145B  -   Compensa  Manaus/Amazonas</t>
  </si>
  <si>
    <t>Rua Jutaí N. 275  -   Distrito Industrial  Manaus/Amazonas</t>
  </si>
  <si>
    <t>Av. Jornalista Umberto Calderaro Filho N. 1973  -   Parque 10 de Novembro  Manaus/Amazonas</t>
  </si>
  <si>
    <t>Av. Cosme Ferreira N. 10590  -   Mauazinho  Manaus/Amazonas</t>
  </si>
  <si>
    <t>Rua Desembargador Cesar do Rego N. 897  -   Colônia Antônio Aleixo  Manaus/Amazonas</t>
  </si>
  <si>
    <t>Av. Djalma Batista N. 3505  -   Flores  Manaus/Amazonas</t>
  </si>
  <si>
    <t>Rua Gerson Franca Quadra N. 18 - 28  Jardim Estoril II  Bauru/São Paulo</t>
  </si>
  <si>
    <t>Av. Tancredo Neves N. 728  -   Parque Dez  Manaus/Amazonas</t>
  </si>
  <si>
    <t>Rua Brasilia, 249   São Jorge  Manaus/Amazonas</t>
  </si>
  <si>
    <t>Rua do Luso N. 1567  -   Taruma  Manaus/Amazonas</t>
  </si>
  <si>
    <t>Rua Beija Flor Vermelho N. 232  -   Taruma  Manaus/Amazonas</t>
  </si>
  <si>
    <t>Rua Candelaria N. 395 -   Coroado  Manaus/Amazonas</t>
  </si>
  <si>
    <t>Rua Tobias Barreto N. 282  -   Compensa  Manaus/Amazonas</t>
  </si>
  <si>
    <t>Av. Luiz Tarquino Pontes N. 2580  -     Lauro de Freitas/Bahia</t>
  </si>
  <si>
    <t>Av. do Turismo N. 381  -   Taruma  Manaus/Amazonas</t>
  </si>
  <si>
    <t>Av. Buriti N. 1900  -   Distrito Industrial  Manaus/Amazonas</t>
  </si>
  <si>
    <t>Rua Barão de Surui N. 16  -   Flores  Manaus/Amazonas</t>
  </si>
  <si>
    <t>Rua Javari N. 1155  -   Distrito Industrial  Manaus/Amazonas</t>
  </si>
  <si>
    <t>Av. Djalma Batista N. 1071  -   São Geraldo  Manaus/Amazonas</t>
  </si>
  <si>
    <t>Rua Cremona N. 335  -   Alvorada  Manaus/Amazonas</t>
  </si>
  <si>
    <t>Rua Terezina N. 95  -   Adrianópolis  Manaus/Amazonas</t>
  </si>
  <si>
    <t>Av. Carlos Gomes N. 1771  -   São Cristovão  Porto Velho/Rondônia</t>
  </si>
  <si>
    <t>Av. Maica N. 75  -   Santana  Santarém/Pará</t>
  </si>
  <si>
    <t>Av. Ministro Mario Anderazza   -   Mauazinho  Manaus/Amazonas</t>
  </si>
  <si>
    <t>Rua Javari N. 1165  -   Distrito Industrial  Manaus/Amazonas</t>
  </si>
  <si>
    <t>Av. Pedro Teixeira N. 725  - Lote 04  Dom Pedro  Manaus/Amazonas</t>
  </si>
  <si>
    <t>Est. Coari Mamia  -   Zona Rural  Manaus/Amazonas</t>
  </si>
  <si>
    <t>Rua Escandio N. 47  -   Vila da Prata  Manaus/Amazonas</t>
  </si>
  <si>
    <t>Rua Anhandui N. 520  -   Flores  Manaus/Amazonas</t>
  </si>
  <si>
    <t>Rod. BR 421 N. 0  -   Apoio BR 421  Ariquemes/Rondônia</t>
  </si>
  <si>
    <t>Rua Rio Amapá N. 18  -   Nossa Senhora das Graças  Manaus/Amazonas</t>
  </si>
  <si>
    <t>Rua Jutaí N. 405  -   Distrito Industrial  Manaus/Amazonas</t>
  </si>
  <si>
    <t>Rua dos Igarapés N. 0  -   Ponta Negra  Manaus/Amazonas</t>
  </si>
  <si>
    <t>Rua Sargento Bulcao N. 30  -   Flores  Manaus/Amazonas</t>
  </si>
  <si>
    <t>Av. Codajás N. 1566  -   Petrópolis  Manaus/Amazonas</t>
  </si>
  <si>
    <t>Av. dos Oitis N. 2449  -   Armando Mendes  Manaus/Amazonas</t>
  </si>
  <si>
    <t>10 Rua Anhandui N. 520  -   Flores  Manaus/Amazonas</t>
  </si>
  <si>
    <t>Rua Duque de Caxias, 1921   Praça 14 de Janeiro  Manaus/Amazonas</t>
  </si>
  <si>
    <t>Av. Torquato Tapajós N. 1409  -   Bairro da Paz  Manaus/Amazonas</t>
  </si>
  <si>
    <t>Av. Coronel Teixeira N. 7995  -   Nova Esperança  Manaus/Amazonas</t>
  </si>
  <si>
    <t>Av. Buriti N. 6170  -   Distrito Industrial  Manaus/Amazonas</t>
  </si>
  <si>
    <t>Av. Torquato Tapajós N. 7080  -   Colonia Terra Nova  Manaus/Amazonas</t>
  </si>
  <si>
    <t>Rua Manoel Marques de Souza (CJ Branco) N. 348  -   Parque 10 de Novembro  Manaus/Amazonas</t>
  </si>
  <si>
    <t>Av. Governador Danilo Areosa N. 139  -   Distrito Industrial  Manaus/Amazonas</t>
  </si>
  <si>
    <t>Rua Ponta Grossa N. 256  -   Colônia Oliveira Machado  Manaus/Amazonas</t>
  </si>
  <si>
    <t>Rua Frei Miguel Angelo N. 328  -   Gilberto Mestrinho  Manaus/Amazonas</t>
  </si>
  <si>
    <t>Est. Feliciano AS  -   Dom Bosco  Manicoré/Amazonas</t>
  </si>
  <si>
    <t>Rua Belo Horizonte N. 19  -   Adrianopolis  Manaus/Amazonas</t>
  </si>
  <si>
    <t>Av. Ceci N. 238  -   Tamboré  Barueri/São Paulo</t>
  </si>
  <si>
    <t>Av. Coronel Teixeira N. 1  -   Santo Agostinho  Manaus/Amazonas</t>
  </si>
  <si>
    <t>Est. Do Jatuarana  -   Cristo Rei  Borba/Amazonas</t>
  </si>
  <si>
    <t>Est. do Curupira  -   Zona Urbana  Nova Olinda do Norte/Amazonas</t>
  </si>
  <si>
    <t>Rod. AZ -   KM 3  Autazes/Amazonas</t>
  </si>
  <si>
    <t>Av. 7 de Maio N. 37  -   Santa Etelvina  Manaus/Amazonas</t>
  </si>
  <si>
    <t>Rua Paris N.14  -   Planalto  Manaus/Amazonas</t>
  </si>
  <si>
    <t>Rua Ponta Grossa, n° 20  -   Col. Oliveira Machado  Manaus/Amazonas</t>
  </si>
  <si>
    <t>Av. André Araújo N. 1555  -   Aleixo  Manaus/Amazonas</t>
  </si>
  <si>
    <t>Rua Desembargador Cesar do rego N. 270  -   Colônia Antônio Aleixo  Manaus/Amazonas</t>
  </si>
  <si>
    <t>Av. dos Oitis N. 307  -   Distrito Industrial  Manaus/Amazonas</t>
  </si>
  <si>
    <t>Av. Professor Nilton Lins N. 385  -   Flores  Manaus/Amazonas</t>
  </si>
  <si>
    <t>Av. Torquato Tapajós N. 9250  -   Colônia Terra Nova  Manaus/Amazonas</t>
  </si>
  <si>
    <t>Av. Cosme Fereira N. 11398  -   Colônia Antônio Aleixo  Manaus/Amazonas</t>
  </si>
  <si>
    <t>TV Professora Isaura Barroncas N. 23  -   Alvorada  Manaus/Amazonas</t>
  </si>
  <si>
    <t>Rod. Augusto Montenegro S/N  -   Nova Marambaia  Belém/Pará</t>
  </si>
  <si>
    <t>Av. Djalma Batista N. 1661  -   Chapada  Manaus/Amazonas</t>
  </si>
  <si>
    <t>Av. dos Oitis N. 6360  -   Distrito Industrial II  Manaus/Amazonas</t>
  </si>
  <si>
    <t>Avenida do Turismo, 7057  -   Tarumã  Manaus/Amazonas</t>
  </si>
  <si>
    <t>Rua Nossa Senhora de Fátima N. 1055  -   Santa Etelvina  Manaus/Amazonas</t>
  </si>
  <si>
    <t>Rua Acre,428  -   Nossa Senhora das Graças  Manaus/Amazonas</t>
  </si>
  <si>
    <t>Av. Rodrigo Otávio, 3047 -   Distrito Industrial  Manaus/Amazonas</t>
  </si>
  <si>
    <t>Av. Autaz Mirim,  10775  -   Cidade de Deus  Manaus/Amazonas</t>
  </si>
  <si>
    <t>Av. Torquato Tapajós, n° 9475  -   Tarumã  Manaus/Amazonas</t>
  </si>
  <si>
    <t>Av. Constantino Nery, n° 1771  -  Sala 2   São Geraldo  Manaus/Amazonas</t>
  </si>
  <si>
    <t>Rua Luiz Antony, n° 963  -   Nossa Senhora Aparecida  Manaus/Amazonas</t>
  </si>
  <si>
    <t>Rua Pará , n° 630  -   Nossa Senhora das Graças  Manaus/Amazonas</t>
  </si>
  <si>
    <t>Av. Jacira Reis, n° 275  -   São Jorge  Manaus/Amazonas</t>
  </si>
  <si>
    <t xml:space="preserve"> -     Manaus/Amazonas</t>
  </si>
  <si>
    <t>Av. Do Turismo, n° 14.370  -   Tarumã  Manaus/Amazonas</t>
  </si>
  <si>
    <t>Av. Augusto Montenegro 4300  -   Distrito Bengui  Belém/Pará</t>
  </si>
  <si>
    <t>Av. Presidente Dutra N. 427, Sala 04  -   São Raimundo  Manaus/Amazonas</t>
  </si>
  <si>
    <t>Rua Teofilo Otoni N. 63, Sala 1101 -   Centro  Manaus/Amazonas</t>
  </si>
  <si>
    <t>Rod Manoel Urbano  -  AM 070, S/N; Km 74   Zona Rural  Manacapuru/Amazonas</t>
  </si>
  <si>
    <t>RuaTiodolina Cordeiro, 127; Andar 01 Sala 02  -   Parque 10 de Novembro  Manaus/Amazonas</t>
  </si>
  <si>
    <t>Av. Torquato Tapajós, n° 1695  -   Bairro da Paz  Manaus/Amazonas</t>
  </si>
  <si>
    <t>Rod. PA - 150 S/N, Quadra G Lote 09   Setor Dist. Ind - Nova Marabá  Marabá/Pará</t>
  </si>
  <si>
    <t>Rua Gurupi, N. 1618  -   Redenção  Manaus/Amazonas</t>
  </si>
  <si>
    <t>Rua Dr. João de Paula N. 600  -   Col. Antônio Aleixo  Manaus/Amazonas</t>
  </si>
  <si>
    <t>Rua Virgilio Freire N. 140  -   Parque 10  Manaus/Amazonas</t>
  </si>
  <si>
    <t>Av. Do Turismo, n° 2.539 Letra C  -   Ponta Negra  Manaus/Amazonas</t>
  </si>
  <si>
    <t>Rua Itapecerica, n° 32  -   Novo Aleixo  Manaus/Amazonas</t>
  </si>
  <si>
    <t>AB, n° 12  -  Morada do Sol, Quadra B   Aleixo  Manaus/Amazonas</t>
  </si>
  <si>
    <t>Rua Rio Grande do Sul, n° 1.000  -  Galpão 01    Manaus/Amazonas</t>
  </si>
  <si>
    <t>Rua Wagner, n° 205  -   Redenção  Manaus/Amazonas</t>
  </si>
  <si>
    <t>Rua Dona Benedita Castelo Branco N.1, Galpão 01  -   Flores  Manaus/Amazonas</t>
  </si>
  <si>
    <t>Av. Abiurana, n° 1655  -   Distrito Industrial  Manaus/Amazonas</t>
  </si>
  <si>
    <t>Rua Anhandui, n° 520  -   Flores  Manaus/Amazonas</t>
  </si>
  <si>
    <t>Av. Da Floresta, n° 5.800  -   Tarumã  Manaus/Amazonas</t>
  </si>
  <si>
    <t>R. Atroaris, n° 31  -   Cidade Nova  Manaus/Amazonas</t>
  </si>
  <si>
    <t>Rua Emílio Moreira, N° 496 – Centro -   Centro  Manaus/Amazonas</t>
  </si>
  <si>
    <t>Rua Claudiano Moreira, N° 1113  -   São Lazário  Manaus/Amazonas</t>
  </si>
  <si>
    <t>Rua Emílio Moreira, N° 289 – Centro -   Centro  Manaus/Amazonas</t>
  </si>
  <si>
    <t>Rua Ipê, n° 535  -   Distrito Industrial  Manaus/Amazonas</t>
  </si>
  <si>
    <t>Av. Pedro MOura, n° 397   Terra Preta  Manacapuru/Amazonas</t>
  </si>
  <si>
    <t>Rua 2 de Agosto, n° 70  -   Parque  10 de Novembro  Manaus/Amazonas</t>
  </si>
  <si>
    <t>R. Nelson Rodrigues, n° 1  -   Compensa  Manaus/Amazonas</t>
  </si>
  <si>
    <t>Rua Juruá, N° 160 – Sala III  -   Distrito Industrial I  Manaus/Amazonas</t>
  </si>
  <si>
    <t>Av. Torquato Tapajós, n° 1052  -   Flores  Manaus/Amazonas</t>
  </si>
  <si>
    <t>Rua Doutor Machado, n° 106  -   Centro  Manaus/Amazonas</t>
  </si>
  <si>
    <t>Rua Afonso de Souza, n° 137  -   Raiz  Manaus/Amazonas</t>
  </si>
  <si>
    <t>Rua Belo Horizonte N. 19 SALA 906 Edif The Palace Busine  -   Adrianopolis  Manaus/Amazonas</t>
  </si>
  <si>
    <t>Av. Djalma Batista, n° 34  -   Chapada  Manaus/Amazonas</t>
  </si>
  <si>
    <t>Avenida dos Oitis, Nº 1.720  Distrito Industrial II  Manaus/Amazonas</t>
  </si>
  <si>
    <t>Av. Abiurana, N. 579  -   Distrito Industrial  Manaus/Amazonas</t>
  </si>
  <si>
    <t>Rua Tapajós, n° 350  -   Centro  Manaus/Amazonas</t>
  </si>
  <si>
    <t>Estrada Bela Vista, S/N° Lote 15 Km 55 Am070  -   Expansão Urbana   Manacapuru/Amazonas</t>
  </si>
  <si>
    <t>Rua 01 S/N°  -   Parque Industrial  Humaitá/Amazonas</t>
  </si>
  <si>
    <t>Av. Jutai, n° 124  -   Nossa Senhora das Graças  Manaus/Amazonas</t>
  </si>
  <si>
    <t>Av. Guaruba, Nº 740  Distrito Industrial  Manaus/Amazonas</t>
  </si>
  <si>
    <t>Rua Marrocos, nº 190  -   Flores  Manaus/Amazonas</t>
  </si>
  <si>
    <t>São Tomaz de Aquino, nº 158  -   São Geraldo  Manaus/Amazonas</t>
  </si>
  <si>
    <t>Avenida Torquato Tapajós, n.º 5201 A  -   Flores  Manaus/Amazonas</t>
  </si>
  <si>
    <t>R.Nelson Rodrigues 01  -   Compensa  Manaus/Amazonas</t>
  </si>
  <si>
    <t>Av. Tefé, n° 3105  -   Japiim  Manaus/Amazonas</t>
  </si>
  <si>
    <t>Rua Quixito, n° 1376  -   Distrito Industrial  Manaus/Amazonas</t>
  </si>
  <si>
    <t>Av. Puraquequara, N. 5328  -   Puraquequara  Manaus/Amazonas</t>
  </si>
  <si>
    <t>Rua da Granja Azul N. 02  -  Terreo   Colônia Oliveira Machado  Manaus/Amazonas</t>
  </si>
  <si>
    <t>Av. Dos Oitis, n° 1720  -   Distrito Industrial II  Manaus/Amazonas</t>
  </si>
  <si>
    <t>Estrada de Camanaus, n° S/N  -   Zona Rural  Manaus/Amazonas</t>
  </si>
  <si>
    <t>Estrada ZF 1  -   KM 26/ Distritro Agropecuário da Suframa  Manaus/Amazonas</t>
  </si>
  <si>
    <t>Rua Santa Ana Nery, N° 07, Quadra D, Lote 07 Carijó  -   Coroado  Manaus/Amazonas</t>
  </si>
  <si>
    <t>AV. SOLIMÕES, 805  -   DISTRITO INDUSTRIAL I  Manaus/Amazonas</t>
  </si>
  <si>
    <t>Av. Dom Pedro I, N° 151  -   Dom Pedro  Manaus/Amazonas</t>
  </si>
  <si>
    <t>Rua Germanio, N° 443  -   Vila da Prata  Manaus/Amazonas</t>
  </si>
  <si>
    <t>Av Tefe, n° 2.837  -   Japiim  Manaus/Amazonas</t>
  </si>
  <si>
    <t>Rua Juruaia, n° 141  -   Santa Etelvina  Manaus/Amazonas</t>
  </si>
  <si>
    <t>Rua Guilherme Paraense, 93, Adrianópolis -   Adrianopólis  Manaus/Amazonas</t>
  </si>
  <si>
    <t>R. Deolindo Tavares, n° 133  -   Imbiribeira  Recife/Pernambuco</t>
  </si>
  <si>
    <t>Flor de Laranjeira, N° 204  -   Tarumã  Manaus/Amazonas</t>
  </si>
  <si>
    <t>Rua Desembargador Cesar do Rego, N° 850  -   Colônia Antônio Aleixo  Manaus/Amazonas</t>
  </si>
  <si>
    <t>Av. Solimões N. 500  -   Distrito Industrial II  Manaus/Amazonas</t>
  </si>
  <si>
    <t>Av. Orlando Gomes, N° 1845, Piata  -   Salvador  Salvador/Bahia</t>
  </si>
  <si>
    <t>Ramal Macaco Cego, 755 - Bloco TGSA  Rural  Itacoatiara/Amazonas</t>
  </si>
  <si>
    <t>AV. SOLIMÕES, 805  -   Distrito Industrial  Manaus/Amazonas</t>
  </si>
  <si>
    <t>Alameda Rio Negro, Numero 02. Condominio Vila da barra, casa 45 -     Manaus/Amazonas</t>
  </si>
  <si>
    <t>Rua Acre, N° 428  -   Nossa Senhora das Graças  Manaus/Amazonas</t>
  </si>
  <si>
    <t>Travessa L - 6 (CJ COHAB), n° 213   Compina de Icoaraci  Belém/Pará</t>
  </si>
  <si>
    <t>Rod. BR 155, KM 85,3  -     Belém/Pará</t>
  </si>
  <si>
    <t>Av. 01, N° 03  -     Iranduba/Amazonas</t>
  </si>
  <si>
    <t>Travessa Castro Leite,  - Lote 3 - Parque Shangrila VII  Parque Dez de Novembro  Manaus/Amazonas</t>
  </si>
  <si>
    <t>Av. Cosme Ferreira, N° 1877  -   Aleixo  Manaus/Amazonas</t>
  </si>
  <si>
    <t>Av. André Araújo, N° 2.755  -   Aleixo  Manaus/Amazonas</t>
  </si>
  <si>
    <t>Rua Javari N° 1155  -   Distrito Industrial  Manaus/Amazonas</t>
  </si>
  <si>
    <t>Av. Torquato Tapajós, n° 1960  -   Flores  Manaus/Amazonas</t>
  </si>
  <si>
    <t>Av. Dr. Zany, n° 852  -   Livramento  Caracaraí/Roraima</t>
  </si>
  <si>
    <t>Av. Torquato Tapajós, n° 7200A  -   Colônia Terra Nova  Manaus/Amazonas</t>
  </si>
  <si>
    <t>Rua Adamastor de Figueiredo, n° 2401  -   Centro  Manaus/Amazonas</t>
  </si>
  <si>
    <t>Av. Torquato Tapajós, n° 11.600  -   Santa Etelvina  Manaus/Amazonas</t>
  </si>
  <si>
    <t>Rua Javari, n° 1.065  -   Distrito Industrial  Manaus/Amazonas</t>
  </si>
  <si>
    <t>Rua Gonçalves Dias n° 145   Centro  Porto Velho/Rondônia</t>
  </si>
  <si>
    <t>Rua Sobral nº 181  -   São José Operário  Manaus/Amazonas</t>
  </si>
  <si>
    <t>Rua Tento, n° 763  -   Distrito Industrial II  Manaus/Amazonas</t>
  </si>
  <si>
    <t>Av. Torquato Tapajós, n° 0 Lote 2  - Lote 02  Col. Terra Nova  Manaus/Amazonas</t>
  </si>
  <si>
    <t>Av. Elias Haikel, S/N   -   Centro  Manaus/Amazonas</t>
  </si>
  <si>
    <t>Rua Zebu, n° 201  -   Colônia Oliveira Machado  Manaus/Amazonas</t>
  </si>
  <si>
    <t xml:space="preserve"> -     Santarém/Pará</t>
  </si>
  <si>
    <t>Rua Canoa Quebrada, n° 80  -   Tarumã  Manaus/Amazonas</t>
  </si>
  <si>
    <t>Av. Correnteza n° 2472  -  Corrente Manacapuru    Manacapuru/Amazonas</t>
  </si>
  <si>
    <t>Rua Rio Mutuzinho, n° 839  -   Armando Mendes  Manaus/Amazonas</t>
  </si>
  <si>
    <t>Rua Rio Javari, n° 16  -   Nossa senhora das Graças  Manaus/Amazonas</t>
  </si>
  <si>
    <t>Rua Marques de Muritiba, n° 528  -   Flores  Manaus/Amazonas</t>
  </si>
  <si>
    <t>Av. Torquato Tapajós, n° 12363  -   Novo Israel  Manaus/Amazonas</t>
  </si>
  <si>
    <t>Rua Arraias, n° 286  -   Colônia Antônio Aleixo  Manaus/Amazonas</t>
  </si>
  <si>
    <t>Estrada Manoel Urbano Km 50 -     Iranduba/Amazonas</t>
  </si>
  <si>
    <t>Av. Max Teixeira, n° 3.159  -   Cidade Nova  Manaus/Amazonas</t>
  </si>
  <si>
    <t>Rua Maceio, n° 426  -   Adrianópolis  Manaus/Amazonas</t>
  </si>
  <si>
    <t>R. Gabriel Gomes Silva , n° 23  -   Col. Santo Antonio  Manaus/Amazonas</t>
  </si>
  <si>
    <t>Av. Presidente Kennedy, n° 1520  -   Colônia Oliveira Machado  Manaus/Amazonas</t>
  </si>
  <si>
    <t>Av. Presidente Kennedy, n° 1850  -   Colônia Oliveira Machado  Manaus/Amazonas</t>
  </si>
  <si>
    <t>Rua Tupiniquim, n° 32  -   Cidade Nova  Manaus/Amazonas</t>
  </si>
  <si>
    <t>Rua Clemente de Alexandria, n° 83  -   Petrópolis  Manaus/Amazonas</t>
  </si>
  <si>
    <t>Av. Constantino Nery, n° 2575  -   Flores  Manaus/Amazonas</t>
  </si>
  <si>
    <t>Estrada do Iranduba, S/N°  -   Rural  Manaus/Amazonas</t>
  </si>
  <si>
    <t>Av. Do Turismo, n° 6.000  -   Tarumã  Manaus/Amazonas</t>
  </si>
  <si>
    <t>Av. Cupiuba, n° 761  -   Distrito Industrial  Manaus/Amazonas</t>
  </si>
  <si>
    <t>Rua |Rubens Besencrim, n° 38F  -   Jappim II  Manaus/Amazonas</t>
  </si>
  <si>
    <t>Rua Constelação de Gêmeos, n° 150  -   Aleixo  Manaus/Amazonas</t>
  </si>
  <si>
    <t>Rua Brigadeiro João Camarão, n° 39  -   Dom Pedro  Manaus/Amazonas</t>
  </si>
  <si>
    <t>Avenida Torquato Tapajós, nº 7.367 - Galpão 1  Tarumã  Manaus/Amazonas</t>
  </si>
  <si>
    <t>Avenida Professor Nilton Lins, nº 600  -   Flores  Manaus/Amazonas</t>
  </si>
  <si>
    <t>Avenida Carvalho Leal, nº 1668  -   Cachoeirinha  Manaus/Amazonas</t>
  </si>
  <si>
    <t>Avenida Cosme Ferreira, nº 631  -   Coroado  Manaus/Amazonas</t>
  </si>
  <si>
    <t>Av. Cupiuba, n° 10  -   Distrito Industrial  Manaus/Amazonas</t>
  </si>
  <si>
    <t>Av. do Oitis, n° 7530  -   Distrito Industrial II  Manaus/Amazonas</t>
  </si>
  <si>
    <t>Av. Autaz Mirim, n° 1053  -   Distrito Industrial I  Manaus/Amazonas</t>
  </si>
  <si>
    <t>Rua Iça, n° 100  -   Distrito Industrial I  Manaus/Amazonas</t>
  </si>
  <si>
    <t>Rua Francisco Marques Filho, n° 118  -   Alvorada   Manaus/Amazonas</t>
  </si>
  <si>
    <t>Av. Djalma Batista, n° 98  -   Parque 10 de Novembro  Manaus/Amazonas</t>
  </si>
  <si>
    <t>Rua Heisei N. 285, lote n. 10 B - 1  Parque 10  Manaus/Amazonas</t>
  </si>
  <si>
    <t>Rua Leão Rodrigues Vieira, n° 93  -   Alvorada  Manaus/Amazonas</t>
  </si>
  <si>
    <t>Rua Professor Lourival Muniz, n° 376  -   Glória  Manaus/Amazonas</t>
  </si>
  <si>
    <t>Rua Barão de Paranapiacaba (PRQ Laranjeiras), n° 08   Flores  Manaus/Amazonas</t>
  </si>
  <si>
    <t>Rua da Legião, n° 268  -   Presidente Vargas  Manaus/Amazonas</t>
  </si>
  <si>
    <t>Av. Camapuã, n° 126  -   Novo Aleixo  Manaus/Amazonas</t>
  </si>
  <si>
    <t>Av. Ramos Ferreira, n° 1302  -   Centro  Manaus/Amazonas</t>
  </si>
  <si>
    <t>Rua Bambuzinho, n° 386  -   Distrito Industrial II  Manaus/Amazonas</t>
  </si>
  <si>
    <t>Av. dos Oitis, N° 4467  -   Distrito Industrial  Manaus/Amazonas</t>
  </si>
  <si>
    <t>Av. Ephigênio Sales, n° 1299  -   Aleixo  Manaus/Amazonas</t>
  </si>
  <si>
    <t>Rua  Constelção de Gemeos, n° 533  -   Aleixo  Manaus/Amazonas</t>
  </si>
  <si>
    <t>Rua Vista Alegre, n° 39  -   Colônia Oliveira Machado  Manaus/Amazonas</t>
  </si>
  <si>
    <t>Avenida Saíra Amarela N. 11.265  - Cond. Villa dos Pássaros,casa 144  Tarumã  Manaus/Amazonas</t>
  </si>
  <si>
    <t>Rua Ipê, n° 200  -   Distrito Industrial  Manaus/Amazonas</t>
  </si>
  <si>
    <t>Av. Castelo Branco, N° 663  -   Cachoeirinha  Manaus/Amazonas</t>
  </si>
  <si>
    <t>Av. Mario Ypiranga, n° 1431  -   Nossa Senhora das Graças   Manaus/Amazonas</t>
  </si>
  <si>
    <t>Rua Costelação de Gêmeos, n° 169  -   Aleixo  Manaus/Amazonas</t>
  </si>
  <si>
    <t>Av. das Industrias, 445 - A   Distrito Industrial Gov. Aquilino Mota Duarte  Boa Vista/Roraima</t>
  </si>
  <si>
    <t>Av. Transcontinental,  2555  -   Riachelo  Ji-Paraná/Rondônia</t>
  </si>
  <si>
    <t>Rua Utinga, 310  -   Lirio do Vale  Manaus/Amazonas</t>
  </si>
  <si>
    <t>Rua Dom Jackson D. Rodrigues -   Flores  Manaus/Amazonas</t>
  </si>
  <si>
    <t>Rua Javari, 1055   Distrito Industrial  Manaus/Amazonas</t>
  </si>
  <si>
    <t>Rua Professora Santina Felizeda, n° 62  -   Novo Israel  Manaus/Amazonas</t>
  </si>
  <si>
    <t>Rua Japurá, 1309  -   Praça 14  Manaus/Amazonas</t>
  </si>
  <si>
    <t>Rua Manoel Feu Subtil,  60  - Enseada Suá     Vitória/Espírito Santo</t>
  </si>
  <si>
    <t>Av. Torquato Tapajós, 3125  - lote 01B  Lago Azul  Manaus/Amazonas</t>
  </si>
  <si>
    <t>Rua Edson Marreiros Ramos, 26  -   Coroado  Manaus/Amazonas</t>
  </si>
  <si>
    <t>Rua Anhanduí, 520 – A – Galpão 6 – Bairro Flores. -   Flores   Manaus/Amazonas</t>
  </si>
  <si>
    <t>Rua Praia do Timbau, 320  -   Tarumã  Manaus/Amazonas</t>
  </si>
  <si>
    <t>Rua Azaleia, 149  - Bloco D1/D2   Distrito Industrial II  Manaus/Amazonas</t>
  </si>
  <si>
    <t>Rodovia BR 153 KM 480; Zona Rural; Paraíso do Tocantins  -     Palmas/Tocantins</t>
  </si>
  <si>
    <t>Avenida dos Oitis, 8255  -   Distrito Industrial  Manaus/Amazonas</t>
  </si>
  <si>
    <t>Rua Voluntários da Pátria,  598  -   Vila da Prata  Manaus/Amazonas</t>
  </si>
  <si>
    <t>Avenida Tefé, 3186  -   Japiim  Manaus/Amazonas</t>
  </si>
  <si>
    <t>Avenida Frederico Baird, 2880  - Ponta Negra (Referência: Entrada para Marina Tauá)    Manaus/Amazonas</t>
  </si>
  <si>
    <t>Rua Barralandia 84  -   Santa Etelvina  Manaus/Amazonas</t>
  </si>
  <si>
    <t>Av. Margarita, 16  - QD 178 Conjunto   Nova Cidade  Manaus/Amazonas</t>
  </si>
  <si>
    <t>Rua Rene de Napoles, 53  -   Adranópolis  Manaus/Amazonas</t>
  </si>
  <si>
    <t>Rua Goiatins, 22 Qd. 57   São José  Manaus/Amazonas</t>
  </si>
  <si>
    <t>Rua álvaro Braga, 351  -   Parque Dez  Manaus/Amazonas</t>
  </si>
  <si>
    <t>Av. Curua - Una, 2291   Urumari  Santarém/Pará</t>
  </si>
  <si>
    <t>Av. Joaquim Nabuco, 2219  -   Centro  Manaus/Amazonas</t>
  </si>
  <si>
    <t>Rua Vicente Lauria. 12  - Anexo B   Aleixo  Manaus/Amazonas</t>
  </si>
  <si>
    <t>Rua Camacari, 236  -   Conjunto Cidade Nova  Manaus/Amazonas</t>
  </si>
  <si>
    <t>Rua Boninas, 42  -   Novo Aleixo  Manaus/Amazonas</t>
  </si>
  <si>
    <t>Av. Buriti, 5500  - Bloco 3B   Distrito Industrial  Manaus/Amazonas</t>
  </si>
  <si>
    <t>Avenida Mario Ypranga, 1500  -   Adrianopólis  Manaus/Amazonas</t>
  </si>
  <si>
    <t>Rua Tito Bittencourt, 5  -   São Francisco  Manaus/Amazonas</t>
  </si>
  <si>
    <t>Rua Álvaro Braga, 456  -   Parque Dez  Manaus/Amazonas</t>
  </si>
  <si>
    <t>Rua Maceio,  426  -   Adrianópolis  Manaus/Amazonas</t>
  </si>
  <si>
    <t>Rua Ipaguaçu ,93 A  -   Alvorada  Manaus/Amazonas</t>
  </si>
  <si>
    <t>Rua Padre Agostinho Caballero Martin, 163  -   São Raimundo  Manaus/Amazonas</t>
  </si>
  <si>
    <t>Rua Dona Debla Henriques, . 244  -   Santa Etelvina  Manaus/Amazonas</t>
  </si>
  <si>
    <t>Rua Francisca Mendes,  2360  -   Cidade de Deus  Manaus/Amazonas</t>
  </si>
  <si>
    <t>Avenida Silves ,2091  -   Crespo  Manaus/Amazonas</t>
  </si>
  <si>
    <t>Avenida Torquato Tapajós , 11.559 -   Tarumã  Manaus/Amazonas</t>
  </si>
  <si>
    <t>Rua dos Barés, N. 425  -   Centro  Manaus/Amazonas</t>
  </si>
  <si>
    <t>Avenida Nathan Xavier de Albuquerque  230  -   Novo Aleixo  Manaus/Amazonas</t>
  </si>
  <si>
    <t>Avenida Coronel Cyrillo Neves N. 200  -   Santo Agostinho  Manaus/Amazonas</t>
  </si>
  <si>
    <t>Av. Pedro Teixeira,  359  -   Dom Pedro I  Manaus/Amazonas</t>
  </si>
  <si>
    <t>Avenida Mário Andreazza, 4.120  -     Manaus/Amazonas</t>
  </si>
  <si>
    <t>Rua Expedicionario Paulo Emidio Pereira, 393  -   Jardim dos Calegaris  Paulínia/São Paulo</t>
  </si>
  <si>
    <t>Rua Sobrinho Maranhão, 20  -   São Francisco  Manaus/Amazonas</t>
  </si>
  <si>
    <t>Rua Guaianases, 229  -     Mogi Guaçu/São Paulo</t>
  </si>
  <si>
    <t>Av. dos Oitis ,534  -   Distrito Industrial  Manaus/Amazonas</t>
  </si>
  <si>
    <t>Rua Conde de Itaguai,  374  -   Flores  Manaus/Amazonas</t>
  </si>
  <si>
    <t>Av. Dos Oitis n° 571  Distrito Industrial  Manaus/Amazonas</t>
  </si>
  <si>
    <t>Av. Jornalista Umberto Calderaro, n°1712  Adrianópoles  Manaus/Amazonas</t>
  </si>
  <si>
    <t>Rua Barão de Araruna - Quadra F1 - lote 47-49 51  Flores  Manaus/Amazonas</t>
  </si>
  <si>
    <t>Entre Avenida Rodrigo Otávio e Igarapé do Quarenta - Margem direita  -   Japiim  Manaus/Amazonas</t>
  </si>
  <si>
    <t>Av. Jornalista Umberto Calderaro Filho, n° 1712 - Loja 02  Adrianópolis  Manaus/Amazonas</t>
  </si>
  <si>
    <t>Beco Marcos Furtado, n° 03  Aleixo  Manaus/Amazonas</t>
  </si>
  <si>
    <t>Av. Tancredo Neves, n° 1.110  Parque 10 de Novembro  Manaus/Amazonas</t>
  </si>
  <si>
    <t>Rua Itapora, n° 25  São José Operário  Manaus/Amazonas</t>
  </si>
  <si>
    <t>Rua Professor Antônio Giulesse, 354  Alvorada II  Manaus/Amazonas</t>
  </si>
  <si>
    <t>Rua Guiana Francesa, n° 01 - Sala 05  Parque 10 de Novembro  Manaus/Amazonas</t>
  </si>
  <si>
    <t>Avenida Darcy Vargas, 645 -   Parque 10 de Novembro  Manaus/Amazonas</t>
  </si>
  <si>
    <t>Avenida Carvalho Leal, 1688 - Sala 3  Cachoeirinha  Manaus/Amazonas</t>
  </si>
  <si>
    <t xml:space="preserve"> Av. Cosme Ferreira, 631  Coroado  Manaus/Amazonas</t>
  </si>
  <si>
    <t>Rua Toy Hashi, n° 11 - Quadra F Lote 03 - Residencial Jardim Sumire  Parque 10 de Novembro  Manaus/Amazonas</t>
  </si>
  <si>
    <t>Rua Leonardo Malcher, 1515  Centro  Manaus/Amazonas</t>
  </si>
  <si>
    <t>Rua Balbi Carreira, 79 - Casa B  Alvorada  Manaus/Amazonas</t>
  </si>
  <si>
    <t>Rua Padre Agostin C Martin, 197  Compensa  Manaus/Amazonas</t>
  </si>
  <si>
    <t>Avenida dos Oitis, 4245  Distrito Industrial II  Manaus/Amazonas</t>
  </si>
  <si>
    <t>Rua Rio Javari, 361  Nossa Senhora das Graças   Manaus/Amazonas</t>
  </si>
  <si>
    <t>Avenida Domingos Jorge Velho, 265  Som Pedro I  Manaus/Amazonas</t>
  </si>
  <si>
    <t>Av. Cartola Joaquina, n° 87 - sala 11 - Conj. Castelo Branco  Parque 10 de Novembro  Manaus/Amazonas</t>
  </si>
  <si>
    <t>Avenida Ramos Ferreira  Centro  Manaus/Amazonas</t>
  </si>
  <si>
    <t>Rua do Riacho Ecologico  Tarumã  Manaus/Amazonas</t>
  </si>
  <si>
    <t>Av. Professor Nilton Lins N. 3259   Flores  Manaus/Amazonas</t>
  </si>
  <si>
    <t>Av. Autaz Mirim N. 1929  Distrito Industrial I  Manaus/Amazonas</t>
  </si>
  <si>
    <t>Rua Hibisco, n° 1350  Distrito Industrial II  Manaus/Amazonas</t>
  </si>
  <si>
    <t>Rua Guiana N. 2736  Embratel  Porto Velho/Rondônia</t>
  </si>
  <si>
    <t>Avenida Cupiuba N. 260 - Bloco 2 Parte II, Bloco 3  Distrito Industrial   Manaus/Amazonas</t>
  </si>
  <si>
    <t>Avenida Padre Agostinho Caballero Martin, 2610  Santo Antônio  Manaus/Amazonas</t>
  </si>
  <si>
    <t>Avenida Torquato Tapajós, 2871  Da Paz  Manaus/Amazonas</t>
  </si>
  <si>
    <t>Rua Monte Carlo, 159 - Conj. Campos Eliseos  Planalto  Manaus/Amazonas</t>
  </si>
  <si>
    <t>Rua das Rosas, 20 - Conj. Tiradentes  Aleixo  Manaus/Amazonas</t>
  </si>
  <si>
    <t>Avenida Darcy Vargas, 545  Parque Dez de Novembro  Manaus/Amazonas</t>
  </si>
  <si>
    <t>Rua Flor de Pedra, 51A  Distrito Industrial  Manaus/Amazonas</t>
  </si>
  <si>
    <t>Rua N n°1456  - Quadra Industrial 7 Lote 25 a 33  Distrito Industrial  Cuiabá/Mato Grosso</t>
  </si>
  <si>
    <t>Av. Santos Dumont, n° 1.250  Tarumã  Manaus/Amazonas</t>
  </si>
  <si>
    <t>Av. Gabriel Correa Pedrosa, 125  Parque Dez  Manaus/Amazonas</t>
  </si>
  <si>
    <t>Av. Torquatro Tapajos N 7200  Colônia Terra Nova  Manaus/Amazonas</t>
  </si>
  <si>
    <t>Rua Hugor Zarpelon, 21   Parque Real   Campinas/São Paulo</t>
  </si>
  <si>
    <t>Rua Acre N. 428 - Qd 50 sl 45 Cond. Vieiralves  Nossa Senhora das Graças  Manaus/Amazonas</t>
  </si>
  <si>
    <t>Rua General Miranda Reis, 20 - Conj. Celetramazon  Adrianópolis  Manaus/Amazonas</t>
  </si>
  <si>
    <t>Av. Do Turismo, n° 10072 A4  Tarumã  Manaus/Amazonas</t>
  </si>
  <si>
    <t>Alameda Alasca   Ponta Negra  Manaus/Amazonas</t>
  </si>
  <si>
    <t>Rua Aureliano Lessa, 59  Tarumã  Manaus/Amazonas</t>
  </si>
  <si>
    <t>Rua Piratininga, 138  Raiz  Manaus/Amazonas</t>
  </si>
  <si>
    <t>Rua Levindo Inácio de Oliveira N. 1117 - Sl 5  Paraviana  Boa Vista/Roraima</t>
  </si>
  <si>
    <t>Rua Moçambique N. 30 Qd 111 A  Nova Cidade  Manaus/Amazonas</t>
  </si>
  <si>
    <t>Avenida Buriti, n. 1492,   Distrito Industrial I  Manaus/Amazonas</t>
  </si>
  <si>
    <t>Av. Mario Ypiranga N 3280  Parque 10 de Novembro  Manaus/Amazonas</t>
  </si>
  <si>
    <t>Jasmim do Campo, n40  Cidade Nova  Manaus/Amazonas</t>
  </si>
  <si>
    <t>ROD RR 207, FAZENDA SANTA LUCIA DESM, GLEBA TACUTU  DISTRITO RURAL  Cantá/Roraima</t>
  </si>
  <si>
    <t>ROD RR 207, FAZENDA SANTA LUCIA DESM, GLEBA TACUTU  ZONA RURAL  Cantá/Roraima</t>
  </si>
  <si>
    <t>A BR 174, FAZENDA JACITARA II, GLEBA MURUPU  AREA RURAL DE BOA VISTA  Boa Vista/Roraima</t>
  </si>
  <si>
    <t>Avenida dos Oitis, 1607  Armando Mendes  Manaus/Amazonas</t>
  </si>
  <si>
    <t>Rua Ramos Ferreira, 1110  Centro  Manaus/Amazonas</t>
  </si>
  <si>
    <t>Rod. Regis Bittencourt s/n KM292,7  Potuverá  Itapecerica da Serra/São Paulo</t>
  </si>
  <si>
    <t>Avenida Santa Tereza D'Avilla, 13  Lago Azul  Manaus/Amazonas</t>
  </si>
  <si>
    <t>Alameda Alaska, 785  Ponta Negra  Manaus/Amazonas</t>
  </si>
  <si>
    <t>R CEL. PRESCILIANO SARMENTO  São Jorge  Maceió/Alagoas</t>
  </si>
  <si>
    <t>Avenida Mandi, 4  Distrito Industrial I  Manaus/Amazonas</t>
  </si>
  <si>
    <t>Avenida São Jorge, 1001  São Jorge  Manaus/Amazonas</t>
  </si>
  <si>
    <t>Rua Professora Aurora Barroso, 132  Adrianopólis  Manaus/Amazonas</t>
  </si>
  <si>
    <t>Avenida Torquato Tapajós, nº 7.503    Tarumã  Manaus/Amazonas</t>
  </si>
  <si>
    <t>Avenida Constatino Nery, 2085  São Geraldo  Manaus/Amazonas</t>
  </si>
  <si>
    <t>Tv. Pauxis, n° 223   Centro  Manaus/Amazonas</t>
  </si>
  <si>
    <t>Estrada do Arrozal, margem esquerda s/n°  Liberdade  Urucurituba/Amazonas</t>
  </si>
  <si>
    <t>Rua Horizonte N.118 Qd. 51  Cidade Nova 1  Manaus/Amazonas</t>
  </si>
  <si>
    <t>Rua SA Peixoto, 90  Educandos  Manaus/Amazonas</t>
  </si>
  <si>
    <t>Av Açaí N. 1580 A   Distrito Industrial  Manaus/Amazonas</t>
  </si>
  <si>
    <t>Av Eusebio Matoso N. 1375 Conj. 401/402 4 Andar Edif. Company Plaza  Butantã  Manaus/Amazonas</t>
  </si>
  <si>
    <t>Av Djalma Batista N. 1661  Chapada  Manaus/Amazonas</t>
  </si>
  <si>
    <t>Rua Chaves, nº8  Dom Pedro  Manaus/Amazonas</t>
  </si>
  <si>
    <t>Avenida Flanboyant, 585  Distrito Industrial II  Manaus/Amazonas</t>
  </si>
  <si>
    <t>Rua 10 de Julho N. 873  Centro  Manaus/Amazonas</t>
  </si>
  <si>
    <t xml:space="preserve"> Rua Augusto Calheiro N. 1550  Jardim Sonia Maria  Mauá/São Paulo</t>
  </si>
  <si>
    <t>Rua dos Otoni N. 177  Santa Efigenia  Manaus/Amazonas</t>
  </si>
  <si>
    <t>Rua Palmeira do Miriti, 287  Gilberto Mestrinho  Manaus/Amazonas</t>
  </si>
  <si>
    <t>Rua libertador N. 913 Sala 8 V  Nossa Senhora das Graças  Manaus/Amazonas</t>
  </si>
  <si>
    <t>Rua Visconde de Utinga, N04  Flores  Manaus/Amazonas</t>
  </si>
  <si>
    <t>Alameda Desembargador Joao Machado, 1520  Planalto  Manaus/Amazonas</t>
  </si>
  <si>
    <t>Av Torquato Tapajos N. 12685 Km 11  Tarumã  Manaus/Amazonas</t>
  </si>
  <si>
    <t>Al Oscar Niemeyer N. 322  Vale do Sereno  Nova Lima/Minas Gerais</t>
  </si>
  <si>
    <t>Rua Jutai 500, Lote 2.23  Distrito Industrial  Manaus/Amazonas</t>
  </si>
  <si>
    <t>Rua Azaleia n°2421   Distrito Industrial II  Manaus/Amazonas</t>
  </si>
  <si>
    <t>Av Torquato Tapajos N. 6740  Colonia Terra Nova  Manaus/Amazonas</t>
  </si>
  <si>
    <t>Rua V Conjunto Vila Camara N. 58 Qd F  Aleixo  Manaus/Amazonas</t>
  </si>
  <si>
    <t>Rua Ministro João Gonçalves de Araújo, nº 182  Distrito Industrial  Manaus/Amazonas</t>
  </si>
  <si>
    <t>Av do Turismo N. 7228 Sl 1  Taruma  Manaus/Amazonas</t>
  </si>
  <si>
    <t>Avenida Doutor Zany,   Caracai  Caracaraí/Roraima</t>
  </si>
  <si>
    <t>Rua Javari, 1045  Distrito Industrial I  Manaus/Amazonas</t>
  </si>
  <si>
    <t>V. Euricleia N. 1 Chacara Emuto  Tarumã  Manaus/Amazonas</t>
  </si>
  <si>
    <t>Avenida do Turismo, 7057  Tarumã  Manaus/Amazonas</t>
  </si>
  <si>
    <t>Rua Campos Bravos, 480  Redenção  Manaus/Amazonas</t>
  </si>
  <si>
    <t>Rua Santo Antenodoro N. 139 Conj. Parque das Laranjeiras  Flores  Manaus/Amazonas</t>
  </si>
  <si>
    <t>Rua Paraná Autaz Mirim, 138  Tarumã  Manaus/Amazonas</t>
  </si>
  <si>
    <t>Rua Otávio Risolen, 785  Jardim Terras de Santo Antônio  Manaus/Amazonas</t>
  </si>
  <si>
    <t>Rua Sucupira, 249 - Conjunto Kissia  Dom Pedro  Manaus/Amazonas</t>
  </si>
  <si>
    <t>Avenida Torquato Tapajós, km 15 - Área de Transição Urbana  Tarumã Açu  Manaus/Amazonas</t>
  </si>
  <si>
    <t>Avenida Darcy Vargas, 654  Parque Dez de Novembro  Manaus/Amazonas</t>
  </si>
  <si>
    <t>Avenida Torquato Tapajós, 6770  Colônia Terra Nova  Manaus/Amazonas</t>
  </si>
  <si>
    <t>Avenida Autaz Mirim, 2271  Distrito Industrial Marechal Castelo Branco  Manaus/Amazonas</t>
  </si>
  <si>
    <t>Rua Professor Evangelista Brown, 413  Santo Antônio  Manaus/Amazonas</t>
  </si>
  <si>
    <t>Avenida Mário Ypiranga, 1939  Adrianopólis  Manaus/Amazonas</t>
  </si>
  <si>
    <t>Rua Edson Marreiros Ramos, 20  Coroado  Manaus/Amazonas</t>
  </si>
  <si>
    <t>Rua Kaxinaua, 12  Cidade Nova  Manaus/Amazonas</t>
  </si>
  <si>
    <t>Rua Acará, n° 203 -  Lote 122, ECV, Prédio 12 - Letra A  Distrito Industrial I  Manaus/Amazonas</t>
  </si>
  <si>
    <t>Avenida Rodrigo Otávio, 5459  Japiim  Manaus/Amazonas</t>
  </si>
  <si>
    <t>Avenida Via Láctea  - Conjunto Morada do Sol  Aleixo  Manaus/Amazonas</t>
  </si>
  <si>
    <t>Rua Comandante Waldir Bastos, 143   Conjunto Santos Dummond  Manaus/Amazonas</t>
  </si>
  <si>
    <t>Rodovia Arthur Bernardes N. 6291  Tapana  Belém/Pará</t>
  </si>
  <si>
    <t>Av. Thales Loureiro, 1.030  Ponta Negra  Manaus/Amazonas</t>
  </si>
  <si>
    <t>Avenida Brasil, 3897  Vila da Prata  Manaus/Amazonas</t>
  </si>
  <si>
    <t>Rua Fragata, n° 871 - Conj. Jardim Petrópolis  Petropolis  Manaus/Amazonas</t>
  </si>
  <si>
    <t>Rua Santos Dumont, 495  Nossa Senhora das Gracas  Manaus/Amazonas</t>
  </si>
  <si>
    <t>Rua Santa Agata, 0  Monte das Oliveiras  Manaus/Amazonas</t>
  </si>
  <si>
    <t>Avenida Rodrigo Otavio, 672  Crespo  Manaus/Amazonas</t>
  </si>
  <si>
    <t>Avenida Manaus, 85 -   Distrito Industrial I  Manaus/Amazonas</t>
  </si>
  <si>
    <t>Avenida Centenário, 1077  Centenário  Boa Vista/Roraima</t>
  </si>
  <si>
    <t>Avenida Cosme Ferreira, 0 - Lote B2  Colonia Antônio Aleixo  Manaus/Amazonas</t>
  </si>
  <si>
    <t>Rua General Elizario Paim, 1398, Lote 22 Setor 03 anexo 02 Quadra 22  Jardim V Alegre  Ribas do Rio Pardo/Mato Grosso do Sul</t>
  </si>
  <si>
    <t>Avenida Ephigenio Salles, 1299  Aleixo  Manaus/Amazonas</t>
  </si>
  <si>
    <t>Rua Rio Purus, 32   Nossa Senhora das Graças   Manaus/Amazonas</t>
  </si>
  <si>
    <t>Rua Castro Alves, 70   Colônia Santo Antônio  Manaus/Amazonas</t>
  </si>
  <si>
    <t>ROD BR: 210, GLEBA JAUAPERI, SITIO BOA UNIAO, S/N LOTE 574  Zona Rural  Tabatinga/Amazonas</t>
  </si>
  <si>
    <t>Rua Tingo, 150  Tarumã  Manaus/Amazonas</t>
  </si>
  <si>
    <t>Rod. BR210, Gleba Jauaperi, sitio Boa União, S/N° Lote 574 - Zona Rural   Zona Rural  São João da Baliza/Roraima</t>
  </si>
  <si>
    <t>Rod. BR 210, Gleba Jauaperi, sitio Boa União, S/N° Lote 574  Zona Rural  São João da Baliza/Roraima</t>
  </si>
  <si>
    <t>Rod. BR 210, Gleba Jauaperi, sitio Boa União S/N° lote 574  Zona rural  São João da Baliza/Roraima</t>
  </si>
  <si>
    <t>Rua Bela Cintra, n° 904   Consolação  São Paulo/São Paulo</t>
  </si>
  <si>
    <t>Rua Bela Cintra, n°904  Consolação  São Paulo/São Paulo</t>
  </si>
  <si>
    <t>Rua Souto Soares, 10  Lírio do Vale  Manaus/Amazonas</t>
  </si>
  <si>
    <t>Rua Acre, n° 428  Nossa Senhora das Graças  Manaus/Amazonas</t>
  </si>
  <si>
    <t>Avenida do Turismo, 13529 - Bloco B Galpão 01  Tarumã  Manaus/Amazonas</t>
  </si>
  <si>
    <t>Av Doutor Cardoso de Melo N. 900 Conjunto 31 e 32  Vila Olimpia  São Paulo/São Paulo</t>
  </si>
  <si>
    <t>Avenida Ville Roy, 370  Canarinho  Boa Vista/Roraima</t>
  </si>
  <si>
    <t>Av. Solimões, 2934  -   Conjunto Jardim Maua  Manaus/Amazonas</t>
  </si>
  <si>
    <t>Avenida Arquiteto José Henrique Bento Rodrigues   Santa Etelvina  Manaus/Amazonas</t>
  </si>
  <si>
    <t>Rua Professora Optaciana de Queiroz, 807  Tarumã  Manaus/Amazonas</t>
  </si>
  <si>
    <t>RUA ORIENTAL, 31. - 1o Andar, Sala 01  Aleixo  Manaus/Amazonas</t>
  </si>
  <si>
    <t>Av. Brigadeiro Edusrdo Gomes, n° 3.710  Aeroporto  Boa Vista/Roraima</t>
  </si>
  <si>
    <t>Avenida Cravina dos Poetas, 320  Planalto  Manaus/Amazonas</t>
  </si>
  <si>
    <t>Rod. Transacreana, AC 90, Km 05 - Zona Rural  Floresta Sul  Rio Branco/Acre</t>
  </si>
  <si>
    <t>Rua Bambuzinho s/n - Lote 10 C1 e Lote 10 C2  Distrito Industrial II  Manaus/Amazonas</t>
  </si>
  <si>
    <t>Avenida Torquato Tapajós, 8251  Tarumã  Manaus/Amazonas</t>
  </si>
  <si>
    <t>Rua Inhapi, 351   Alvorada  Manaus/Amazonas</t>
  </si>
  <si>
    <t>Av Maues, n° 1398 - Sala 02  Cachoeirinha  Manaus/Amazonas</t>
  </si>
  <si>
    <t>Av. Maues, n° 1398  Cachoeirinha  Manaus/Amazonas</t>
  </si>
  <si>
    <t>Av Solimões, 2257  Mauazinho  Manaus/Amazonas</t>
  </si>
  <si>
    <t>Avenida Torquato Tapajós, 10469  Tarumã  Manaus/Amazonas</t>
  </si>
  <si>
    <t>dias(s) após a data de emissão da NF  Rua Cachoeira do Niágara, 355  Novo Aleixo  Manaus/Amazonas</t>
  </si>
  <si>
    <t>Rua Darcy Michiles, 5 - Casa A  Centro  Manaus/Amazonas</t>
  </si>
  <si>
    <t>Rua 7, 20 - Quadra 40A  Cidade Nova  Manaus/Amazonas</t>
  </si>
  <si>
    <t>Avenida dos Oitis, 1720  Distrito Industrial II  Manaus/Amazonas</t>
  </si>
  <si>
    <t>Avenida Torquato Tapajós, 1762  Flores  Manaus/Amazonas</t>
  </si>
  <si>
    <t>Estrada do Aeroclube, 600 - Parque das Laranjeiras  Flores  Manaus/Amazonas</t>
  </si>
  <si>
    <t>Rua Comendador Clementino, 220  Centro  Manaus/Amazonas</t>
  </si>
  <si>
    <t>R. Padre Monteiro de Noronha, 420  - Bloco B  Flores  Manaus/Amazonas</t>
  </si>
  <si>
    <t>Avenida Professor Nilton Lins, 2274   Flores  Manaus/Amazonas</t>
  </si>
  <si>
    <t>Rua Estrada do Terminal, S/N°  Panair  Porto Velho/Rondônia</t>
  </si>
  <si>
    <t>Avenida Torquato Tapajós, 12075  Tarumã  Manaus/Amazonas</t>
  </si>
  <si>
    <t>Avenida Dona Otília, 1490  Tarumã  Manaus/Amazonas</t>
  </si>
  <si>
    <t>Avenida Constatino Nery, 2229  Chapada  Manaus/Amazonas</t>
  </si>
  <si>
    <t>Avenida Capitão Júlio Bezerra, 1145  São Francisco  Boa Vista/Roraima</t>
  </si>
  <si>
    <t>Avenida Max Teixeira, 2319  Colônia Santo Antônio   Manaus/Amazonas</t>
  </si>
  <si>
    <t>Rua dos Tangentes, 14  Jorge Teixeira  Manaus/Amazonas</t>
  </si>
  <si>
    <t>Avenida Cosme Ferreira, 1877  Aleixo  Manaus/Amazonas</t>
  </si>
  <si>
    <t>Avenida Cosme Ferreira, 1877 -   Aleixo  Manaus/Amazonas</t>
  </si>
  <si>
    <t>Rua Goianapolis, 3  Planalto  Manaus/Amazonas</t>
  </si>
  <si>
    <t>Rua Toledo, 25  - LT-23 25 LOT. SAO F  Santa Etelvina  Manaus/Amazonas</t>
  </si>
  <si>
    <t>Av. Buriti, 1900 - Lote 3.38/1 EPCV  Distrito Industrial  Manaus/Amazonas</t>
  </si>
  <si>
    <t>Avenida Governador Danilo de Matos Areosa, 1530  Distrito Industrial   Manaus/Amazonas</t>
  </si>
  <si>
    <t>Cachoeira de São Gabriel, 133  Aleixo  Manaus/Amazonas</t>
  </si>
  <si>
    <t>Rua José Pinto Corrêa  Parque 10 de Novembro  Manaus/Amazonas</t>
  </si>
  <si>
    <t>ROD BR 222 GLEBA ITINGA, KM 14,5  Distrito de Pequia  Açailândia/Maranhão</t>
  </si>
  <si>
    <t>Avenida Santos Dumont, 1350  Tarumã  Manaus/Amazonas</t>
  </si>
  <si>
    <t>Rua Ilha Oregon, 61  Lírio do Vale  Manaus/Amazonas</t>
  </si>
  <si>
    <t>Rua Cachoeira do Niagara, n° 330  Novo Aleixo  Manaus/Amazonas</t>
  </si>
  <si>
    <t>Rua Dona Debla Henriques, nº 244  Lago Azul  Manaus/Amazonas</t>
  </si>
  <si>
    <t>Rua Visconde de Ouro Preto, 6 - Quadra A 20  Flores  Manaus/Amazonas</t>
  </si>
  <si>
    <t>Rua Juruá, 160A  Distrito Industrial  Manaus/Amazonas</t>
  </si>
  <si>
    <t>Avenida do Futuro - Lote 2  Tarumã  Manaus/Amazonas</t>
  </si>
  <si>
    <t>Avenida Torquato Tapajós, 7200 - G - KM 12  Colônia Terra Nova  Manaus/Amazonas</t>
  </si>
  <si>
    <t>Rua Desembargador César do Rego, 0  Colônia Antônio Aleixo  Manaus/Amazonas</t>
  </si>
  <si>
    <t>Rua Garça Azul, n° 193   Gilberto Mestrinho  Manaus/Amazonas</t>
  </si>
  <si>
    <t>Margem Direita do Rio Tapajós N 6133  Miritituba  Itaituba/Pará</t>
  </si>
  <si>
    <t>Rua Rio Grande do Sul, n° 1000  25 de Agosto  Manaus/Amazonas</t>
  </si>
  <si>
    <t>Rua das Colhereiras, 03, 15, A  Cidade de Deus  Manaus/Amazonas</t>
  </si>
  <si>
    <t>Rua Cachoeira do Niagara, n° 330   Novo Aleixo  Manaus/Amazonas</t>
  </si>
  <si>
    <t>Avenida Djalma Batista, 1661  Chapada  Manaus/Amazonas</t>
  </si>
  <si>
    <t>Rua Aexandre Magno, 91   Parque Dez de Novembro  Manaus/Amazonas</t>
  </si>
  <si>
    <t>Avenida Autaz Mirim, 1030  Distrito Industrial II  Manaus/Amazonas</t>
  </si>
  <si>
    <t>Rua Gerson Franca Quadra , 18-28  Jardim Estoril II  Bauru/São Paulo</t>
  </si>
  <si>
    <t>Rua Vicente Martins, 932  Santa Etelvina  Manaus/Amazonas</t>
  </si>
  <si>
    <t>Rua Costa Azevedo, n° 117  Centro  Manaus/Amazonas</t>
  </si>
  <si>
    <t>Avenida Buriti, 4019  Distrito Industrial  Manaus/Amazonas</t>
  </si>
  <si>
    <t>Avenida Coronel Teixeira, 6225   Ponta Negra  Manaus/Amazonas</t>
  </si>
  <si>
    <t>Estrada Manoel Urbano, s/n - KM 43 - AM 070  Expansão Urbana  Manaus/Amazonas</t>
  </si>
  <si>
    <t>Rua Mogno, 600  Distrito Industrial   Manaus/Amazonas</t>
  </si>
  <si>
    <t>Rua 8, Conjunto Parque Tropical - Nº 28 -   Parque Dez de Novembro  Manaus/Amazonas</t>
  </si>
  <si>
    <t>Avenida Torquato Tapajós, 0  Lago Azul  Manaus/Amazonas</t>
  </si>
  <si>
    <t>Rio Jaguarão n° 658 -   Vila Buriti  Manaus/Amazonas</t>
  </si>
  <si>
    <t>Rua Renato Lins, 287  Cidade Nova  Manaus/Amazonas</t>
  </si>
  <si>
    <t>Avenida Prefeito Chiquilito Erse, 3288  - PAVMTO3 LOJA 303  Flodoaldo Pontes Filho  Manaus/Amazonas</t>
  </si>
  <si>
    <t>AV GABRIEL CORREA PEDROSA n° 149 - LOJA C  Parq. 10 de Novembro  Manaus/Amazonas</t>
  </si>
  <si>
    <t>Av Autaz Mirim 4.966 - Galpão A e B  Zumbi dos Palmares  Manaus/Amazonas</t>
  </si>
  <si>
    <t>Rua Rio Jaguarão, n° 2134  Vila Buriti  Manaus/Amazonas</t>
  </si>
  <si>
    <t>Trav. Severiano Nunes, s/n°  Centro  Itapiranga/Amazonas</t>
  </si>
  <si>
    <t>Av. Tancredo Neves, n° 1287  Parque 10 de Novembro  Manaus/Amazonas</t>
  </si>
  <si>
    <t>Av. Cupiuba, n° 956 - Lote 3.65/2C  Distrito Industrial  Manaus/Amazonas</t>
  </si>
  <si>
    <t>Avenida Coronel Teixeira, S/N - KM 03  Ponta Negra  Manaus/Amazonas</t>
  </si>
  <si>
    <t>Rua Comadante Noberto Won Gal - Conj. Santos Dummont  Da Paz  Manaus/Amazonas</t>
  </si>
  <si>
    <t>Avenida Brigadeiro Hilário Gurjão, 370   Jorge Teixeira   Manaus/Amazonas</t>
  </si>
  <si>
    <t>Rua Senador Leitão da Cunha, 76  São Francisco  Manaus/Amazonas</t>
  </si>
  <si>
    <t>Rua Ivailandia, 423  Coroado  Manaus/Amazonas</t>
  </si>
  <si>
    <t>Avenida Ephigênio Salles, 2330  Aleixo  Manaus/Amazonas</t>
  </si>
  <si>
    <t>Avenida Coronel Cirillo Neves, 892  Compensa  Manaus/Amazonas</t>
  </si>
  <si>
    <t>Rua Esus, 481 A  Tarumã-Açu  Manaus/Amazonas</t>
  </si>
  <si>
    <t>Av. Camapuã, n° 921   cidade de Deus  Manaus/Amazonas</t>
  </si>
  <si>
    <t>Avenida Ephigênio Salles, 2310  Aleixo  Manaus/Amazonas</t>
  </si>
  <si>
    <t>Ephigênio Salles, 2085  Aleixo  Manaus/Amazonas</t>
  </si>
  <si>
    <t>Av. Ministro Mario Andreazza 4506 - LOTE 2.62/1 GALPAO I  Distrito Industrial  Manaus/Amazonas</t>
  </si>
  <si>
    <t>Avenida Djalma Batista, 1719  Chapada  Manaus/Amazonas</t>
  </si>
  <si>
    <t>Rua Rio Amapá, 05 - Conjunto Vieiralves  Nossa Senhora das Graças   Manaus/Amazonas</t>
  </si>
  <si>
    <t>Avenida Desembargador João Machado, 1600  Alvorada  Manaus/Amazonas</t>
  </si>
  <si>
    <t>Av. Camapuã n° 1262 - Loja 01  Novo Aleixo  Manaus/Amazonas</t>
  </si>
  <si>
    <t>Av Torquato Tapajós n° 923  Da Paz  Manaus/Amazonas</t>
  </si>
  <si>
    <t>Avenida Tarumã, 905  Tarumã  Manaus/Amazonas</t>
  </si>
  <si>
    <t>Rua Arnaldo Carpinteiro Peres, n° 304  Petropolis  Manaus/Amazonas</t>
  </si>
  <si>
    <t>Rua Cachoeira do Arari, 281  Santa Etelvina  Manaus/Amazonas</t>
  </si>
  <si>
    <t>: Avenida Tefé, Nº 315  Praça 14 De Janeiro  Manaus/Amazonas</t>
  </si>
  <si>
    <t>Rua Pires do Rio, 535   Aleixo  Manaus/Amazonas</t>
  </si>
  <si>
    <t>Avenida Margarita, 35   Nova Cidade  Manaus/Amazonas</t>
  </si>
  <si>
    <t>Rua Havan, 251  Nova Cidade  Manaus/Amazonas</t>
  </si>
  <si>
    <t>Rod. Macapá - Mazagão s/n - Km 16 |Galpão 1A  Distrito Industrial  Manaus/Amazonas</t>
  </si>
  <si>
    <t>Rua Içá, n° 400   Distrito Industria  Manaus/Amazonas</t>
  </si>
  <si>
    <t>Avenida Mário Ypiranga, 1300   Adrianopolis  Manaus/Amazonas</t>
  </si>
  <si>
    <t>Avenida Rodrigo Otávio, 3376   Crespo  Manaus/Amazonas</t>
  </si>
  <si>
    <t>Rua da Instalação, 164  Centro  Manaus/Amazonas</t>
  </si>
  <si>
    <t>Rua Comandante Atlas Catanhede  Da Paz  Manaus/Amazonas</t>
  </si>
  <si>
    <t>Rua Luiz Antony, 538  Centro  Manaus/Amazonas</t>
  </si>
  <si>
    <t>Rua Dallas, 106  Flores  Manaus/Amazonas</t>
  </si>
  <si>
    <t>Rua Cuba, 3 - Parque das Nações  Flores  Manaus/Amazonas</t>
  </si>
  <si>
    <t>Estrada Vila Tuxaua n° 100  Vila Tuxaua  Jutaí/Amazonas</t>
  </si>
  <si>
    <t>Rua Quixito, n° 86 - Terreo - Galpão B  Vila Buriti  Manaus/Amazonas</t>
  </si>
  <si>
    <t>Avenida Buriti, 6376 -   Distrito Industrial  Manaus/Amazonas</t>
  </si>
  <si>
    <t>Rua Doutor Perdigão, 149  Coroado  Manaus/Amazonas</t>
  </si>
  <si>
    <t>Av. Itaúba, 1737  Jorge Teixeira  Manaus/Amazonas</t>
  </si>
  <si>
    <t>Av. Torquato Tapajós, n° 3386  Colônia Santo Antônio   Manaus/Amazonas</t>
  </si>
  <si>
    <t>Av. Coronel Teixeira, 5803  Ponta Negra  Manaus/Amazonas</t>
  </si>
  <si>
    <t>Rua Afonso de Souza n° 247  Raiz  Manaus/Amazonas</t>
  </si>
  <si>
    <t>Rua José Romão, 415  São José Operário  Manaus/Amazonas</t>
  </si>
  <si>
    <t>Rua Rio Ituxi, 290  Nossa Semhora das Graças   Manaus/Amazonas</t>
  </si>
  <si>
    <t>Rua Salvador, 120 - Sala 803 - Vieiralves  Adrianópolis  Manaus/Amazonas</t>
  </si>
  <si>
    <t>Avenida Autaz Mirim, 1000  Distrito Industrial II  Manaus/Amazonas</t>
  </si>
  <si>
    <t>Rua Rio Jaguarão, 2134  Vila Buriti  Manaus/Amazonas</t>
  </si>
  <si>
    <t>Rua Jupurutu, 221  Alvorada  Manaus/Amazonas</t>
  </si>
  <si>
    <t>Avenida Torquato Tapajós, 10933  Tarumã  Manaus/Amazonas</t>
  </si>
  <si>
    <t>Avenida Torquato Tapajós, 1357  Flores  Manaus/Amazonas</t>
  </si>
  <si>
    <t>Rua Emilio Moreira, 1769  Praça 14  Manaus/Amazonas</t>
  </si>
  <si>
    <t>Rua Barão do Triunfo, 612 - Conjunto 901  Brooklin Paulista  São Paulo/São Paulo</t>
  </si>
  <si>
    <t>Rua Cerejeira, 374  Jardim Florestal  Manaus/Amazonas</t>
  </si>
  <si>
    <t>Avenida Autaz Mirim, 1030  Distrito Industrial  Manaus/Amazonas</t>
  </si>
  <si>
    <t>Rua Paes Lemes, 524   Pinheiros  São Paulo/São Paulo</t>
  </si>
  <si>
    <t>Avenida Domingos Jorge Velho, 73  Dom Pedro  Manaus/Amazonas</t>
  </si>
  <si>
    <t>Rua Candelaria, 359  Coroado  Manaus/Amazonas</t>
  </si>
  <si>
    <t>Rua 205  Novo Aleixo  Manaus/Amazonas</t>
  </si>
  <si>
    <t>Rua Tucunaré, 40   Distrito Industrial   Manaus/Amazonas</t>
  </si>
  <si>
    <t>Avenida Jacira Reis, 600  São Jorge  Manaus/Amazonas</t>
  </si>
  <si>
    <t>Rua Aracai, 1052   Flores  Manaus/Amazonas</t>
  </si>
  <si>
    <t>Rua Ibipora, 187  Novo Aleixo  Manaus/Amazonas</t>
  </si>
  <si>
    <t>Rua Professor Antônio Giulesse, 348  Alvorada  Manaus/Amazonas</t>
  </si>
  <si>
    <t>Rua Careiro Castanho 731  Jorge Teixeira  Manaus/Amazonas</t>
  </si>
  <si>
    <t>Rua Bem Te Vi, s/nº  Cidade de Deus   Manaus/Amazonas</t>
  </si>
  <si>
    <t>Rua Careiro Castanho, 0  Jorge Teixeira  Manaus/Amazonas</t>
  </si>
  <si>
    <t>Rua Monte Castelo, 328  Japiim  Manaus/Amazonas</t>
  </si>
  <si>
    <t>Rua Desembargador Gaspar Guimarães, 60A  Parque 10 de Novembro  Manaus/Amazonas</t>
  </si>
  <si>
    <t>Av. Governador Danilo de Matos Areosa, n.o 1170  Distrito Industrial  Manaus/Amazonas</t>
  </si>
  <si>
    <t>Av. Cosme Ferreira, 12110  Colônia Antônio Aleixo  Manaus/Amazonas</t>
  </si>
  <si>
    <t>Rua São Francisco de Assis, 85  Nova Esperança  Manaus/Amazonas</t>
  </si>
  <si>
    <t>Rua Luiz Olavo, n° 940  - Sala 6  Parque 10 de Novembro  Manaus/Amazonas</t>
  </si>
  <si>
    <t>Av. da Floresta, n° 5641   Tarumã Açu  Manaus/Amazonas</t>
  </si>
  <si>
    <t>Av Torquato Tapajós, 7503 - Galpão 2, Módulo 24  Tarumã  Manaus/Amazonas</t>
  </si>
  <si>
    <t>Avenida Domingos Jorge Velho, 018  Dom Pedro I  Manaus/Amazonas</t>
  </si>
  <si>
    <t>Av. Mário Ypiranga, n° 1.300  Adrianópolis  Manaus/Amazonas</t>
  </si>
  <si>
    <t>Rua Desembargador Anizio Jobim, 1521  Colônia Antônio Aleixo  Manaus/Amazonas</t>
  </si>
  <si>
    <t>Rua Pajurá, 171  Vila Buriti  Manaus/Amazonas</t>
  </si>
  <si>
    <t>Rua Rosa Branca, 60   São José Operário   Manaus/Amazonas</t>
  </si>
  <si>
    <t>Av, Torquato Tapajós, n 11600, Galpão 3 e 4  Santa Etelvina  Manaus/Amazonas</t>
  </si>
  <si>
    <t>Av. Torquato Tapajós, 1160   Santa Etelvina   Manaus/Amazonas</t>
  </si>
  <si>
    <t>Rua Joaquim Uchoa, 01  - Conjunto Petrus  Aleixo  Manaus/Amazonas</t>
  </si>
  <si>
    <t>Rua Criciúma, 461   Alvorada  Manaus/Amazonas</t>
  </si>
  <si>
    <t>Rua Paraíba, 670   Adrianópolis  Manaus/Amazonas</t>
  </si>
  <si>
    <t>Estrada do Belmont, 11.509 - KM 04  Zona Rural   Porto Velho/Rondônia</t>
  </si>
  <si>
    <t>Rua Barão do Rio Branco, 2  Flores  Manaus/Amazonas</t>
  </si>
  <si>
    <t>Rua Gal. Fiuza de Castro, 1 - Sala 5  Colônia Santo Antônio  Manaus/Amazonas</t>
  </si>
  <si>
    <t>Av. Da Amizade n° 887   Centro  Manaus/Amazonas</t>
  </si>
  <si>
    <t>Rua Waldemir Cordeiro, 817   Alvorada   Manaus/Amazonas</t>
  </si>
  <si>
    <t>Av. Buriti, n° 190  Distrito Ibdustrial  Manaus/Amazonas</t>
  </si>
  <si>
    <t>Rua Palmeira do Miriti, 287  Gilberto Mestrinho   Manaus/Amazonas</t>
  </si>
  <si>
    <t>Rua Palmeira do Miriti, 89  Gilberto Mestrinho   Manaus/Amazonas</t>
  </si>
  <si>
    <t>Rua José Farias n° 16   Tancredo Neves  Manaus/Amazonas</t>
  </si>
  <si>
    <t>Avenida André Araújo, 2721 - Parque Morada do Sol   Aleixo  Manaus/Amazonas</t>
  </si>
  <si>
    <t>Rua Comendador Gutemberg Barbosa, 0 - Lote 06  Ponta Negra  Manaus/Amazonas</t>
  </si>
  <si>
    <t>Av. Abiurana, 450 - Bloco C1  Distrito Industrial   Manaus/Amazonas</t>
  </si>
  <si>
    <t>Avenida Abiurana, 1616  Distrito Industrial  Manaus/Amazonas</t>
  </si>
  <si>
    <t>Avenida A, S/N - Quadra e Lote 30  Cidade Industrial Norte  Timon/Maranhão</t>
  </si>
  <si>
    <t>Ramal Cipó Ambe, n° 100 - Sala B  Sítio Vista Alegre  Altamira/Pará</t>
  </si>
  <si>
    <t>Rua Marcílio Dias n° 283 - Sala LB 08  - Sala LB 08   Centro  Manaus/Amazonas</t>
  </si>
  <si>
    <t>Av. Maneca Marques, n° 177  Parque 10 de Novembro  Manaus/Amazonas</t>
  </si>
  <si>
    <t>Rua Manoel Marques de Souza, 214 - CJ C BRANCO  Parque Dez  Manaus/Amazonas</t>
  </si>
  <si>
    <t>Rua Balata, 244  Distrito Industrial  Manaus/Amazonas</t>
  </si>
  <si>
    <t>V Matoim, s/n°  Distrito Industrial  Candeias/Bahia</t>
  </si>
  <si>
    <t>Rua Içá, 515   Distrito Industrial I  Manaus/Amazonas</t>
  </si>
  <si>
    <t>Avenida do Turismo, 13.520 - Galpão 01 - Módulos 1 e 2  Tarumã  Manaus/Amazonas</t>
  </si>
  <si>
    <t>Avenida Mário Ypiranga, 0 - Andar 1  Nossa Senhora das Graças  Manaus/Amazonas</t>
  </si>
  <si>
    <t>Rua Visconde de Ouro Preto, 21  Flores  Manaus/Amazonas</t>
  </si>
  <si>
    <t>Rua Buenos Aires, n° 68 - Sala 1201 - 12° Andar  Centro  Rio de Janeiro/Rio de Janeiro</t>
  </si>
  <si>
    <t>Rua José Romão, S/n°   São José Operário  Manaus/Amazonas</t>
  </si>
  <si>
    <t>Av 7 de setembro, n° 1104  Iracy  Itacoatiara/Amazonas</t>
  </si>
  <si>
    <t>Av. Plácido de Castro s/n°  Vila Aeroporto  Manaus/Amazonas</t>
  </si>
  <si>
    <t>R. Leopoldo Carpinteiro Péres, 1218  Petrópolis  Manaus/Amazonas</t>
  </si>
  <si>
    <t>Rua Orlândia, 114  Aleixo  Manaus/Amazonas</t>
  </si>
  <si>
    <t>Rua Belo Horizonte, 19 - Sala 810 - 817 (8º andar) Sala 1701 e 1708 (17° andar)  Adrianopólis  Manaus/Amazonas</t>
  </si>
  <si>
    <t>Rua Rio Ituxi, 70  Nossa Senhora das Graças  Manaus/Amazonas</t>
  </si>
  <si>
    <t>Av. Cupiuba, nº 401  - Lote 3 77/1- Galpão B  Distrito Industrial  Manaus/Amazonas</t>
  </si>
  <si>
    <t>Rua Montesenhor Coutinho, 490  Centro  Manaus/Amazonas</t>
  </si>
  <si>
    <t>Rua João Gomes, 41   Novo Aleixo  Manaus/Amazonas</t>
  </si>
  <si>
    <t>Rua Barão de Jaceguai, n° 12 - Residencial Barão de Jaceguai  Flores  Manaus/Amazonas</t>
  </si>
  <si>
    <t>Ramal Cachoeira n° 1.009 - RM Francisca Mendes  Zona Rural  Rio Preto da Eva/Amazonas</t>
  </si>
  <si>
    <t xml:space="preserve"> Rua Enoc – Via de Acesso Amazon Boulevard  Da Paz  Manaus/Amazonas</t>
  </si>
  <si>
    <t>Rua Pajurazinho n° 2593  Distrito Industrial II  Manaus/Amazonas</t>
  </si>
  <si>
    <t>Rua Rio Tarauaca, n° 20 - Sala 07 Quadra 53 Conj. Vieiralves  Nossa Senhora das Graças  Manaus/Amazonas</t>
  </si>
  <si>
    <t>Rua Alfredo Pujol, 1190  Santana  São Paulo/São Paulo</t>
  </si>
  <si>
    <t>Rua Gonçalves Dias, 145  Centro  Manaus/Amazonas</t>
  </si>
  <si>
    <t>Avenida Capitão Ene Garcez   Aeroporto  Manaus/Amazonas</t>
  </si>
  <si>
    <t>Rodovia BR 174, KM 213  Zona Rural  Rorainópolis/Roraima</t>
  </si>
  <si>
    <t>Rua Jussari, 11  Lírio do Vale   Manaus/Amazonas</t>
  </si>
  <si>
    <t>Rua Miguel Ribas nº 1568 - Letra A  Santo Antônio  Manaus/Amazonas</t>
  </si>
  <si>
    <t>Av. Mandii n° 1.261  Distrito Industrial I  Manaus/Amazonas</t>
  </si>
  <si>
    <t>Balão de tedlar de 5 L</t>
  </si>
  <si>
    <t>Trimetilbenzeno, mistura de isômeros</t>
  </si>
  <si>
    <t>Comprometimento do sistema nervoso central;
Efeito hematológico</t>
  </si>
  <si>
    <t>Método OSHA PV 2091</t>
  </si>
  <si>
    <t>10</t>
  </si>
  <si>
    <t>25551-13-7</t>
  </si>
  <si>
    <t>107-21-1</t>
  </si>
  <si>
    <t>0,5 - 2</t>
  </si>
  <si>
    <t>5 - 60</t>
  </si>
  <si>
    <t>Método NIOSH 5523</t>
  </si>
  <si>
    <t>Método OSHA 83</t>
  </si>
  <si>
    <t>48</t>
  </si>
  <si>
    <t>112-07-2</t>
  </si>
  <si>
    <t>Acetato de 2-Butóxietanol</t>
  </si>
  <si>
    <t>Etileno Glicol</t>
  </si>
  <si>
    <t>Irritações no trato respiratório superior</t>
  </si>
  <si>
    <t>Monoetanolamina</t>
  </si>
  <si>
    <t xml:space="preserve">Irritações Pele;
Irritações nos olhos
</t>
  </si>
  <si>
    <t>Tubo de Resina XAD-2</t>
  </si>
  <si>
    <t>Método OSHA PV 2111</t>
  </si>
  <si>
    <t>Irritação trato respiratório; edema pulmonar</t>
  </si>
  <si>
    <t>7803-51-2</t>
  </si>
  <si>
    <t>121-75-5</t>
  </si>
  <si>
    <t>2-propanol</t>
  </si>
  <si>
    <t>Irritações nos olhos;
Irritações no trato respiratório superior;
Comprometimento do sistema nervoso central</t>
  </si>
  <si>
    <t>Ácido Carboxílico de Hidrogênio</t>
  </si>
  <si>
    <t>Acetato de Vinila</t>
  </si>
  <si>
    <t>Método NIOSH 1453</t>
  </si>
  <si>
    <t xml:space="preserve"> 1,5 - 24  </t>
  </si>
  <si>
    <t>108-05-4</t>
  </si>
  <si>
    <t>Irritação no TRI</t>
  </si>
  <si>
    <t>Método NIOSH 1606</t>
  </si>
  <si>
    <t>75-05-8</t>
  </si>
  <si>
    <t>Ácido Bórico - como Borato, compostos inogânicos</t>
  </si>
  <si>
    <t>N.D.: Nada Detectado</t>
  </si>
  <si>
    <t>10 - 20</t>
  </si>
  <si>
    <t>Método OSHA PV 2016</t>
  </si>
  <si>
    <t>Sulfato de Bário</t>
  </si>
  <si>
    <t>7727-43-7</t>
  </si>
  <si>
    <t>Método MDHS 14/3</t>
  </si>
  <si>
    <t>Butanol</t>
  </si>
  <si>
    <t>Tubo de Carvão</t>
  </si>
  <si>
    <t>i</t>
  </si>
  <si>
    <t>Butano (N-Butano)</t>
  </si>
  <si>
    <t>Mês de 2026</t>
  </si>
  <si>
    <t>0000-1/2026.0</t>
  </si>
  <si>
    <t>1 / 2026.0</t>
  </si>
  <si>
    <t>2 / 2026.0</t>
  </si>
  <si>
    <t>3 / 2026.0</t>
  </si>
  <si>
    <t>4 / 2026.0</t>
  </si>
  <si>
    <t>5 / 2026.0</t>
  </si>
  <si>
    <t>6 / 2026.0</t>
  </si>
  <si>
    <t>7 / 2026.0</t>
  </si>
  <si>
    <t>8 / 2026.0</t>
  </si>
  <si>
    <t>9 / 2026.0</t>
  </si>
  <si>
    <t>10 / 2026.0</t>
  </si>
  <si>
    <t>11 / 2026.0</t>
  </si>
  <si>
    <t>12 / 2026.0</t>
  </si>
  <si>
    <t>13 / 2026.0</t>
  </si>
  <si>
    <t>14 / 2026.0</t>
  </si>
  <si>
    <t>15 / 2026.0</t>
  </si>
  <si>
    <t>16 / 2026.0</t>
  </si>
  <si>
    <t>17 / 2026.0</t>
  </si>
  <si>
    <t>18 / 2026.0</t>
  </si>
  <si>
    <t>19 / 2026.0</t>
  </si>
  <si>
    <t>20 / 2026.0</t>
  </si>
  <si>
    <t>01 de janeiro de 2026.</t>
  </si>
  <si>
    <t>Clorobromometano</t>
  </si>
  <si>
    <t>1,1 Dicloroetano</t>
  </si>
  <si>
    <t>1,1,1 Tricloroetano</t>
  </si>
  <si>
    <t>1,2,3 Trimetilbenzeno</t>
  </si>
  <si>
    <t>Cloreto de Metileno</t>
  </si>
  <si>
    <t>COHb-emia; Comprometimento do SNC</t>
  </si>
  <si>
    <t>Método NIOSH 1005</t>
  </si>
  <si>
    <t>Máx 2,5</t>
  </si>
  <si>
    <t>Éter Monometílico de Propilenoglicol</t>
  </si>
  <si>
    <t>Irritações no TRS; Irritações nos olhos</t>
  </si>
  <si>
    <t>Método NIOSH 2554</t>
  </si>
  <si>
    <t>3 a 25</t>
  </si>
  <si>
    <t>Acetato de Sec-butila</t>
  </si>
  <si>
    <t>Bisfenol</t>
  </si>
  <si>
    <t>Método OSHA 1018 HPLC</t>
  </si>
  <si>
    <t>80-05-7</t>
  </si>
  <si>
    <t>Método MDHS 14/3  E OSHA PV 2095</t>
  </si>
  <si>
    <t xml:space="preserve">Éter Monobutíl dietílico de Glicol </t>
  </si>
  <si>
    <t>Danos no fígado; Danos nos rins; Efeitos hematológicos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</si>
</sst>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0.0"/>
    <numFmt numFmtId="166" formatCode="0.000"/>
    <numFmt numFmtId="167" formatCode="[$-F800]dddd\,\ mmmm\ dd\,\ yyyy"/>
    <numFmt numFmtId="168" formatCode="General_)"/>
    <numFmt numFmtId="169" formatCode="d&quot; de &quot;mmmm&quot; de &quot;yyyy"/>
  </numFmts>
  <fonts count="3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1"/>
      <color theme="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4"/>
      <color theme="1"/>
      <name val="Arial"/>
      <family val="2"/>
    </font>
    <font>
      <sz val="12"/>
      <color theme="0"/>
      <name val="Arial"/>
      <family val="2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rgb="FFFF0000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2"/>
      <color rgb="FFFFFF00"/>
      <name val="Arial"/>
      <family val="2"/>
    </font>
    <font>
      <b/>
      <sz val="12"/>
      <color theme="1"/>
      <name val="Segoe UI Semibold"/>
      <family val="2"/>
    </font>
    <font>
      <vertAlign val="superscript"/>
      <sz val="12"/>
      <color theme="1"/>
      <name val="Arial"/>
      <family val="2"/>
    </font>
    <font>
      <sz val="12"/>
      <color theme="1"/>
      <name val="Texto"/>
    </font>
    <font>
      <sz val="16"/>
      <color theme="1"/>
      <name val="Segoe UI Semibold"/>
      <family val="2"/>
    </font>
    <font>
      <sz val="14"/>
      <color rgb="FFFFFF00"/>
      <name val="Arial"/>
      <family val="2"/>
    </font>
    <font>
      <sz val="18"/>
      <color theme="4" tint="-0.499984740745262"/>
      <name val="Segoe UI Semibold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4" fillId="0" borderId="0"/>
    <xf numFmtId="168" fontId="18" fillId="0" borderId="0"/>
    <xf numFmtId="168" fontId="18" fillId="0" borderId="0"/>
  </cellStyleXfs>
  <cellXfs count="314">
    <xf numFmtId="0" fontId="0" fillId="0" borderId="0" xfId="0"/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5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3" fontId="9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6" fillId="0" borderId="6" xfId="0" applyFont="1" applyBorder="1" applyAlignment="1">
      <alignment horizontal="left" vertical="center"/>
    </xf>
    <xf numFmtId="0" fontId="1" fillId="0" borderId="12" xfId="0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20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164" fontId="1" fillId="0" borderId="0" xfId="0" applyNumberFormat="1" applyFont="1" applyAlignment="1">
      <alignment horizontal="center"/>
    </xf>
    <xf numFmtId="20" fontId="1" fillId="0" borderId="0" xfId="0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3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 wrapText="1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0" fontId="8" fillId="4" borderId="1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3" fontId="9" fillId="0" borderId="1" xfId="0" applyNumberFormat="1" applyFont="1" applyBorder="1" applyAlignment="1" applyProtection="1">
      <alignment horizontal="center" vertical="center"/>
      <protection locked="0"/>
    </xf>
    <xf numFmtId="4" fontId="9" fillId="0" borderId="1" xfId="0" applyNumberFormat="1" applyFont="1" applyBorder="1" applyAlignment="1" applyProtection="1">
      <alignment horizontal="center" vertical="center"/>
      <protection locked="0"/>
    </xf>
    <xf numFmtId="16" fontId="9" fillId="0" borderId="1" xfId="0" applyNumberFormat="1" applyFont="1" applyBorder="1" applyAlignment="1" applyProtection="1">
      <alignment horizontal="center" vertical="center"/>
      <protection locked="0"/>
    </xf>
    <xf numFmtId="0" fontId="9" fillId="0" borderId="13" xfId="0" applyFont="1" applyBorder="1" applyAlignment="1" applyProtection="1">
      <alignment horizontal="center" vertical="center" wrapText="1"/>
      <protection locked="0"/>
    </xf>
    <xf numFmtId="0" fontId="9" fillId="0" borderId="14" xfId="0" applyFont="1" applyBorder="1" applyAlignment="1" applyProtection="1">
      <alignment horizontal="center" vertical="center" wrapText="1"/>
      <protection locked="0"/>
    </xf>
    <xf numFmtId="49" fontId="9" fillId="0" borderId="1" xfId="0" applyNumberFormat="1" applyFont="1" applyBorder="1" applyAlignment="1" applyProtection="1">
      <alignment horizontal="center" vertical="center"/>
      <protection locked="0"/>
    </xf>
    <xf numFmtId="49" fontId="9" fillId="0" borderId="1" xfId="0" applyNumberFormat="1" applyFont="1" applyBorder="1" applyAlignment="1" applyProtection="1">
      <alignment horizontal="center" vertical="center" wrapText="1"/>
      <protection locked="0"/>
    </xf>
    <xf numFmtId="0" fontId="9" fillId="0" borderId="1" xfId="0" quotePrefix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 wrapText="1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9" fillId="0" borderId="14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7" xfId="0" applyFont="1" applyBorder="1" applyAlignment="1">
      <alignment horizontal="right" vertical="center"/>
    </xf>
    <xf numFmtId="0" fontId="6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/>
    </xf>
    <xf numFmtId="0" fontId="1" fillId="0" borderId="10" xfId="0" applyFont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167" fontId="17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8" fontId="1" fillId="2" borderId="0" xfId="3" applyFont="1" applyFill="1" applyAlignment="1">
      <alignment vertical="center"/>
    </xf>
    <xf numFmtId="168" fontId="3" fillId="2" borderId="0" xfId="3" applyFont="1" applyFill="1" applyAlignment="1">
      <alignment vertical="center"/>
    </xf>
    <xf numFmtId="168" fontId="19" fillId="2" borderId="0" xfId="3" applyFont="1" applyFill="1" applyAlignment="1">
      <alignment vertical="center"/>
    </xf>
    <xf numFmtId="168" fontId="17" fillId="2" borderId="0" xfId="3" applyFont="1" applyFill="1" applyAlignment="1">
      <alignment vertical="center" wrapText="1"/>
    </xf>
    <xf numFmtId="168" fontId="7" fillId="2" borderId="0" xfId="3" applyFont="1" applyFill="1" applyAlignment="1">
      <alignment horizontal="left" vertical="center"/>
    </xf>
    <xf numFmtId="168" fontId="6" fillId="2" borderId="0" xfId="3" applyFont="1" applyFill="1" applyAlignment="1">
      <alignment vertical="center" wrapText="1"/>
    </xf>
    <xf numFmtId="168" fontId="20" fillId="2" borderId="0" xfId="3" applyFont="1" applyFill="1" applyAlignment="1">
      <alignment vertical="center"/>
    </xf>
    <xf numFmtId="168" fontId="7" fillId="2" borderId="0" xfId="3" applyFont="1" applyFill="1" applyAlignment="1">
      <alignment vertical="center"/>
    </xf>
    <xf numFmtId="14" fontId="7" fillId="2" borderId="0" xfId="3" applyNumberFormat="1" applyFont="1" applyFill="1" applyAlignment="1">
      <alignment vertical="center"/>
    </xf>
    <xf numFmtId="168" fontId="2" fillId="2" borderId="0" xfId="3" applyFont="1" applyFill="1" applyAlignment="1">
      <alignment vertical="center"/>
    </xf>
    <xf numFmtId="168" fontId="2" fillId="2" borderId="0" xfId="3" applyFont="1" applyFill="1" applyAlignment="1">
      <alignment vertical="center" wrapText="1"/>
    </xf>
    <xf numFmtId="168" fontId="1" fillId="2" borderId="0" xfId="3" applyFont="1" applyFill="1" applyAlignment="1">
      <alignment horizontal="right" vertical="center" wrapText="1"/>
    </xf>
    <xf numFmtId="168" fontId="1" fillId="2" borderId="0" xfId="3" applyFont="1" applyFill="1" applyAlignment="1">
      <alignment horizontal="left" vertical="center" wrapText="1"/>
    </xf>
    <xf numFmtId="168" fontId="1" fillId="2" borderId="0" xfId="3" applyFont="1" applyFill="1" applyAlignment="1">
      <alignment vertical="center" wrapText="1"/>
    </xf>
    <xf numFmtId="168" fontId="1" fillId="2" borderId="0" xfId="3" applyFont="1" applyFill="1" applyAlignment="1">
      <alignment horizontal="center" vertical="center" wrapText="1"/>
    </xf>
    <xf numFmtId="2" fontId="1" fillId="2" borderId="0" xfId="3" applyNumberFormat="1" applyFont="1" applyFill="1" applyAlignment="1">
      <alignment vertical="center" wrapText="1"/>
    </xf>
    <xf numFmtId="168" fontId="16" fillId="2" borderId="0" xfId="3" applyFont="1" applyFill="1" applyAlignment="1">
      <alignment vertical="center"/>
    </xf>
    <xf numFmtId="168" fontId="5" fillId="2" borderId="0" xfId="3" applyFont="1" applyFill="1" applyAlignment="1">
      <alignment vertical="center"/>
    </xf>
    <xf numFmtId="168" fontId="4" fillId="2" borderId="0" xfId="3" applyFont="1" applyFill="1" applyAlignment="1">
      <alignment vertical="center"/>
    </xf>
    <xf numFmtId="168" fontId="4" fillId="2" borderId="0" xfId="3" applyFont="1" applyFill="1" applyAlignment="1">
      <alignment horizontal="left" vertical="center"/>
    </xf>
    <xf numFmtId="168" fontId="6" fillId="2" borderId="0" xfId="3" applyFont="1" applyFill="1" applyAlignment="1">
      <alignment vertical="center"/>
    </xf>
    <xf numFmtId="168" fontId="6" fillId="2" borderId="0" xfId="3" applyFont="1" applyFill="1" applyAlignment="1">
      <alignment horizontal="center" vertical="center"/>
    </xf>
    <xf numFmtId="168" fontId="18" fillId="2" borderId="0" xfId="3" applyFill="1" applyAlignment="1">
      <alignment vertical="center"/>
    </xf>
    <xf numFmtId="168" fontId="3" fillId="2" borderId="1" xfId="3" applyFont="1" applyFill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0" borderId="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/>
    <xf numFmtId="0" fontId="23" fillId="0" borderId="0" xfId="0" applyFont="1" applyAlignment="1">
      <alignment vertical="center"/>
    </xf>
    <xf numFmtId="0" fontId="9" fillId="0" borderId="0" xfId="0" applyFont="1" applyAlignment="1">
      <alignment horizontal="left"/>
    </xf>
    <xf numFmtId="0" fontId="23" fillId="0" borderId="0" xfId="0" applyFont="1" applyAlignment="1">
      <alignment horizontal="center" vertical="center"/>
    </xf>
    <xf numFmtId="2" fontId="9" fillId="0" borderId="0" xfId="0" applyNumberFormat="1" applyFont="1" applyAlignment="1">
      <alignment horizontal="right" vertical="center"/>
    </xf>
    <xf numFmtId="14" fontId="22" fillId="0" borderId="1" xfId="0" applyNumberFormat="1" applyFont="1" applyBorder="1" applyAlignment="1">
      <alignment horizontal="center" vertical="center"/>
    </xf>
    <xf numFmtId="0" fontId="9" fillId="0" borderId="1" xfId="0" applyFont="1" applyBorder="1"/>
    <xf numFmtId="164" fontId="9" fillId="0" borderId="1" xfId="0" applyNumberFormat="1" applyFont="1" applyBorder="1"/>
    <xf numFmtId="20" fontId="9" fillId="0" borderId="1" xfId="0" applyNumberFormat="1" applyFont="1" applyBorder="1"/>
    <xf numFmtId="0" fontId="9" fillId="0" borderId="1" xfId="0" applyFont="1" applyBorder="1" applyAlignment="1">
      <alignment horizontal="left"/>
    </xf>
    <xf numFmtId="0" fontId="22" fillId="0" borderId="1" xfId="0" applyFont="1" applyBorder="1" applyAlignment="1">
      <alignment vertical="center"/>
    </xf>
    <xf numFmtId="0" fontId="8" fillId="0" borderId="1" xfId="0" applyFont="1" applyBorder="1"/>
    <xf numFmtId="0" fontId="2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justify" vertical="center" wrapText="1"/>
    </xf>
    <xf numFmtId="168" fontId="24" fillId="2" borderId="0" xfId="3" applyFont="1" applyFill="1" applyAlignment="1">
      <alignment vertical="center"/>
    </xf>
    <xf numFmtId="20" fontId="26" fillId="0" borderId="1" xfId="0" applyNumberFormat="1" applyFont="1" applyBorder="1" applyAlignment="1">
      <alignment vertical="center"/>
    </xf>
    <xf numFmtId="2" fontId="26" fillId="0" borderId="1" xfId="0" applyNumberFormat="1" applyFont="1" applyBorder="1" applyAlignment="1">
      <alignment vertical="center"/>
    </xf>
    <xf numFmtId="168" fontId="27" fillId="2" borderId="0" xfId="3" applyFont="1" applyFill="1" applyAlignment="1">
      <alignment horizontal="right" vertical="center"/>
    </xf>
    <xf numFmtId="168" fontId="27" fillId="2" borderId="0" xfId="3" applyFont="1" applyFill="1" applyAlignment="1">
      <alignment horizontal="left" vertical="center"/>
    </xf>
    <xf numFmtId="168" fontId="27" fillId="2" borderId="0" xfId="3" applyFont="1" applyFill="1" applyAlignment="1">
      <alignment vertical="center"/>
    </xf>
    <xf numFmtId="0" fontId="2" fillId="2" borderId="3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3" fillId="0" borderId="0" xfId="0" applyFont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3" fillId="0" borderId="0" xfId="0" applyFont="1"/>
    <xf numFmtId="0" fontId="16" fillId="3" borderId="1" xfId="0" applyFont="1" applyFill="1" applyBorder="1" applyAlignment="1" applyProtection="1">
      <alignment horizontal="center" vertical="center" wrapText="1"/>
      <protection locked="0"/>
    </xf>
    <xf numFmtId="0" fontId="16" fillId="3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 wrapText="1"/>
      <protection locked="0"/>
    </xf>
    <xf numFmtId="0" fontId="16" fillId="3" borderId="2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 wrapText="1"/>
      <protection locked="0"/>
    </xf>
    <xf numFmtId="0" fontId="3" fillId="7" borderId="2" xfId="0" applyFont="1" applyFill="1" applyBorder="1" applyAlignment="1" applyProtection="1">
      <alignment horizontal="center" vertical="center"/>
      <protection locked="0"/>
    </xf>
    <xf numFmtId="0" fontId="3" fillId="4" borderId="0" xfId="0" applyFont="1" applyFill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0" fontId="3" fillId="7" borderId="1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49" fontId="3" fillId="7" borderId="2" xfId="0" applyNumberFormat="1" applyFont="1" applyFill="1" applyBorder="1" applyAlignment="1" applyProtection="1">
      <alignment horizontal="center" vertical="center"/>
      <protection locked="0"/>
    </xf>
    <xf numFmtId="49" fontId="3" fillId="7" borderId="1" xfId="0" applyNumberFormat="1" applyFont="1" applyFill="1" applyBorder="1" applyAlignment="1" applyProtection="1">
      <alignment horizontal="center" vertical="center"/>
      <protection locked="0"/>
    </xf>
    <xf numFmtId="49" fontId="3" fillId="7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 applyProtection="1">
      <alignment horizontal="center" vertical="center" wrapText="1"/>
      <protection locked="0"/>
    </xf>
    <xf numFmtId="49" fontId="3" fillId="7" borderId="1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2" fontId="3" fillId="7" borderId="1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2" xfId="0" applyNumberFormat="1" applyFont="1" applyFill="1" applyBorder="1" applyAlignment="1">
      <alignment horizontal="center" vertical="center"/>
    </xf>
    <xf numFmtId="49" fontId="3" fillId="7" borderId="2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 applyProtection="1">
      <alignment horizontal="center" vertical="center" wrapText="1"/>
      <protection locked="0"/>
    </xf>
    <xf numFmtId="0" fontId="3" fillId="7" borderId="2" xfId="0" applyFont="1" applyFill="1" applyBorder="1" applyAlignment="1">
      <alignment horizontal="center" vertical="center" wrapText="1"/>
    </xf>
    <xf numFmtId="165" fontId="3" fillId="7" borderId="1" xfId="0" applyNumberFormat="1" applyFont="1" applyFill="1" applyBorder="1" applyAlignment="1" applyProtection="1">
      <alignment horizontal="center" vertical="center"/>
      <protection locked="0"/>
    </xf>
    <xf numFmtId="0" fontId="17" fillId="7" borderId="1" xfId="0" applyFont="1" applyFill="1" applyBorder="1" applyAlignment="1">
      <alignment horizontal="center" vertical="center"/>
    </xf>
    <xf numFmtId="0" fontId="3" fillId="7" borderId="14" xfId="0" applyFont="1" applyFill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 applyProtection="1">
      <alignment horizontal="center" vertical="center" wrapText="1"/>
      <protection locked="0"/>
    </xf>
    <xf numFmtId="0" fontId="3" fillId="7" borderId="8" xfId="0" applyFont="1" applyFill="1" applyBorder="1" applyAlignment="1" applyProtection="1">
      <alignment horizontal="center" vertical="center"/>
      <protection locked="0"/>
    </xf>
    <xf numFmtId="49" fontId="17" fillId="7" borderId="2" xfId="0" applyNumberFormat="1" applyFont="1" applyFill="1" applyBorder="1" applyAlignment="1" applyProtection="1">
      <alignment horizontal="center" vertical="center"/>
      <protection locked="0"/>
    </xf>
    <xf numFmtId="0" fontId="17" fillId="7" borderId="1" xfId="0" applyFont="1" applyFill="1" applyBorder="1" applyAlignment="1" applyProtection="1">
      <alignment horizontal="center" vertical="center"/>
      <protection locked="0"/>
    </xf>
    <xf numFmtId="14" fontId="3" fillId="7" borderId="1" xfId="0" applyNumberFormat="1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 wrapText="1"/>
      <protection locked="0"/>
    </xf>
    <xf numFmtId="49" fontId="3" fillId="7" borderId="1" xfId="0" applyNumberFormat="1" applyFont="1" applyFill="1" applyBorder="1" applyAlignment="1">
      <alignment horizontal="center" vertical="center" wrapText="1"/>
    </xf>
    <xf numFmtId="49" fontId="30" fillId="7" borderId="1" xfId="0" applyNumberFormat="1" applyFont="1" applyFill="1" applyBorder="1" applyAlignment="1" applyProtection="1">
      <alignment horizontal="center" vertical="center" wrapText="1"/>
      <protection locked="0"/>
    </xf>
    <xf numFmtId="0" fontId="16" fillId="4" borderId="1" xfId="0" applyFont="1" applyFill="1" applyBorder="1" applyAlignment="1" applyProtection="1">
      <alignment horizontal="center" vertical="center" wrapText="1"/>
      <protection locked="0"/>
    </xf>
    <xf numFmtId="0" fontId="16" fillId="4" borderId="2" xfId="0" applyFont="1" applyFill="1" applyBorder="1" applyAlignment="1" applyProtection="1">
      <alignment horizontal="center" vertical="center" wrapText="1"/>
      <protection locked="0"/>
    </xf>
    <xf numFmtId="2" fontId="1" fillId="0" borderId="0" xfId="0" applyNumberFormat="1" applyFont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168" fontId="32" fillId="4" borderId="0" xfId="3" applyFont="1" applyFill="1" applyAlignment="1">
      <alignment horizontal="left" vertical="center"/>
    </xf>
    <xf numFmtId="0" fontId="3" fillId="7" borderId="14" xfId="0" applyFont="1" applyFill="1" applyBorder="1" applyAlignment="1">
      <alignment horizontal="center" vertical="center" wrapText="1"/>
    </xf>
    <xf numFmtId="0" fontId="3" fillId="7" borderId="14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8" fontId="33" fillId="2" borderId="0" xfId="3" applyFont="1" applyFill="1" applyAlignment="1">
      <alignment vertical="center"/>
    </xf>
    <xf numFmtId="0" fontId="1" fillId="4" borderId="10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7" borderId="10" xfId="0" applyFont="1" applyFill="1" applyBorder="1" applyAlignment="1" applyProtection="1">
      <alignment horizontal="center" vertical="center" wrapText="1"/>
      <protection locked="0"/>
    </xf>
    <xf numFmtId="0" fontId="3" fillId="7" borderId="0" xfId="0" applyFont="1" applyFill="1" applyAlignment="1" applyProtection="1">
      <alignment horizontal="center" vertical="center" wrapText="1"/>
      <protection locked="0"/>
    </xf>
    <xf numFmtId="0" fontId="3" fillId="7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" fontId="3" fillId="7" borderId="0" xfId="0" applyNumberFormat="1" applyFont="1" applyFill="1" applyAlignment="1" applyProtection="1">
      <alignment horizontal="center" vertical="center" wrapText="1"/>
      <protection locked="0"/>
    </xf>
    <xf numFmtId="0" fontId="3" fillId="0" borderId="2" xfId="0" applyFont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3" fillId="7" borderId="6" xfId="0" applyFont="1" applyFill="1" applyBorder="1" applyAlignment="1" applyProtection="1">
      <alignment horizontal="center" vertical="center"/>
      <protection locked="0"/>
    </xf>
    <xf numFmtId="1" fontId="3" fillId="7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49" fontId="3" fillId="4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 applyProtection="1">
      <alignment horizontal="center" vertical="center"/>
      <protection locked="0"/>
    </xf>
    <xf numFmtId="3" fontId="3" fillId="4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 applyProtection="1">
      <alignment horizontal="center" vertical="center"/>
      <protection locked="0"/>
    </xf>
    <xf numFmtId="0" fontId="3" fillId="4" borderId="4" xfId="0" applyFont="1" applyFill="1" applyBorder="1" applyAlignment="1">
      <alignment horizontal="center" vertical="center"/>
    </xf>
    <xf numFmtId="0" fontId="3" fillId="4" borderId="15" xfId="0" applyFont="1" applyFill="1" applyBorder="1" applyAlignment="1" applyProtection="1">
      <alignment horizontal="center" vertical="center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1" fontId="3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/>
    <xf numFmtId="0" fontId="3" fillId="0" borderId="1" xfId="0" applyFont="1" applyBorder="1" applyAlignment="1" applyProtection="1">
      <alignment horizontal="center" vertical="center" wrapText="1"/>
      <protection locked="0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1" fillId="2" borderId="3" xfId="0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14" fontId="25" fillId="0" borderId="10" xfId="0" applyNumberFormat="1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1" fillId="0" borderId="10" xfId="0" applyFont="1" applyBorder="1" applyAlignment="1">
      <alignment horizontal="righ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right" vertical="center"/>
    </xf>
    <xf numFmtId="0" fontId="25" fillId="0" borderId="7" xfId="0" applyFont="1" applyBorder="1" applyAlignment="1">
      <alignment vertical="center"/>
    </xf>
    <xf numFmtId="0" fontId="25" fillId="0" borderId="9" xfId="0" applyFont="1" applyBorder="1" applyAlignment="1">
      <alignment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169" fontId="17" fillId="0" borderId="0" xfId="0" applyNumberFormat="1" applyFont="1" applyAlignment="1">
      <alignment horizontal="left" vertical="center"/>
    </xf>
    <xf numFmtId="0" fontId="21" fillId="0" borderId="0" xfId="0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49" fontId="1" fillId="2" borderId="0" xfId="3" applyNumberFormat="1" applyFont="1" applyFill="1" applyAlignment="1">
      <alignment horizontal="center" vertical="center" wrapText="1"/>
    </xf>
    <xf numFmtId="168" fontId="20" fillId="2" borderId="0" xfId="3" applyFont="1" applyFill="1" applyAlignment="1">
      <alignment horizontal="center" vertical="center" wrapText="1"/>
    </xf>
    <xf numFmtId="168" fontId="27" fillId="2" borderId="0" xfId="3" applyFont="1" applyFill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1" fillId="0" borderId="0" xfId="0" applyFont="1" applyAlignment="1">
      <alignment horizontal="justify" vertical="justify" wrapText="1"/>
    </xf>
    <xf numFmtId="2" fontId="1" fillId="0" borderId="10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10" xfId="0" applyFont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2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166" fontId="1" fillId="7" borderId="10" xfId="0" applyNumberFormat="1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166" fontId="1" fillId="7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/>
    </xf>
    <xf numFmtId="166" fontId="1" fillId="7" borderId="7" xfId="0" applyNumberFormat="1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 wrapText="1"/>
    </xf>
    <xf numFmtId="14" fontId="25" fillId="4" borderId="10" xfId="0" applyNumberFormat="1" applyFont="1" applyFill="1" applyBorder="1" applyAlignment="1">
      <alignment horizontal="left" vertical="center"/>
    </xf>
    <xf numFmtId="0" fontId="25" fillId="4" borderId="10" xfId="0" applyFont="1" applyFill="1" applyBorder="1" applyAlignment="1">
      <alignment horizontal="left" vertical="center"/>
    </xf>
    <xf numFmtId="0" fontId="7" fillId="4" borderId="10" xfId="0" applyFont="1" applyFill="1" applyBorder="1" applyAlignment="1">
      <alignment horizontal="left" vertical="center"/>
    </xf>
    <xf numFmtId="0" fontId="7" fillId="4" borderId="12" xfId="0" applyFont="1" applyFill="1" applyBorder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7" fillId="4" borderId="7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7" fillId="4" borderId="9" xfId="0" applyFont="1" applyFill="1" applyBorder="1" applyAlignment="1">
      <alignment horizontal="left" vertical="center"/>
    </xf>
    <xf numFmtId="0" fontId="25" fillId="4" borderId="7" xfId="0" applyFont="1" applyFill="1" applyBorder="1" applyAlignment="1">
      <alignment vertical="center"/>
    </xf>
    <xf numFmtId="0" fontId="25" fillId="4" borderId="9" xfId="0" applyFont="1" applyFill="1" applyBorder="1" applyAlignment="1">
      <alignment vertical="center"/>
    </xf>
  </cellXfs>
  <cellStyles count="4">
    <cellStyle name="Normal" xfId="0" builtinId="0"/>
    <cellStyle name="Normal 2" xfId="1" xr:uid="{00000000-0005-0000-0000-000001000000}"/>
    <cellStyle name="Normal 2 2" xfId="3" xr:uid="{00000000-0005-0000-0000-000002000000}"/>
    <cellStyle name="Normal 3" xfId="2" xr:uid="{00000000-0005-0000-0000-000003000000}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161925</xdr:colOff>
      <xdr:row>7</xdr:row>
      <xdr:rowOff>171450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8391525" cy="1905000"/>
        </a:xfrm>
        <a:prstGeom prst="rect">
          <a:avLst/>
        </a:prstGeom>
        <a:solidFill>
          <a:schemeClr val="tx2">
            <a:lumMod val="75000"/>
          </a:schemeClr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pt-BR"/>
        </a:p>
      </xdr:txBody>
    </xdr:sp>
    <xdr:clientData/>
  </xdr:twoCellAnchor>
  <xdr:twoCellAnchor>
    <xdr:from>
      <xdr:col>0</xdr:col>
      <xdr:colOff>10242</xdr:colOff>
      <xdr:row>35</xdr:row>
      <xdr:rowOff>231270</xdr:rowOff>
    </xdr:from>
    <xdr:to>
      <xdr:col>8</xdr:col>
      <xdr:colOff>337267</xdr:colOff>
      <xdr:row>47</xdr:row>
      <xdr:rowOff>62980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pSpPr>
          <a:grpSpLocks/>
        </xdr:cNvGrpSpPr>
      </xdr:nvGrpSpPr>
      <xdr:grpSpPr bwMode="auto">
        <a:xfrm>
          <a:off x="10242" y="8834496"/>
          <a:ext cx="8407912" cy="2576549"/>
          <a:chOff x="115358" y="8501478"/>
          <a:chExt cx="7255041" cy="2382258"/>
        </a:xfrm>
      </xdr:grpSpPr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>
          <a:xfrm>
            <a:off x="115358" y="9331809"/>
            <a:ext cx="7255041" cy="1512388"/>
          </a:xfrm>
          <a:prstGeom prst="rect">
            <a:avLst/>
          </a:prstGeom>
          <a:solidFill>
            <a:schemeClr val="tx2">
              <a:lumMod val="75000"/>
            </a:schemeClr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endParaRPr lang="pt-BR"/>
          </a:p>
        </xdr:txBody>
      </xdr:sp>
      <xdr:sp macro="" textlink="">
        <xdr:nvSpPr>
          <xdr:cNvPr id="5" name="Triângulo Retângulo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>
          <a:xfrm rot="16200000">
            <a:off x="4301696" y="7765608"/>
            <a:ext cx="2332834" cy="3804573"/>
          </a:xfrm>
          <a:prstGeom prst="rtTriangle">
            <a:avLst/>
          </a:prstGeom>
          <a:gradFill>
            <a:gsLst>
              <a:gs pos="0">
                <a:schemeClr val="accent6">
                  <a:lumMod val="0"/>
                  <a:lumOff val="100000"/>
                </a:schemeClr>
              </a:gs>
              <a:gs pos="0">
                <a:srgbClr val="00B0F0"/>
              </a:gs>
              <a:gs pos="90000">
                <a:srgbClr val="92D050"/>
              </a:gs>
            </a:gsLst>
            <a:lin ang="2700000" scaled="1"/>
          </a:gra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endParaRPr lang="pt-BR"/>
          </a:p>
        </xdr:txBody>
      </xdr:sp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GrpSpPr>
            <a:grpSpLocks/>
          </xdr:cNvGrpSpPr>
        </xdr:nvGrpSpPr>
        <xdr:grpSpPr bwMode="auto">
          <a:xfrm>
            <a:off x="271823" y="9480082"/>
            <a:ext cx="5995084" cy="1403654"/>
            <a:chOff x="-1785293" y="11455096"/>
            <a:chExt cx="5433045" cy="1403654"/>
          </a:xfrm>
        </xdr:grpSpPr>
        <xdr:sp macro="" textlink="">
          <xdr:nvSpPr>
            <xdr:cNvPr id="7" name="CaixaDeTexto 6">
              <a:extLst>
                <a:ext uri="{FF2B5EF4-FFF2-40B4-BE49-F238E27FC236}">
                  <a16:creationId xmlns:a16="http://schemas.microsoft.com/office/drawing/2014/main" id="{00000000-0008-0000-0000-000007000000}"/>
                </a:ext>
              </a:extLst>
            </xdr:cNvPr>
            <xdr:cNvSpPr txBox="1"/>
          </xdr:nvSpPr>
          <xdr:spPr>
            <a:xfrm>
              <a:off x="-1747978" y="11455096"/>
              <a:ext cx="5395730" cy="140365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pt-BR" sz="1100" b="0">
                  <a:solidFill>
                    <a:schemeClr val="bg1"/>
                  </a:solidFill>
                  <a:effectLst/>
                  <a:latin typeface="+mn-lt"/>
                  <a:ea typeface="+mn-ea"/>
                  <a:cs typeface="+mn-cs"/>
                </a:rPr>
                <a:t>Ecosegme</a:t>
              </a:r>
              <a:r>
                <a:rPr lang="pt-BR" sz="1100" b="0" baseline="0">
                  <a:solidFill>
                    <a:schemeClr val="bg1"/>
                  </a:solidFill>
                  <a:effectLst/>
                  <a:latin typeface="+mn-lt"/>
                  <a:ea typeface="+mn-ea"/>
                  <a:cs typeface="+mn-cs"/>
                </a:rPr>
                <a:t> Consultoria Ambiental Ltda</a:t>
              </a:r>
              <a:endParaRPr lang="pt-BR" b="0">
                <a:solidFill>
                  <a:schemeClr val="bg1"/>
                </a:solidFill>
                <a:effectLst/>
              </a:endParaRPr>
            </a:p>
            <a:p>
              <a:endParaRPr lang="pt-BR" sz="1100"/>
            </a:p>
            <a:p>
              <a:r>
                <a:rPr lang="pt-BR" sz="1100"/>
                <a:t>      </a:t>
              </a:r>
              <a:r>
                <a:rPr lang="pt-BR" sz="1100" baseline="0"/>
                <a:t>  </a:t>
              </a:r>
              <a:r>
                <a:rPr lang="pt-BR" sz="1100">
                  <a:solidFill>
                    <a:schemeClr val="bg1"/>
                  </a:solidFill>
                </a:rPr>
                <a:t>Rua Prof. Antônio Giulesse N. 354 - Alvorada 02 - Manaus/AM.</a:t>
              </a:r>
            </a:p>
            <a:p>
              <a:endParaRPr lang="pt-BR" sz="1100">
                <a:solidFill>
                  <a:schemeClr val="bg1"/>
                </a:solidFill>
              </a:endParaRPr>
            </a:p>
            <a:p>
              <a:r>
                <a:rPr lang="pt-BR" sz="1100">
                  <a:solidFill>
                    <a:schemeClr val="bg1"/>
                  </a:solidFill>
                </a:rPr>
                <a:t>      </a:t>
              </a:r>
            </a:p>
            <a:p>
              <a:r>
                <a:rPr lang="pt-BR" sz="1100" baseline="0">
                  <a:solidFill>
                    <a:schemeClr val="bg1"/>
                  </a:solidFill>
                </a:rPr>
                <a:t>       </a:t>
              </a:r>
              <a:r>
                <a:rPr lang="pt-BR" sz="1100">
                  <a:solidFill>
                    <a:schemeClr val="bg1"/>
                  </a:solidFill>
                </a:rPr>
                <a:t> 08.584.308/0001-33</a:t>
              </a:r>
            </a:p>
            <a:p>
              <a:endParaRPr lang="pt-BR" sz="1100">
                <a:solidFill>
                  <a:schemeClr val="bg1"/>
                </a:solidFill>
              </a:endParaRPr>
            </a:p>
            <a:p>
              <a:r>
                <a:rPr lang="pt-BR" sz="1100" baseline="0">
                  <a:solidFill>
                    <a:schemeClr val="bg1"/>
                  </a:solidFill>
                </a:rPr>
                <a:t>       </a:t>
              </a:r>
              <a:r>
                <a:rPr lang="pt-BR" sz="1100">
                  <a:solidFill>
                    <a:schemeClr val="bg1"/>
                  </a:solidFill>
                </a:rPr>
                <a:t> (92)</a:t>
              </a:r>
              <a:r>
                <a:rPr lang="pt-BR" sz="1100" baseline="0">
                  <a:solidFill>
                    <a:schemeClr val="bg1"/>
                  </a:solidFill>
                </a:rPr>
                <a:t> 3657 - 7043                      vendas@ecosegme.com.br</a:t>
              </a:r>
            </a:p>
            <a:p>
              <a:endParaRPr lang="pt-BR" sz="1100" baseline="0"/>
            </a:p>
          </xdr:txBody>
        </xdr:sp>
        <xdr:pic>
          <xdr:nvPicPr>
            <xdr:cNvPr id="8" name="Gráfico 7" descr="Telefone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/>
            <a:stretch>
              <a:fillRect/>
            </a:stretch>
          </xdr:blipFill>
          <xdr:spPr>
            <a:xfrm>
              <a:off x="-1764975" y="12526634"/>
              <a:ext cx="261204" cy="257007"/>
            </a:xfrm>
            <a:prstGeom prst="rect">
              <a:avLst/>
            </a:prstGeom>
          </xdr:spPr>
        </xdr:pic>
        <xdr:pic>
          <xdr:nvPicPr>
            <xdr:cNvPr id="9" name="Gráfico 8" descr="Banco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 cstate="print"/>
            <a:stretch>
              <a:fillRect/>
            </a:stretch>
          </xdr:blipFill>
          <xdr:spPr>
            <a:xfrm>
              <a:off x="-1771601" y="11776186"/>
              <a:ext cx="216426" cy="227352"/>
            </a:xfrm>
            <a:prstGeom prst="rect">
              <a:avLst/>
            </a:prstGeom>
          </xdr:spPr>
        </xdr:pic>
        <xdr:pic>
          <xdr:nvPicPr>
            <xdr:cNvPr id="10" name="Gráfico 9" descr="Email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/>
            <a:stretch>
              <a:fillRect/>
            </a:stretch>
          </xdr:blipFill>
          <xdr:spPr>
            <a:xfrm>
              <a:off x="-587446" y="12544018"/>
              <a:ext cx="223889" cy="227352"/>
            </a:xfrm>
            <a:prstGeom prst="rect">
              <a:avLst/>
            </a:prstGeom>
          </xdr:spPr>
        </xdr:pic>
        <xdr:pic>
          <xdr:nvPicPr>
            <xdr:cNvPr id="11" name="Gráfico 10" descr="Documento">
              <a:extLst>
                <a:ext uri="{FF2B5EF4-FFF2-40B4-BE49-F238E27FC236}">
                  <a16:creationId xmlns:a16="http://schemas.microsoft.com/office/drawing/2014/main" id="{00000000-0008-0000-0000-00000B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/>
            <a:stretch>
              <a:fillRect/>
            </a:stretch>
          </xdr:blipFill>
          <xdr:spPr>
            <a:xfrm flipH="1">
              <a:off x="-1785293" y="12237805"/>
              <a:ext cx="268667" cy="195895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808839</xdr:colOff>
      <xdr:row>10</xdr:row>
      <xdr:rowOff>190500</xdr:rowOff>
    </xdr:to>
    <xdr:sp macro="" textlink="">
      <xdr:nvSpPr>
        <xdr:cNvPr id="12" name="Triângulo Retângulo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 rot="5400000">
          <a:off x="318695" y="-318695"/>
          <a:ext cx="2667000" cy="3304389"/>
        </a:xfrm>
        <a:prstGeom prst="rtTriangle">
          <a:avLst/>
        </a:prstGeom>
        <a:gradFill>
          <a:gsLst>
            <a:gs pos="0">
              <a:schemeClr val="accent6">
                <a:lumMod val="0"/>
                <a:lumOff val="100000"/>
              </a:schemeClr>
            </a:gs>
            <a:gs pos="0">
              <a:srgbClr val="00B0F0"/>
            </a:gs>
            <a:gs pos="90000">
              <a:srgbClr val="92D050"/>
            </a:gs>
          </a:gsLst>
          <a:lin ang="2700000" scaled="1"/>
        </a:gra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pt-BR"/>
        </a:p>
      </xdr:txBody>
    </xdr:sp>
    <xdr:clientData/>
  </xdr:twoCellAnchor>
  <xdr:twoCellAnchor>
    <xdr:from>
      <xdr:col>2</xdr:col>
      <xdr:colOff>301419</xdr:colOff>
      <xdr:row>1</xdr:row>
      <xdr:rowOff>26630</xdr:rowOff>
    </xdr:from>
    <xdr:to>
      <xdr:col>6</xdr:col>
      <xdr:colOff>1588606</xdr:colOff>
      <xdr:row>4</xdr:row>
      <xdr:rowOff>61554</xdr:rowOff>
    </xdr:to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800451" y="272436"/>
          <a:ext cx="4738720" cy="7723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800" b="1" baseline="0">
              <a:solidFill>
                <a:schemeClr val="bg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Monitoramento de Agentes Químicos</a:t>
          </a:r>
          <a:endParaRPr lang="pt-BR" sz="3600">
            <a:solidFill>
              <a:schemeClr val="bg1"/>
            </a:solidFill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0</xdr:col>
      <xdr:colOff>13607</xdr:colOff>
      <xdr:row>22</xdr:row>
      <xdr:rowOff>162027</xdr:rowOff>
    </xdr:from>
    <xdr:to>
      <xdr:col>7</xdr:col>
      <xdr:colOff>13607</xdr:colOff>
      <xdr:row>25</xdr:row>
      <xdr:rowOff>61452</xdr:rowOff>
    </xdr:to>
    <xdr:sp macro="" textlink="$L$18">
      <xdr:nvSpPr>
        <xdr:cNvPr id="15" name="CaixaDeTexto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177478" y="5569769"/>
          <a:ext cx="7466371" cy="63684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204B5A8-3518-414A-BF24-7FED9167D6A4}" type="TxLink"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pPr algn="ctr"/>
            <a:t>11342 Sociedade Fogas Ltda - Manaus</a:t>
          </a:fld>
          <a:endParaRPr lang="pt-BR" sz="4000">
            <a:solidFill>
              <a:schemeClr val="accent1">
                <a:lumMod val="50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4</xdr:col>
      <xdr:colOff>283906</xdr:colOff>
      <xdr:row>8</xdr:row>
      <xdr:rowOff>179950</xdr:rowOff>
    </xdr:from>
    <xdr:to>
      <xdr:col>6</xdr:col>
      <xdr:colOff>1369430</xdr:colOff>
      <xdr:row>19</xdr:row>
      <xdr:rowOff>157725</xdr:rowOff>
    </xdr:to>
    <xdr:sp macro="" textlink="">
      <xdr:nvSpPr>
        <xdr:cNvPr id="16" name="Elips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4370438" y="2146402"/>
          <a:ext cx="2785686" cy="2681646"/>
        </a:xfrm>
        <a:prstGeom prst="ellipse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 w="28575">
          <a:solidFill>
            <a:schemeClr val="tx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pt-BR"/>
        </a:p>
      </xdr:txBody>
    </xdr:sp>
    <xdr:clientData/>
  </xdr:twoCellAnchor>
  <xdr:twoCellAnchor>
    <xdr:from>
      <xdr:col>2</xdr:col>
      <xdr:colOff>337983</xdr:colOff>
      <xdr:row>26</xdr:row>
      <xdr:rowOff>118164</xdr:rowOff>
    </xdr:from>
    <xdr:to>
      <xdr:col>5</xdr:col>
      <xdr:colOff>624758</xdr:colOff>
      <xdr:row>28</xdr:row>
      <xdr:rowOff>109093</xdr:rowOff>
    </xdr:to>
    <xdr:sp macro="" textlink="$L$20">
      <xdr:nvSpPr>
        <xdr:cNvPr id="17" name="CaixaDeTexto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2673144" y="6509132"/>
          <a:ext cx="2888227" cy="4825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58CF1B3-9C4E-4D2E-9B76-4743434CDAB2}" type="TxLink">
            <a:rPr lang="en-US" sz="1800" b="1" i="0" u="none" strike="noStrike">
              <a:solidFill>
                <a:schemeClr val="accent1">
                  <a:lumMod val="50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pPr algn="ctr"/>
            <a:t>04.563.672/0001-66</a:t>
          </a:fld>
          <a:endParaRPr lang="pt-BR" sz="4800" b="1">
            <a:solidFill>
              <a:schemeClr val="accent1">
                <a:lumMod val="50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0</xdr:col>
      <xdr:colOff>85724</xdr:colOff>
      <xdr:row>24</xdr:row>
      <xdr:rowOff>173720</xdr:rowOff>
    </xdr:from>
    <xdr:to>
      <xdr:col>6</xdr:col>
      <xdr:colOff>1587500</xdr:colOff>
      <xdr:row>26</xdr:row>
      <xdr:rowOff>164648</xdr:rowOff>
    </xdr:to>
    <xdr:sp macro="" textlink="$L$19">
      <xdr:nvSpPr>
        <xdr:cNvPr id="18" name="CaixaDeTexto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249010" y="6052006"/>
          <a:ext cx="7271204" cy="4807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D9D479C-A36C-4CD1-8557-B2AC7B0413D8}" type="TxLink">
            <a:rPr lang="en-US" sz="1800" b="1" i="0" u="none" strike="noStrike">
              <a:solidFill>
                <a:schemeClr val="accent1">
                  <a:lumMod val="50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pPr algn="ctr"/>
            <a:t>Rua Rio Quixito, 86 -   Vila Buriti  Manaus/Amazonas</a:t>
          </a:fld>
          <a:endParaRPr lang="pt-BR" sz="4800" b="1">
            <a:solidFill>
              <a:schemeClr val="accent1">
                <a:lumMod val="50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0</xdr:col>
      <xdr:colOff>88900</xdr:colOff>
      <xdr:row>34</xdr:row>
      <xdr:rowOff>219075</xdr:rowOff>
    </xdr:from>
    <xdr:to>
      <xdr:col>6</xdr:col>
      <xdr:colOff>1587500</xdr:colOff>
      <xdr:row>36</xdr:row>
      <xdr:rowOff>210003</xdr:rowOff>
    </xdr:to>
    <xdr:sp macro="" textlink="$L$34">
      <xdr:nvSpPr>
        <xdr:cNvPr id="19" name="CaixaDeTexto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88900" y="8576494"/>
          <a:ext cx="7285294" cy="4825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6D5B0E3-3A71-4809-AB5D-6FC7F8649B30}" type="TxLink">
            <a:rPr lang="en-US" sz="1600" b="0" i="0" u="none" strike="noStrike">
              <a:solidFill>
                <a:schemeClr val="accent1">
                  <a:lumMod val="50000"/>
                </a:schemeClr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pPr algn="ctr"/>
            <a:t>Mês de 2026</a:t>
          </a:fld>
          <a:endParaRPr lang="pt-BR" sz="4400">
            <a:solidFill>
              <a:schemeClr val="accent1">
                <a:lumMod val="50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2</xdr:col>
      <xdr:colOff>520700</xdr:colOff>
      <xdr:row>3</xdr:row>
      <xdr:rowOff>228600</xdr:rowOff>
    </xdr:from>
    <xdr:to>
      <xdr:col>6</xdr:col>
      <xdr:colOff>1368455</xdr:colOff>
      <xdr:row>6</xdr:row>
      <xdr:rowOff>19050</xdr:rowOff>
    </xdr:to>
    <xdr:sp macro="" textlink="$L$6">
      <xdr:nvSpPr>
        <xdr:cNvPr id="20" name="CaixaDeTexto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3022600" y="990600"/>
          <a:ext cx="4302155" cy="552450"/>
        </a:xfrm>
        <a:prstGeom prst="octagon">
          <a:avLst/>
        </a:prstGeom>
        <a:gradFill>
          <a:gsLst>
            <a:gs pos="0">
              <a:schemeClr val="accent6">
                <a:lumMod val="0"/>
                <a:lumOff val="100000"/>
              </a:schemeClr>
            </a:gs>
            <a:gs pos="0">
              <a:srgbClr val="00B0F0"/>
            </a:gs>
            <a:gs pos="90000">
              <a:srgbClr val="92D050"/>
            </a:gs>
          </a:gsLst>
          <a:lin ang="2700000" scaled="1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460BB9C-F092-4F21-B965-84C49A33E635}" type="TxLink">
            <a:rPr lang="en-US" sz="1400" b="0" i="0" u="none" strike="noStrike">
              <a:solidFill>
                <a:srgbClr val="000000"/>
              </a:solidFill>
              <a:latin typeface="Segoe UI Semibold" panose="020B0702040204020203" pitchFamily="34" charset="0"/>
              <a:cs typeface="Segoe UI Semibold" panose="020B0702040204020203" pitchFamily="34" charset="0"/>
            </a:rPr>
            <a:pPr algn="ctr"/>
            <a:t>0000-1/2026.0</a:t>
          </a:fld>
          <a:endParaRPr lang="pt-BR" sz="2400">
            <a:solidFill>
              <a:srgbClr val="002060"/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2</xdr:row>
      <xdr:rowOff>123824</xdr:rowOff>
    </xdr:from>
    <xdr:to>
      <xdr:col>8</xdr:col>
      <xdr:colOff>876300</xdr:colOff>
      <xdr:row>31</xdr:row>
      <xdr:rowOff>95250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AB439A45-C9CA-4BF3-98A8-32AB3D3B5C97}"/>
            </a:ext>
          </a:extLst>
        </xdr:cNvPr>
        <xdr:cNvSpPr txBox="1"/>
      </xdr:nvSpPr>
      <xdr:spPr>
        <a:xfrm>
          <a:off x="123825" y="619124"/>
          <a:ext cx="6524625" cy="7153276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       A avaliação de agentes químicos no ambiente de trabalho tem como objetivo identificar e avaliar os riscos associados à exposição a substâncias químicas no local de trabalho, visando à prevenção de doenças ocupacionais e à promoção da saúde e segurança dos trabalhadores.</a:t>
          </a:r>
        </a:p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       Os agentes químicos presentes no ambiente de trabalho podem incluir substâncias tóxicas, irritantes, corrosivas, inflamáveis, cancerígenas, entre outras. A exposição a esses agentes pode ocorrer por inalação, contato dérmico ou ingestão, e pode levar a uma série de efeitos adversos à saúde, como irritação das vias respiratórias, danos ao sistema nervoso, câncer, entre outros. </a:t>
          </a:r>
        </a:p>
        <a:p>
          <a:pPr marL="0" marR="0" lvl="0" indent="0" algn="just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        Este trabalho visa atender, principalmente, às recomendações do Programa de Gerenciamento de Riscos - PGR e a Norma Regulamentadora N.15 - Atividades e Operações Insalubres da Portaria 3.214 do Ministério do Trabalho.</a:t>
          </a:r>
          <a:endParaRPr lang="pt-BR" sz="1200">
            <a:solidFill>
              <a:schemeClr val="dk1"/>
            </a:solidFill>
            <a:effectLst/>
            <a:latin typeface="Segoe UI Semibold" panose="020B0702040204020203" pitchFamily="34" charset="0"/>
            <a:ea typeface="+mn-ea"/>
            <a:cs typeface="Segoe UI Semibold" panose="020B0702040204020203" pitchFamily="34" charset="0"/>
          </a:endParaRPr>
        </a:p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        Em resumo, o objetivo da avaliação de agentes químicos no ambiente de trabalho é garantir a saúde e segurança dos trabalhadores, identificando os riscos relacionados à exposição a substâncias químicas e implementando medidas de controle eficazes para prevenir doenças ocupacionais.</a:t>
          </a:r>
        </a:p>
        <a:p>
          <a:pPr algn="just">
            <a:lnSpc>
              <a:spcPct val="1500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142877</xdr:colOff>
      <xdr:row>41</xdr:row>
      <xdr:rowOff>178593</xdr:rowOff>
    </xdr:from>
    <xdr:to>
      <xdr:col>8</xdr:col>
      <xdr:colOff>762001</xdr:colOff>
      <xdr:row>76</xdr:row>
      <xdr:rowOff>47624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9D9CA691-E4E5-42EA-8008-802B4BD87DCB}"/>
            </a:ext>
          </a:extLst>
        </xdr:cNvPr>
        <xdr:cNvSpPr txBox="1"/>
      </xdr:nvSpPr>
      <xdr:spPr>
        <a:xfrm>
          <a:off x="142877" y="10332243"/>
          <a:ext cx="6391274" cy="8536781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ACGIH:</a:t>
          </a:r>
          <a:r>
            <a:rPr lang="pt-BR" sz="1100" b="1" baseline="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</a:t>
          </a:r>
          <a:r>
            <a:rPr lang="pt-BR" sz="1100" b="1" i="0" u="none" strike="noStrike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American Conference of Governmental Industrial Hygienists</a:t>
          </a:r>
          <a:endParaRPr lang="pt-BR" sz="1100" b="1" i="0">
            <a:solidFill>
              <a:schemeClr val="dk1"/>
            </a:solidFill>
            <a:effectLst/>
            <a:latin typeface="Segoe UI Semibold" panose="020B0702040204020203" pitchFamily="34" charset="0"/>
            <a:ea typeface="+mn-ea"/>
            <a:cs typeface="Segoe UI Semibold" panose="020B0702040204020203" pitchFamily="34" charset="0"/>
          </a:endParaRP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Card: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Cardíaco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COHb-emia: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Carboxihemoglobinemia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Compr: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Comprometimento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Convul: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Convulsão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Dan: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Dano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Efe: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Efeitos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Form: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Formação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Fun: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Função</a:t>
          </a: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GI: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Gastrointestinal</a:t>
          </a:r>
          <a:endParaRPr lang="pt-BR" sz="1100"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Hb: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Hemoglobina</a:t>
          </a: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Inib: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Inibição</a:t>
          </a: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Irr: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Irritação</a:t>
          </a: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MeHb-emia: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Metahemoglobinemia</a:t>
          </a: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Pulm: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Pulmonar</a:t>
          </a:r>
        </a:p>
        <a:p>
          <a:pPr marL="0" marR="0" lvl="0" indent="0" defTabSz="914400" eaLnBrk="1" fontAlgn="auto" latinLnBrk="0" hangingPunct="1">
            <a:lnSpc>
              <a:spcPct val="2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Repro: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Reprodutivo</a:t>
          </a:r>
        </a:p>
        <a:p>
          <a:pPr eaLnBrk="1" fontAlgn="auto" latinLnBrk="0" hangingPunct="1"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Resp: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Respiratório</a:t>
          </a:r>
          <a:endParaRPr lang="pt-BR" sz="1100"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pPr eaLnBrk="1" fontAlgn="auto" latinLnBrk="0" hangingPunct="1"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Sens: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Sensibilização</a:t>
          </a:r>
          <a:endParaRPr lang="pt-BR" sz="1100"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SNC: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Sistema Nervoso</a:t>
          </a:r>
          <a:r>
            <a:rPr lang="pt-BR" sz="1100" baseline="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Central</a:t>
          </a:r>
          <a:endParaRPr lang="pt-BR" sz="1100"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SNP: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Sistema</a:t>
          </a:r>
          <a:r>
            <a:rPr lang="pt-BR" sz="1100" baseline="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Nervoso Periférico</a:t>
          </a:r>
          <a:endParaRPr lang="pt-BR" sz="1100">
            <a:effectLst/>
            <a:latin typeface="Segoe UI Semibold" panose="020B0702040204020203" pitchFamily="34" charset="0"/>
            <a:cs typeface="Segoe UI Semibold" panose="020B0702040204020203" pitchFamily="34" charset="0"/>
          </a:endParaRP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TRI: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Trato Respiratório inferior</a:t>
          </a:r>
        </a:p>
        <a:p>
          <a:pPr>
            <a:lnSpc>
              <a:spcPct val="200000"/>
            </a:lnSpc>
          </a:pPr>
          <a:r>
            <a:rPr lang="pt-BR" sz="1100" b="1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TRS: </a:t>
          </a:r>
          <a:r>
            <a:rPr lang="pt-BR" sz="110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Trato respiratório</a:t>
          </a:r>
          <a:r>
            <a:rPr lang="pt-BR" sz="1100" baseline="0">
              <a:solidFill>
                <a:schemeClr val="dk1"/>
              </a:solidFill>
              <a:effectLst/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rPr>
            <a:t> superior</a:t>
          </a:r>
          <a:endParaRPr lang="pt-BR" sz="1100" spc="10" baseline="0">
            <a:solidFill>
              <a:schemeClr val="accent1">
                <a:lumMod val="50000"/>
              </a:schemeClr>
            </a:solidFill>
            <a:latin typeface="Segoe UI Semibold" panose="020B0702040204020203" pitchFamily="34" charset="0"/>
            <a:cs typeface="Segoe UI Semibold" panose="020B0702040204020203" pitchFamily="34" charset="0"/>
          </a:endParaRPr>
        </a:p>
      </xdr:txBody>
    </xdr:sp>
    <xdr:clientData/>
  </xdr:twoCellAnchor>
  <xdr:twoCellAnchor>
    <xdr:from>
      <xdr:col>0</xdr:col>
      <xdr:colOff>95250</xdr:colOff>
      <xdr:row>90</xdr:row>
      <xdr:rowOff>0</xdr:rowOff>
    </xdr:from>
    <xdr:to>
      <xdr:col>8</xdr:col>
      <xdr:colOff>1085849</xdr:colOff>
      <xdr:row>90</xdr:row>
      <xdr:rowOff>0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FAB71A6-8380-4DD0-B7A9-6EDAD2300B88}"/>
            </a:ext>
          </a:extLst>
        </xdr:cNvPr>
        <xdr:cNvSpPr txBox="1"/>
      </xdr:nvSpPr>
      <xdr:spPr>
        <a:xfrm>
          <a:off x="95250" y="22288500"/>
          <a:ext cx="6762749" cy="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>
            <a:lnSpc>
              <a:spcPct val="1500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400" spc="10" baseline="0">
              <a:solidFill>
                <a:schemeClr val="accent1">
                  <a:lumMod val="50000"/>
                </a:schemeClr>
              </a:solidFill>
            </a:rPr>
            <a:t>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569871</xdr:colOff>
      <xdr:row>76</xdr:row>
      <xdr:rowOff>210416</xdr:rowOff>
    </xdr:from>
    <xdr:ext cx="2951011" cy="1417493"/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5098" y="24135484"/>
          <a:ext cx="2951011" cy="1417493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752476</xdr:colOff>
      <xdr:row>118</xdr:row>
      <xdr:rowOff>71591</xdr:rowOff>
    </xdr:from>
    <xdr:ext cx="2819399" cy="1252384"/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86026" y="29494316"/>
          <a:ext cx="2819399" cy="1252384"/>
        </a:xfrm>
        <a:prstGeom prst="rect">
          <a:avLst/>
        </a:prstGeom>
      </xdr:spPr>
    </xdr:pic>
    <xdr:clientData/>
  </xdr:oneCellAnchor>
  <xdr:oneCellAnchor>
    <xdr:from>
      <xdr:col>11</xdr:col>
      <xdr:colOff>80596</xdr:colOff>
      <xdr:row>106</xdr:row>
      <xdr:rowOff>161193</xdr:rowOff>
    </xdr:from>
    <xdr:ext cx="184731" cy="264560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10662871" y="126484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0</xdr:row>
      <xdr:rowOff>0</xdr:rowOff>
    </xdr:from>
    <xdr:to>
      <xdr:col>8</xdr:col>
      <xdr:colOff>1095375</xdr:colOff>
      <xdr:row>0</xdr:row>
      <xdr:rowOff>0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29A3EE29-581B-4EB1-B304-F1BDA8116E4A}"/>
            </a:ext>
          </a:extLst>
        </xdr:cNvPr>
        <xdr:cNvSpPr txBox="1"/>
      </xdr:nvSpPr>
      <xdr:spPr>
        <a:xfrm>
          <a:off x="123825" y="0"/>
          <a:ext cx="6743700" cy="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A avaliação de agentes químicos no ambiente de trabalho tem como objetivo identificar e avaliar os riscos associados à exposição a substâncias químicas no local de trabalho, visando à prevenção de doenças ocupacionais e à promoção da saúde e segurança dos trabalhadores.</a:t>
          </a:r>
        </a:p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Os agentes químicos presentes no ambiente de trabalho podem incluir substâncias tóxicas, irritantes, corrosivas, inflamáveis, cancerígenas, entre outras. A exposição a esses agentes pode ocorrer por inalação, contato dérmico ou ingestão, e pode levar a uma série de efeitos adversos à saúde, como irritação das vias respiratórias, danos ao sistema nervoso, câncer, entre outros. </a:t>
          </a:r>
        </a:p>
        <a:p>
          <a:pPr marL="0" marR="0" lvl="0" indent="0" algn="just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Este trabalho visa atender, principalmente, às recomendações do Programa de Gerenciamento de Riscos - PGR e a Norma Regulamentadora N.15 - Atividades e Operações Insalubres da Portaria 3.214 do Ministério do Trabalho.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Em resumo, o objetivo da avaliação de agentes químicos no ambiente de trabalho é garantir a saúde e segurança dos trabalhadores, identificando os riscos relacionados à exposição a substâncias químicas e implementando medidas de controle eficazes para prevenir doenças ocupacionais.</a:t>
          </a:r>
        </a:p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algn="just">
            <a:lnSpc>
              <a:spcPct val="150000"/>
            </a:lnSpc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</xdr:txBody>
    </xdr:sp>
    <xdr:clientData/>
  </xdr:twoCellAnchor>
  <xdr:twoCellAnchor>
    <xdr:from>
      <xdr:col>0</xdr:col>
      <xdr:colOff>95250</xdr:colOff>
      <xdr:row>0</xdr:row>
      <xdr:rowOff>0</xdr:rowOff>
    </xdr:from>
    <xdr:to>
      <xdr:col>8</xdr:col>
      <xdr:colOff>1085849</xdr:colOff>
      <xdr:row>0</xdr:row>
      <xdr:rowOff>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C8CB2434-8AE5-4832-B868-7DA89E24A595}"/>
            </a:ext>
          </a:extLst>
        </xdr:cNvPr>
        <xdr:cNvSpPr txBox="1"/>
      </xdr:nvSpPr>
      <xdr:spPr>
        <a:xfrm>
          <a:off x="95250" y="0"/>
          <a:ext cx="6762749" cy="0"/>
        </a:xfrm>
        <a:prstGeom prst="rect">
          <a:avLst/>
        </a:prstGeom>
        <a:ln>
          <a:noFill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 marL="0" marR="0" lvl="0" indent="0" defTabSz="914400" eaLnBrk="1" fontAlgn="auto" latinLnBrk="0" hangingPunct="1">
            <a:lnSpc>
              <a:spcPct val="15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effectLst/>
          </a:endParaRPr>
        </a:p>
        <a:p>
          <a:pPr>
            <a:lnSpc>
              <a:spcPct val="1500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t-BR" sz="1400" spc="10" baseline="0">
              <a:solidFill>
                <a:schemeClr val="accent1">
                  <a:lumMod val="50000"/>
                </a:schemeClr>
              </a:solidFill>
            </a:rPr>
            <a:t> 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Users/Ray%20Pexoto/Dropbox/Ecosegme/ENGENHARIA/MODELO%20DE%20LAUDOS/CIPA/RA_Modelo_Cipa_2021.xls" TargetMode="External"/><Relationship Id="rId1" Type="http://schemas.openxmlformats.org/officeDocument/2006/relationships/externalLinkPath" Target="/Users/Ray%20Pexoto/Dropbox/Ecosegme/ENGENHARIA/MODELO%20DE%20LAUDOS/CIPA/RA_Modelo_Cipa_202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ENGENHARIA\MODELO%20DE%20LAUDOS\QUIMICO\XX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pa Anexo A"/>
      <sheetName val="CIPA"/>
      <sheetName val="3"/>
      <sheetName val="Capa Anexo B"/>
      <sheetName val="DADOS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LV"/>
      <sheetName val="Met"/>
      <sheetName val="E-social"/>
      <sheetName val="TLV _Andrea"/>
      <sheetName val="Modelo"/>
      <sheetName val="PoeiraeSilica"/>
      <sheetName val="Plan1"/>
      <sheetName val="Calculo"/>
    </sheetNames>
    <sheetDataSet>
      <sheetData sheetId="0">
        <row r="2">
          <cell r="B2" t="str">
            <v>Agente Químico</v>
          </cell>
          <cell r="C2" t="str">
            <v>Valor 
Encontrado</v>
          </cell>
          <cell r="D2" t="str">
            <v>Unidade</v>
          </cell>
          <cell r="E2" t="str">
            <v>TWA</v>
          </cell>
          <cell r="F2" t="str">
            <v>STEL</v>
          </cell>
          <cell r="G2" t="str">
            <v>NR 15</v>
          </cell>
          <cell r="H2" t="str">
            <v>Bases de Efeitos Críticos</v>
          </cell>
        </row>
        <row r="3">
          <cell r="B3" t="str">
            <v>Acetaldeído</v>
          </cell>
          <cell r="C3">
            <v>0</v>
          </cell>
          <cell r="D3" t="str">
            <v>ppm</v>
          </cell>
          <cell r="E3" t="str">
            <v>-</v>
          </cell>
          <cell r="F3">
            <v>22</v>
          </cell>
          <cell r="G3">
            <v>78</v>
          </cell>
          <cell r="H3" t="str">
            <v>Irritação no TRS e olhos.</v>
          </cell>
        </row>
        <row r="4">
          <cell r="B4" t="str">
            <v>Acetamida</v>
          </cell>
          <cell r="C4">
            <v>0</v>
          </cell>
          <cell r="D4" t="str">
            <v>ppm</v>
          </cell>
          <cell r="E4">
            <v>0.88</v>
          </cell>
          <cell r="F4" t="str">
            <v>-</v>
          </cell>
          <cell r="G4" t="str">
            <v>-</v>
          </cell>
          <cell r="H4" t="str">
            <v>Irritação no TRS e olhos.</v>
          </cell>
        </row>
        <row r="5">
          <cell r="B5" t="str">
            <v>Acetato de benzila</v>
          </cell>
          <cell r="C5">
            <v>0</v>
          </cell>
          <cell r="D5" t="str">
            <v>ppm</v>
          </cell>
          <cell r="E5" t="str">
            <v>8,8</v>
          </cell>
          <cell r="F5" t="str">
            <v>-</v>
          </cell>
          <cell r="G5" t="str">
            <v>-</v>
          </cell>
          <cell r="H5" t="str">
            <v>Irritação no TRS.</v>
          </cell>
        </row>
        <row r="6">
          <cell r="B6" t="str">
            <v>Acetato de n-butila</v>
          </cell>
          <cell r="C6">
            <v>1</v>
          </cell>
          <cell r="D6" t="str">
            <v>ppm</v>
          </cell>
          <cell r="E6">
            <v>132</v>
          </cell>
          <cell r="F6">
            <v>176</v>
          </cell>
          <cell r="G6" t="str">
            <v>-</v>
          </cell>
          <cell r="H6" t="str">
            <v>Irritação nos olhos e no TRS.</v>
          </cell>
        </row>
        <row r="7">
          <cell r="B7" t="str">
            <v>Acetato de sec-butila</v>
          </cell>
          <cell r="C7">
            <v>0</v>
          </cell>
          <cell r="D7" t="str">
            <v>ppm</v>
          </cell>
          <cell r="E7">
            <v>176</v>
          </cell>
          <cell r="F7" t="str">
            <v>-</v>
          </cell>
          <cell r="G7" t="str">
            <v>-</v>
          </cell>
          <cell r="H7" t="str">
            <v>Irritação nos olhos e no TRS.</v>
          </cell>
        </row>
      </sheetData>
      <sheetData sheetId="1"/>
      <sheetData sheetId="2"/>
      <sheetData sheetId="3">
        <row r="2">
          <cell r="A2" t="str">
            <v>Agente Químico</v>
          </cell>
        </row>
      </sheetData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912D507-DDD0-4A6F-9B3B-49DE843EEE6B}" autoFormatId="16" applyNumberFormats="0" applyBorderFormats="0" applyFontFormats="0" applyPatternFormats="0" applyAlignmentFormats="0" applyWidthHeightFormats="0">
  <queryTableRefresh nextId="4">
    <queryTableFields count="3">
      <queryTableField id="1" name="Identificação" tableColumnId="1"/>
      <queryTableField id="2" name="CNPJ" tableColumnId="2"/>
      <queryTableField id="3" name="Endereçoo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B134AA-A202-4458-A458-E813CE4D83E3}" name="Data" displayName="Data" ref="A1:C1052" tableType="queryTable" totalsRowShown="0">
  <autoFilter ref="A1:C1052" xr:uid="{83B134AA-A202-4458-A458-E813CE4D83E3}"/>
  <tableColumns count="3">
    <tableColumn id="1" xr3:uid="{5412FBF5-917B-4700-A2DF-01C540175E56}" uniqueName="1" name="Identificação" queryTableFieldId="1" dataDxfId="1"/>
    <tableColumn id="2" xr3:uid="{783E34E9-544D-4CE4-9A75-1BA50326FAC6}" uniqueName="2" name="CNPJ" queryTableFieldId="2" dataDxfId="0"/>
    <tableColumn id="3" xr3:uid="{A833D631-A650-4A62-B228-43B0533F78B1}" uniqueName="3" name="Endereçoo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V246"/>
  <sheetViews>
    <sheetView showGridLines="0" view="pageBreakPreview" zoomScale="93" zoomScaleNormal="100" zoomScaleSheetLayoutView="110" zoomScalePageLayoutView="60" workbookViewId="0">
      <selection activeCell="D13" sqref="D13"/>
    </sheetView>
  </sheetViews>
  <sheetFormatPr defaultRowHeight="15"/>
  <cols>
    <col min="1" max="1" width="22.28515625" style="89" customWidth="1"/>
    <col min="2" max="2" width="12.7109375" style="89" customWidth="1"/>
    <col min="3" max="3" width="13.5703125" style="89" customWidth="1"/>
    <col min="4" max="6" width="12.7109375" style="89" customWidth="1"/>
    <col min="7" max="7" width="25.140625" style="89" customWidth="1"/>
    <col min="8" max="10" width="9.140625" style="89"/>
    <col min="11" max="12" width="14.140625" style="89" customWidth="1"/>
    <col min="13" max="255" width="9.140625" style="89"/>
    <col min="256" max="256" width="2.42578125" style="89" customWidth="1"/>
    <col min="257" max="257" width="22.28515625" style="89" customWidth="1"/>
    <col min="258" max="258" width="12.7109375" style="89" customWidth="1"/>
    <col min="259" max="259" width="13.5703125" style="89" customWidth="1"/>
    <col min="260" max="262" width="12.7109375" style="89" customWidth="1"/>
    <col min="263" max="263" width="25.140625" style="89" customWidth="1"/>
    <col min="264" max="266" width="9.140625" style="89"/>
    <col min="267" max="267" width="13.42578125" style="89" customWidth="1"/>
    <col min="268" max="511" width="9.140625" style="89"/>
    <col min="512" max="512" width="2.42578125" style="89" customWidth="1"/>
    <col min="513" max="513" width="22.28515625" style="89" customWidth="1"/>
    <col min="514" max="514" width="12.7109375" style="89" customWidth="1"/>
    <col min="515" max="515" width="13.5703125" style="89" customWidth="1"/>
    <col min="516" max="518" width="12.7109375" style="89" customWidth="1"/>
    <col min="519" max="519" width="25.140625" style="89" customWidth="1"/>
    <col min="520" max="522" width="9.140625" style="89"/>
    <col min="523" max="523" width="13.42578125" style="89" customWidth="1"/>
    <col min="524" max="767" width="9.140625" style="89"/>
    <col min="768" max="768" width="2.42578125" style="89" customWidth="1"/>
    <col min="769" max="769" width="22.28515625" style="89" customWidth="1"/>
    <col min="770" max="770" width="12.7109375" style="89" customWidth="1"/>
    <col min="771" max="771" width="13.5703125" style="89" customWidth="1"/>
    <col min="772" max="774" width="12.7109375" style="89" customWidth="1"/>
    <col min="775" max="775" width="25.140625" style="89" customWidth="1"/>
    <col min="776" max="778" width="9.140625" style="89"/>
    <col min="779" max="779" width="13.42578125" style="89" customWidth="1"/>
    <col min="780" max="1023" width="9.140625" style="89"/>
    <col min="1024" max="1024" width="2.42578125" style="89" customWidth="1"/>
    <col min="1025" max="1025" width="22.28515625" style="89" customWidth="1"/>
    <col min="1026" max="1026" width="12.7109375" style="89" customWidth="1"/>
    <col min="1027" max="1027" width="13.5703125" style="89" customWidth="1"/>
    <col min="1028" max="1030" width="12.7109375" style="89" customWidth="1"/>
    <col min="1031" max="1031" width="25.140625" style="89" customWidth="1"/>
    <col min="1032" max="1034" width="9.140625" style="89"/>
    <col min="1035" max="1035" width="13.42578125" style="89" customWidth="1"/>
    <col min="1036" max="1279" width="9.140625" style="89"/>
    <col min="1280" max="1280" width="2.42578125" style="89" customWidth="1"/>
    <col min="1281" max="1281" width="22.28515625" style="89" customWidth="1"/>
    <col min="1282" max="1282" width="12.7109375" style="89" customWidth="1"/>
    <col min="1283" max="1283" width="13.5703125" style="89" customWidth="1"/>
    <col min="1284" max="1286" width="12.7109375" style="89" customWidth="1"/>
    <col min="1287" max="1287" width="25.140625" style="89" customWidth="1"/>
    <col min="1288" max="1290" width="9.140625" style="89"/>
    <col min="1291" max="1291" width="13.42578125" style="89" customWidth="1"/>
    <col min="1292" max="1535" width="9.140625" style="89"/>
    <col min="1536" max="1536" width="2.42578125" style="89" customWidth="1"/>
    <col min="1537" max="1537" width="22.28515625" style="89" customWidth="1"/>
    <col min="1538" max="1538" width="12.7109375" style="89" customWidth="1"/>
    <col min="1539" max="1539" width="13.5703125" style="89" customWidth="1"/>
    <col min="1540" max="1542" width="12.7109375" style="89" customWidth="1"/>
    <col min="1543" max="1543" width="25.140625" style="89" customWidth="1"/>
    <col min="1544" max="1546" width="9.140625" style="89"/>
    <col min="1547" max="1547" width="13.42578125" style="89" customWidth="1"/>
    <col min="1548" max="1791" width="9.140625" style="89"/>
    <col min="1792" max="1792" width="2.42578125" style="89" customWidth="1"/>
    <col min="1793" max="1793" width="22.28515625" style="89" customWidth="1"/>
    <col min="1794" max="1794" width="12.7109375" style="89" customWidth="1"/>
    <col min="1795" max="1795" width="13.5703125" style="89" customWidth="1"/>
    <col min="1796" max="1798" width="12.7109375" style="89" customWidth="1"/>
    <col min="1799" max="1799" width="25.140625" style="89" customWidth="1"/>
    <col min="1800" max="1802" width="9.140625" style="89"/>
    <col min="1803" max="1803" width="13.42578125" style="89" customWidth="1"/>
    <col min="1804" max="2047" width="9.140625" style="89"/>
    <col min="2048" max="2048" width="2.42578125" style="89" customWidth="1"/>
    <col min="2049" max="2049" width="22.28515625" style="89" customWidth="1"/>
    <col min="2050" max="2050" width="12.7109375" style="89" customWidth="1"/>
    <col min="2051" max="2051" width="13.5703125" style="89" customWidth="1"/>
    <col min="2052" max="2054" width="12.7109375" style="89" customWidth="1"/>
    <col min="2055" max="2055" width="25.140625" style="89" customWidth="1"/>
    <col min="2056" max="2058" width="9.140625" style="89"/>
    <col min="2059" max="2059" width="13.42578125" style="89" customWidth="1"/>
    <col min="2060" max="2303" width="9.140625" style="89"/>
    <col min="2304" max="2304" width="2.42578125" style="89" customWidth="1"/>
    <col min="2305" max="2305" width="22.28515625" style="89" customWidth="1"/>
    <col min="2306" max="2306" width="12.7109375" style="89" customWidth="1"/>
    <col min="2307" max="2307" width="13.5703125" style="89" customWidth="1"/>
    <col min="2308" max="2310" width="12.7109375" style="89" customWidth="1"/>
    <col min="2311" max="2311" width="25.140625" style="89" customWidth="1"/>
    <col min="2312" max="2314" width="9.140625" style="89"/>
    <col min="2315" max="2315" width="13.42578125" style="89" customWidth="1"/>
    <col min="2316" max="2559" width="9.140625" style="89"/>
    <col min="2560" max="2560" width="2.42578125" style="89" customWidth="1"/>
    <col min="2561" max="2561" width="22.28515625" style="89" customWidth="1"/>
    <col min="2562" max="2562" width="12.7109375" style="89" customWidth="1"/>
    <col min="2563" max="2563" width="13.5703125" style="89" customWidth="1"/>
    <col min="2564" max="2566" width="12.7109375" style="89" customWidth="1"/>
    <col min="2567" max="2567" width="25.140625" style="89" customWidth="1"/>
    <col min="2568" max="2570" width="9.140625" style="89"/>
    <col min="2571" max="2571" width="13.42578125" style="89" customWidth="1"/>
    <col min="2572" max="2815" width="9.140625" style="89"/>
    <col min="2816" max="2816" width="2.42578125" style="89" customWidth="1"/>
    <col min="2817" max="2817" width="22.28515625" style="89" customWidth="1"/>
    <col min="2818" max="2818" width="12.7109375" style="89" customWidth="1"/>
    <col min="2819" max="2819" width="13.5703125" style="89" customWidth="1"/>
    <col min="2820" max="2822" width="12.7109375" style="89" customWidth="1"/>
    <col min="2823" max="2823" width="25.140625" style="89" customWidth="1"/>
    <col min="2824" max="2826" width="9.140625" style="89"/>
    <col min="2827" max="2827" width="13.42578125" style="89" customWidth="1"/>
    <col min="2828" max="3071" width="9.140625" style="89"/>
    <col min="3072" max="3072" width="2.42578125" style="89" customWidth="1"/>
    <col min="3073" max="3073" width="22.28515625" style="89" customWidth="1"/>
    <col min="3074" max="3074" width="12.7109375" style="89" customWidth="1"/>
    <col min="3075" max="3075" width="13.5703125" style="89" customWidth="1"/>
    <col min="3076" max="3078" width="12.7109375" style="89" customWidth="1"/>
    <col min="3079" max="3079" width="25.140625" style="89" customWidth="1"/>
    <col min="3080" max="3082" width="9.140625" style="89"/>
    <col min="3083" max="3083" width="13.42578125" style="89" customWidth="1"/>
    <col min="3084" max="3327" width="9.140625" style="89"/>
    <col min="3328" max="3328" width="2.42578125" style="89" customWidth="1"/>
    <col min="3329" max="3329" width="22.28515625" style="89" customWidth="1"/>
    <col min="3330" max="3330" width="12.7109375" style="89" customWidth="1"/>
    <col min="3331" max="3331" width="13.5703125" style="89" customWidth="1"/>
    <col min="3332" max="3334" width="12.7109375" style="89" customWidth="1"/>
    <col min="3335" max="3335" width="25.140625" style="89" customWidth="1"/>
    <col min="3336" max="3338" width="9.140625" style="89"/>
    <col min="3339" max="3339" width="13.42578125" style="89" customWidth="1"/>
    <col min="3340" max="3583" width="9.140625" style="89"/>
    <col min="3584" max="3584" width="2.42578125" style="89" customWidth="1"/>
    <col min="3585" max="3585" width="22.28515625" style="89" customWidth="1"/>
    <col min="3586" max="3586" width="12.7109375" style="89" customWidth="1"/>
    <col min="3587" max="3587" width="13.5703125" style="89" customWidth="1"/>
    <col min="3588" max="3590" width="12.7109375" style="89" customWidth="1"/>
    <col min="3591" max="3591" width="25.140625" style="89" customWidth="1"/>
    <col min="3592" max="3594" width="9.140625" style="89"/>
    <col min="3595" max="3595" width="13.42578125" style="89" customWidth="1"/>
    <col min="3596" max="3839" width="9.140625" style="89"/>
    <col min="3840" max="3840" width="2.42578125" style="89" customWidth="1"/>
    <col min="3841" max="3841" width="22.28515625" style="89" customWidth="1"/>
    <col min="3842" max="3842" width="12.7109375" style="89" customWidth="1"/>
    <col min="3843" max="3843" width="13.5703125" style="89" customWidth="1"/>
    <col min="3844" max="3846" width="12.7109375" style="89" customWidth="1"/>
    <col min="3847" max="3847" width="25.140625" style="89" customWidth="1"/>
    <col min="3848" max="3850" width="9.140625" style="89"/>
    <col min="3851" max="3851" width="13.42578125" style="89" customWidth="1"/>
    <col min="3852" max="4095" width="9.140625" style="89"/>
    <col min="4096" max="4096" width="2.42578125" style="89" customWidth="1"/>
    <col min="4097" max="4097" width="22.28515625" style="89" customWidth="1"/>
    <col min="4098" max="4098" width="12.7109375" style="89" customWidth="1"/>
    <col min="4099" max="4099" width="13.5703125" style="89" customWidth="1"/>
    <col min="4100" max="4102" width="12.7109375" style="89" customWidth="1"/>
    <col min="4103" max="4103" width="25.140625" style="89" customWidth="1"/>
    <col min="4104" max="4106" width="9.140625" style="89"/>
    <col min="4107" max="4107" width="13.42578125" style="89" customWidth="1"/>
    <col min="4108" max="4351" width="9.140625" style="89"/>
    <col min="4352" max="4352" width="2.42578125" style="89" customWidth="1"/>
    <col min="4353" max="4353" width="22.28515625" style="89" customWidth="1"/>
    <col min="4354" max="4354" width="12.7109375" style="89" customWidth="1"/>
    <col min="4355" max="4355" width="13.5703125" style="89" customWidth="1"/>
    <col min="4356" max="4358" width="12.7109375" style="89" customWidth="1"/>
    <col min="4359" max="4359" width="25.140625" style="89" customWidth="1"/>
    <col min="4360" max="4362" width="9.140625" style="89"/>
    <col min="4363" max="4363" width="13.42578125" style="89" customWidth="1"/>
    <col min="4364" max="4607" width="9.140625" style="89"/>
    <col min="4608" max="4608" width="2.42578125" style="89" customWidth="1"/>
    <col min="4609" max="4609" width="22.28515625" style="89" customWidth="1"/>
    <col min="4610" max="4610" width="12.7109375" style="89" customWidth="1"/>
    <col min="4611" max="4611" width="13.5703125" style="89" customWidth="1"/>
    <col min="4612" max="4614" width="12.7109375" style="89" customWidth="1"/>
    <col min="4615" max="4615" width="25.140625" style="89" customWidth="1"/>
    <col min="4616" max="4618" width="9.140625" style="89"/>
    <col min="4619" max="4619" width="13.42578125" style="89" customWidth="1"/>
    <col min="4620" max="4863" width="9.140625" style="89"/>
    <col min="4864" max="4864" width="2.42578125" style="89" customWidth="1"/>
    <col min="4865" max="4865" width="22.28515625" style="89" customWidth="1"/>
    <col min="4866" max="4866" width="12.7109375" style="89" customWidth="1"/>
    <col min="4867" max="4867" width="13.5703125" style="89" customWidth="1"/>
    <col min="4868" max="4870" width="12.7109375" style="89" customWidth="1"/>
    <col min="4871" max="4871" width="25.140625" style="89" customWidth="1"/>
    <col min="4872" max="4874" width="9.140625" style="89"/>
    <col min="4875" max="4875" width="13.42578125" style="89" customWidth="1"/>
    <col min="4876" max="5119" width="9.140625" style="89"/>
    <col min="5120" max="5120" width="2.42578125" style="89" customWidth="1"/>
    <col min="5121" max="5121" width="22.28515625" style="89" customWidth="1"/>
    <col min="5122" max="5122" width="12.7109375" style="89" customWidth="1"/>
    <col min="5123" max="5123" width="13.5703125" style="89" customWidth="1"/>
    <col min="5124" max="5126" width="12.7109375" style="89" customWidth="1"/>
    <col min="5127" max="5127" width="25.140625" style="89" customWidth="1"/>
    <col min="5128" max="5130" width="9.140625" style="89"/>
    <col min="5131" max="5131" width="13.42578125" style="89" customWidth="1"/>
    <col min="5132" max="5375" width="9.140625" style="89"/>
    <col min="5376" max="5376" width="2.42578125" style="89" customWidth="1"/>
    <col min="5377" max="5377" width="22.28515625" style="89" customWidth="1"/>
    <col min="5378" max="5378" width="12.7109375" style="89" customWidth="1"/>
    <col min="5379" max="5379" width="13.5703125" style="89" customWidth="1"/>
    <col min="5380" max="5382" width="12.7109375" style="89" customWidth="1"/>
    <col min="5383" max="5383" width="25.140625" style="89" customWidth="1"/>
    <col min="5384" max="5386" width="9.140625" style="89"/>
    <col min="5387" max="5387" width="13.42578125" style="89" customWidth="1"/>
    <col min="5388" max="5631" width="9.140625" style="89"/>
    <col min="5632" max="5632" width="2.42578125" style="89" customWidth="1"/>
    <col min="5633" max="5633" width="22.28515625" style="89" customWidth="1"/>
    <col min="5634" max="5634" width="12.7109375" style="89" customWidth="1"/>
    <col min="5635" max="5635" width="13.5703125" style="89" customWidth="1"/>
    <col min="5636" max="5638" width="12.7109375" style="89" customWidth="1"/>
    <col min="5639" max="5639" width="25.140625" style="89" customWidth="1"/>
    <col min="5640" max="5642" width="9.140625" style="89"/>
    <col min="5643" max="5643" width="13.42578125" style="89" customWidth="1"/>
    <col min="5644" max="5887" width="9.140625" style="89"/>
    <col min="5888" max="5888" width="2.42578125" style="89" customWidth="1"/>
    <col min="5889" max="5889" width="22.28515625" style="89" customWidth="1"/>
    <col min="5890" max="5890" width="12.7109375" style="89" customWidth="1"/>
    <col min="5891" max="5891" width="13.5703125" style="89" customWidth="1"/>
    <col min="5892" max="5894" width="12.7109375" style="89" customWidth="1"/>
    <col min="5895" max="5895" width="25.140625" style="89" customWidth="1"/>
    <col min="5896" max="5898" width="9.140625" style="89"/>
    <col min="5899" max="5899" width="13.42578125" style="89" customWidth="1"/>
    <col min="5900" max="6143" width="9.140625" style="89"/>
    <col min="6144" max="6144" width="2.42578125" style="89" customWidth="1"/>
    <col min="6145" max="6145" width="22.28515625" style="89" customWidth="1"/>
    <col min="6146" max="6146" width="12.7109375" style="89" customWidth="1"/>
    <col min="6147" max="6147" width="13.5703125" style="89" customWidth="1"/>
    <col min="6148" max="6150" width="12.7109375" style="89" customWidth="1"/>
    <col min="6151" max="6151" width="25.140625" style="89" customWidth="1"/>
    <col min="6152" max="6154" width="9.140625" style="89"/>
    <col min="6155" max="6155" width="13.42578125" style="89" customWidth="1"/>
    <col min="6156" max="6399" width="9.140625" style="89"/>
    <col min="6400" max="6400" width="2.42578125" style="89" customWidth="1"/>
    <col min="6401" max="6401" width="22.28515625" style="89" customWidth="1"/>
    <col min="6402" max="6402" width="12.7109375" style="89" customWidth="1"/>
    <col min="6403" max="6403" width="13.5703125" style="89" customWidth="1"/>
    <col min="6404" max="6406" width="12.7109375" style="89" customWidth="1"/>
    <col min="6407" max="6407" width="25.140625" style="89" customWidth="1"/>
    <col min="6408" max="6410" width="9.140625" style="89"/>
    <col min="6411" max="6411" width="13.42578125" style="89" customWidth="1"/>
    <col min="6412" max="6655" width="9.140625" style="89"/>
    <col min="6656" max="6656" width="2.42578125" style="89" customWidth="1"/>
    <col min="6657" max="6657" width="22.28515625" style="89" customWidth="1"/>
    <col min="6658" max="6658" width="12.7109375" style="89" customWidth="1"/>
    <col min="6659" max="6659" width="13.5703125" style="89" customWidth="1"/>
    <col min="6660" max="6662" width="12.7109375" style="89" customWidth="1"/>
    <col min="6663" max="6663" width="25.140625" style="89" customWidth="1"/>
    <col min="6664" max="6666" width="9.140625" style="89"/>
    <col min="6667" max="6667" width="13.42578125" style="89" customWidth="1"/>
    <col min="6668" max="6911" width="9.140625" style="89"/>
    <col min="6912" max="6912" width="2.42578125" style="89" customWidth="1"/>
    <col min="6913" max="6913" width="22.28515625" style="89" customWidth="1"/>
    <col min="6914" max="6914" width="12.7109375" style="89" customWidth="1"/>
    <col min="6915" max="6915" width="13.5703125" style="89" customWidth="1"/>
    <col min="6916" max="6918" width="12.7109375" style="89" customWidth="1"/>
    <col min="6919" max="6919" width="25.140625" style="89" customWidth="1"/>
    <col min="6920" max="6922" width="9.140625" style="89"/>
    <col min="6923" max="6923" width="13.42578125" style="89" customWidth="1"/>
    <col min="6924" max="7167" width="9.140625" style="89"/>
    <col min="7168" max="7168" width="2.42578125" style="89" customWidth="1"/>
    <col min="7169" max="7169" width="22.28515625" style="89" customWidth="1"/>
    <col min="7170" max="7170" width="12.7109375" style="89" customWidth="1"/>
    <col min="7171" max="7171" width="13.5703125" style="89" customWidth="1"/>
    <col min="7172" max="7174" width="12.7109375" style="89" customWidth="1"/>
    <col min="7175" max="7175" width="25.140625" style="89" customWidth="1"/>
    <col min="7176" max="7178" width="9.140625" style="89"/>
    <col min="7179" max="7179" width="13.42578125" style="89" customWidth="1"/>
    <col min="7180" max="7423" width="9.140625" style="89"/>
    <col min="7424" max="7424" width="2.42578125" style="89" customWidth="1"/>
    <col min="7425" max="7425" width="22.28515625" style="89" customWidth="1"/>
    <col min="7426" max="7426" width="12.7109375" style="89" customWidth="1"/>
    <col min="7427" max="7427" width="13.5703125" style="89" customWidth="1"/>
    <col min="7428" max="7430" width="12.7109375" style="89" customWidth="1"/>
    <col min="7431" max="7431" width="25.140625" style="89" customWidth="1"/>
    <col min="7432" max="7434" width="9.140625" style="89"/>
    <col min="7435" max="7435" width="13.42578125" style="89" customWidth="1"/>
    <col min="7436" max="7679" width="9.140625" style="89"/>
    <col min="7680" max="7680" width="2.42578125" style="89" customWidth="1"/>
    <col min="7681" max="7681" width="22.28515625" style="89" customWidth="1"/>
    <col min="7682" max="7682" width="12.7109375" style="89" customWidth="1"/>
    <col min="7683" max="7683" width="13.5703125" style="89" customWidth="1"/>
    <col min="7684" max="7686" width="12.7109375" style="89" customWidth="1"/>
    <col min="7687" max="7687" width="25.140625" style="89" customWidth="1"/>
    <col min="7688" max="7690" width="9.140625" style="89"/>
    <col min="7691" max="7691" width="13.42578125" style="89" customWidth="1"/>
    <col min="7692" max="7935" width="9.140625" style="89"/>
    <col min="7936" max="7936" width="2.42578125" style="89" customWidth="1"/>
    <col min="7937" max="7937" width="22.28515625" style="89" customWidth="1"/>
    <col min="7938" max="7938" width="12.7109375" style="89" customWidth="1"/>
    <col min="7939" max="7939" width="13.5703125" style="89" customWidth="1"/>
    <col min="7940" max="7942" width="12.7109375" style="89" customWidth="1"/>
    <col min="7943" max="7943" width="25.140625" style="89" customWidth="1"/>
    <col min="7944" max="7946" width="9.140625" style="89"/>
    <col min="7947" max="7947" width="13.42578125" style="89" customWidth="1"/>
    <col min="7948" max="8191" width="9.140625" style="89"/>
    <col min="8192" max="8192" width="2.42578125" style="89" customWidth="1"/>
    <col min="8193" max="8193" width="22.28515625" style="89" customWidth="1"/>
    <col min="8194" max="8194" width="12.7109375" style="89" customWidth="1"/>
    <col min="8195" max="8195" width="13.5703125" style="89" customWidth="1"/>
    <col min="8196" max="8198" width="12.7109375" style="89" customWidth="1"/>
    <col min="8199" max="8199" width="25.140625" style="89" customWidth="1"/>
    <col min="8200" max="8202" width="9.140625" style="89"/>
    <col min="8203" max="8203" width="13.42578125" style="89" customWidth="1"/>
    <col min="8204" max="8447" width="9.140625" style="89"/>
    <col min="8448" max="8448" width="2.42578125" style="89" customWidth="1"/>
    <col min="8449" max="8449" width="22.28515625" style="89" customWidth="1"/>
    <col min="8450" max="8450" width="12.7109375" style="89" customWidth="1"/>
    <col min="8451" max="8451" width="13.5703125" style="89" customWidth="1"/>
    <col min="8452" max="8454" width="12.7109375" style="89" customWidth="1"/>
    <col min="8455" max="8455" width="25.140625" style="89" customWidth="1"/>
    <col min="8456" max="8458" width="9.140625" style="89"/>
    <col min="8459" max="8459" width="13.42578125" style="89" customWidth="1"/>
    <col min="8460" max="8703" width="9.140625" style="89"/>
    <col min="8704" max="8704" width="2.42578125" style="89" customWidth="1"/>
    <col min="8705" max="8705" width="22.28515625" style="89" customWidth="1"/>
    <col min="8706" max="8706" width="12.7109375" style="89" customWidth="1"/>
    <col min="8707" max="8707" width="13.5703125" style="89" customWidth="1"/>
    <col min="8708" max="8710" width="12.7109375" style="89" customWidth="1"/>
    <col min="8711" max="8711" width="25.140625" style="89" customWidth="1"/>
    <col min="8712" max="8714" width="9.140625" style="89"/>
    <col min="8715" max="8715" width="13.42578125" style="89" customWidth="1"/>
    <col min="8716" max="8959" width="9.140625" style="89"/>
    <col min="8960" max="8960" width="2.42578125" style="89" customWidth="1"/>
    <col min="8961" max="8961" width="22.28515625" style="89" customWidth="1"/>
    <col min="8962" max="8962" width="12.7109375" style="89" customWidth="1"/>
    <col min="8963" max="8963" width="13.5703125" style="89" customWidth="1"/>
    <col min="8964" max="8966" width="12.7109375" style="89" customWidth="1"/>
    <col min="8967" max="8967" width="25.140625" style="89" customWidth="1"/>
    <col min="8968" max="8970" width="9.140625" style="89"/>
    <col min="8971" max="8971" width="13.42578125" style="89" customWidth="1"/>
    <col min="8972" max="9215" width="9.140625" style="89"/>
    <col min="9216" max="9216" width="2.42578125" style="89" customWidth="1"/>
    <col min="9217" max="9217" width="22.28515625" style="89" customWidth="1"/>
    <col min="9218" max="9218" width="12.7109375" style="89" customWidth="1"/>
    <col min="9219" max="9219" width="13.5703125" style="89" customWidth="1"/>
    <col min="9220" max="9222" width="12.7109375" style="89" customWidth="1"/>
    <col min="9223" max="9223" width="25.140625" style="89" customWidth="1"/>
    <col min="9224" max="9226" width="9.140625" style="89"/>
    <col min="9227" max="9227" width="13.42578125" style="89" customWidth="1"/>
    <col min="9228" max="9471" width="9.140625" style="89"/>
    <col min="9472" max="9472" width="2.42578125" style="89" customWidth="1"/>
    <col min="9473" max="9473" width="22.28515625" style="89" customWidth="1"/>
    <col min="9474" max="9474" width="12.7109375" style="89" customWidth="1"/>
    <col min="9475" max="9475" width="13.5703125" style="89" customWidth="1"/>
    <col min="9476" max="9478" width="12.7109375" style="89" customWidth="1"/>
    <col min="9479" max="9479" width="25.140625" style="89" customWidth="1"/>
    <col min="9480" max="9482" width="9.140625" style="89"/>
    <col min="9483" max="9483" width="13.42578125" style="89" customWidth="1"/>
    <col min="9484" max="9727" width="9.140625" style="89"/>
    <col min="9728" max="9728" width="2.42578125" style="89" customWidth="1"/>
    <col min="9729" max="9729" width="22.28515625" style="89" customWidth="1"/>
    <col min="9730" max="9730" width="12.7109375" style="89" customWidth="1"/>
    <col min="9731" max="9731" width="13.5703125" style="89" customWidth="1"/>
    <col min="9732" max="9734" width="12.7109375" style="89" customWidth="1"/>
    <col min="9735" max="9735" width="25.140625" style="89" customWidth="1"/>
    <col min="9736" max="9738" width="9.140625" style="89"/>
    <col min="9739" max="9739" width="13.42578125" style="89" customWidth="1"/>
    <col min="9740" max="9983" width="9.140625" style="89"/>
    <col min="9984" max="9984" width="2.42578125" style="89" customWidth="1"/>
    <col min="9985" max="9985" width="22.28515625" style="89" customWidth="1"/>
    <col min="9986" max="9986" width="12.7109375" style="89" customWidth="1"/>
    <col min="9987" max="9987" width="13.5703125" style="89" customWidth="1"/>
    <col min="9988" max="9990" width="12.7109375" style="89" customWidth="1"/>
    <col min="9991" max="9991" width="25.140625" style="89" customWidth="1"/>
    <col min="9992" max="9994" width="9.140625" style="89"/>
    <col min="9995" max="9995" width="13.42578125" style="89" customWidth="1"/>
    <col min="9996" max="10239" width="9.140625" style="89"/>
    <col min="10240" max="10240" width="2.42578125" style="89" customWidth="1"/>
    <col min="10241" max="10241" width="22.28515625" style="89" customWidth="1"/>
    <col min="10242" max="10242" width="12.7109375" style="89" customWidth="1"/>
    <col min="10243" max="10243" width="13.5703125" style="89" customWidth="1"/>
    <col min="10244" max="10246" width="12.7109375" style="89" customWidth="1"/>
    <col min="10247" max="10247" width="25.140625" style="89" customWidth="1"/>
    <col min="10248" max="10250" width="9.140625" style="89"/>
    <col min="10251" max="10251" width="13.42578125" style="89" customWidth="1"/>
    <col min="10252" max="10495" width="9.140625" style="89"/>
    <col min="10496" max="10496" width="2.42578125" style="89" customWidth="1"/>
    <col min="10497" max="10497" width="22.28515625" style="89" customWidth="1"/>
    <col min="10498" max="10498" width="12.7109375" style="89" customWidth="1"/>
    <col min="10499" max="10499" width="13.5703125" style="89" customWidth="1"/>
    <col min="10500" max="10502" width="12.7109375" style="89" customWidth="1"/>
    <col min="10503" max="10503" width="25.140625" style="89" customWidth="1"/>
    <col min="10504" max="10506" width="9.140625" style="89"/>
    <col min="10507" max="10507" width="13.42578125" style="89" customWidth="1"/>
    <col min="10508" max="10751" width="9.140625" style="89"/>
    <col min="10752" max="10752" width="2.42578125" style="89" customWidth="1"/>
    <col min="10753" max="10753" width="22.28515625" style="89" customWidth="1"/>
    <col min="10754" max="10754" width="12.7109375" style="89" customWidth="1"/>
    <col min="10755" max="10755" width="13.5703125" style="89" customWidth="1"/>
    <col min="10756" max="10758" width="12.7109375" style="89" customWidth="1"/>
    <col min="10759" max="10759" width="25.140625" style="89" customWidth="1"/>
    <col min="10760" max="10762" width="9.140625" style="89"/>
    <col min="10763" max="10763" width="13.42578125" style="89" customWidth="1"/>
    <col min="10764" max="11007" width="9.140625" style="89"/>
    <col min="11008" max="11008" width="2.42578125" style="89" customWidth="1"/>
    <col min="11009" max="11009" width="22.28515625" style="89" customWidth="1"/>
    <col min="11010" max="11010" width="12.7109375" style="89" customWidth="1"/>
    <col min="11011" max="11011" width="13.5703125" style="89" customWidth="1"/>
    <col min="11012" max="11014" width="12.7109375" style="89" customWidth="1"/>
    <col min="11015" max="11015" width="25.140625" style="89" customWidth="1"/>
    <col min="11016" max="11018" width="9.140625" style="89"/>
    <col min="11019" max="11019" width="13.42578125" style="89" customWidth="1"/>
    <col min="11020" max="11263" width="9.140625" style="89"/>
    <col min="11264" max="11264" width="2.42578125" style="89" customWidth="1"/>
    <col min="11265" max="11265" width="22.28515625" style="89" customWidth="1"/>
    <col min="11266" max="11266" width="12.7109375" style="89" customWidth="1"/>
    <col min="11267" max="11267" width="13.5703125" style="89" customWidth="1"/>
    <col min="11268" max="11270" width="12.7109375" style="89" customWidth="1"/>
    <col min="11271" max="11271" width="25.140625" style="89" customWidth="1"/>
    <col min="11272" max="11274" width="9.140625" style="89"/>
    <col min="11275" max="11275" width="13.42578125" style="89" customWidth="1"/>
    <col min="11276" max="11519" width="9.140625" style="89"/>
    <col min="11520" max="11520" width="2.42578125" style="89" customWidth="1"/>
    <col min="11521" max="11521" width="22.28515625" style="89" customWidth="1"/>
    <col min="11522" max="11522" width="12.7109375" style="89" customWidth="1"/>
    <col min="11523" max="11523" width="13.5703125" style="89" customWidth="1"/>
    <col min="11524" max="11526" width="12.7109375" style="89" customWidth="1"/>
    <col min="11527" max="11527" width="25.140625" style="89" customWidth="1"/>
    <col min="11528" max="11530" width="9.140625" style="89"/>
    <col min="11531" max="11531" width="13.42578125" style="89" customWidth="1"/>
    <col min="11532" max="11775" width="9.140625" style="89"/>
    <col min="11776" max="11776" width="2.42578125" style="89" customWidth="1"/>
    <col min="11777" max="11777" width="22.28515625" style="89" customWidth="1"/>
    <col min="11778" max="11778" width="12.7109375" style="89" customWidth="1"/>
    <col min="11779" max="11779" width="13.5703125" style="89" customWidth="1"/>
    <col min="11780" max="11782" width="12.7109375" style="89" customWidth="1"/>
    <col min="11783" max="11783" width="25.140625" style="89" customWidth="1"/>
    <col min="11784" max="11786" width="9.140625" style="89"/>
    <col min="11787" max="11787" width="13.42578125" style="89" customWidth="1"/>
    <col min="11788" max="12031" width="9.140625" style="89"/>
    <col min="12032" max="12032" width="2.42578125" style="89" customWidth="1"/>
    <col min="12033" max="12033" width="22.28515625" style="89" customWidth="1"/>
    <col min="12034" max="12034" width="12.7109375" style="89" customWidth="1"/>
    <col min="12035" max="12035" width="13.5703125" style="89" customWidth="1"/>
    <col min="12036" max="12038" width="12.7109375" style="89" customWidth="1"/>
    <col min="12039" max="12039" width="25.140625" style="89" customWidth="1"/>
    <col min="12040" max="12042" width="9.140625" style="89"/>
    <col min="12043" max="12043" width="13.42578125" style="89" customWidth="1"/>
    <col min="12044" max="12287" width="9.140625" style="89"/>
    <col min="12288" max="12288" width="2.42578125" style="89" customWidth="1"/>
    <col min="12289" max="12289" width="22.28515625" style="89" customWidth="1"/>
    <col min="12290" max="12290" width="12.7109375" style="89" customWidth="1"/>
    <col min="12291" max="12291" width="13.5703125" style="89" customWidth="1"/>
    <col min="12292" max="12294" width="12.7109375" style="89" customWidth="1"/>
    <col min="12295" max="12295" width="25.140625" style="89" customWidth="1"/>
    <col min="12296" max="12298" width="9.140625" style="89"/>
    <col min="12299" max="12299" width="13.42578125" style="89" customWidth="1"/>
    <col min="12300" max="12543" width="9.140625" style="89"/>
    <col min="12544" max="12544" width="2.42578125" style="89" customWidth="1"/>
    <col min="12545" max="12545" width="22.28515625" style="89" customWidth="1"/>
    <col min="12546" max="12546" width="12.7109375" style="89" customWidth="1"/>
    <col min="12547" max="12547" width="13.5703125" style="89" customWidth="1"/>
    <col min="12548" max="12550" width="12.7109375" style="89" customWidth="1"/>
    <col min="12551" max="12551" width="25.140625" style="89" customWidth="1"/>
    <col min="12552" max="12554" width="9.140625" style="89"/>
    <col min="12555" max="12555" width="13.42578125" style="89" customWidth="1"/>
    <col min="12556" max="12799" width="9.140625" style="89"/>
    <col min="12800" max="12800" width="2.42578125" style="89" customWidth="1"/>
    <col min="12801" max="12801" width="22.28515625" style="89" customWidth="1"/>
    <col min="12802" max="12802" width="12.7109375" style="89" customWidth="1"/>
    <col min="12803" max="12803" width="13.5703125" style="89" customWidth="1"/>
    <col min="12804" max="12806" width="12.7109375" style="89" customWidth="1"/>
    <col min="12807" max="12807" width="25.140625" style="89" customWidth="1"/>
    <col min="12808" max="12810" width="9.140625" style="89"/>
    <col min="12811" max="12811" width="13.42578125" style="89" customWidth="1"/>
    <col min="12812" max="13055" width="9.140625" style="89"/>
    <col min="13056" max="13056" width="2.42578125" style="89" customWidth="1"/>
    <col min="13057" max="13057" width="22.28515625" style="89" customWidth="1"/>
    <col min="13058" max="13058" width="12.7109375" style="89" customWidth="1"/>
    <col min="13059" max="13059" width="13.5703125" style="89" customWidth="1"/>
    <col min="13060" max="13062" width="12.7109375" style="89" customWidth="1"/>
    <col min="13063" max="13063" width="25.140625" style="89" customWidth="1"/>
    <col min="13064" max="13066" width="9.140625" style="89"/>
    <col min="13067" max="13067" width="13.42578125" style="89" customWidth="1"/>
    <col min="13068" max="13311" width="9.140625" style="89"/>
    <col min="13312" max="13312" width="2.42578125" style="89" customWidth="1"/>
    <col min="13313" max="13313" width="22.28515625" style="89" customWidth="1"/>
    <col min="13314" max="13314" width="12.7109375" style="89" customWidth="1"/>
    <col min="13315" max="13315" width="13.5703125" style="89" customWidth="1"/>
    <col min="13316" max="13318" width="12.7109375" style="89" customWidth="1"/>
    <col min="13319" max="13319" width="25.140625" style="89" customWidth="1"/>
    <col min="13320" max="13322" width="9.140625" style="89"/>
    <col min="13323" max="13323" width="13.42578125" style="89" customWidth="1"/>
    <col min="13324" max="13567" width="9.140625" style="89"/>
    <col min="13568" max="13568" width="2.42578125" style="89" customWidth="1"/>
    <col min="13569" max="13569" width="22.28515625" style="89" customWidth="1"/>
    <col min="13570" max="13570" width="12.7109375" style="89" customWidth="1"/>
    <col min="13571" max="13571" width="13.5703125" style="89" customWidth="1"/>
    <col min="13572" max="13574" width="12.7109375" style="89" customWidth="1"/>
    <col min="13575" max="13575" width="25.140625" style="89" customWidth="1"/>
    <col min="13576" max="13578" width="9.140625" style="89"/>
    <col min="13579" max="13579" width="13.42578125" style="89" customWidth="1"/>
    <col min="13580" max="13823" width="9.140625" style="89"/>
    <col min="13824" max="13824" width="2.42578125" style="89" customWidth="1"/>
    <col min="13825" max="13825" width="22.28515625" style="89" customWidth="1"/>
    <col min="13826" max="13826" width="12.7109375" style="89" customWidth="1"/>
    <col min="13827" max="13827" width="13.5703125" style="89" customWidth="1"/>
    <col min="13828" max="13830" width="12.7109375" style="89" customWidth="1"/>
    <col min="13831" max="13831" width="25.140625" style="89" customWidth="1"/>
    <col min="13832" max="13834" width="9.140625" style="89"/>
    <col min="13835" max="13835" width="13.42578125" style="89" customWidth="1"/>
    <col min="13836" max="14079" width="9.140625" style="89"/>
    <col min="14080" max="14080" width="2.42578125" style="89" customWidth="1"/>
    <col min="14081" max="14081" width="22.28515625" style="89" customWidth="1"/>
    <col min="14082" max="14082" width="12.7109375" style="89" customWidth="1"/>
    <col min="14083" max="14083" width="13.5703125" style="89" customWidth="1"/>
    <col min="14084" max="14086" width="12.7109375" style="89" customWidth="1"/>
    <col min="14087" max="14087" width="25.140625" style="89" customWidth="1"/>
    <col min="14088" max="14090" width="9.140625" style="89"/>
    <col min="14091" max="14091" width="13.42578125" style="89" customWidth="1"/>
    <col min="14092" max="14335" width="9.140625" style="89"/>
    <col min="14336" max="14336" width="2.42578125" style="89" customWidth="1"/>
    <col min="14337" max="14337" width="22.28515625" style="89" customWidth="1"/>
    <col min="14338" max="14338" width="12.7109375" style="89" customWidth="1"/>
    <col min="14339" max="14339" width="13.5703125" style="89" customWidth="1"/>
    <col min="14340" max="14342" width="12.7109375" style="89" customWidth="1"/>
    <col min="14343" max="14343" width="25.140625" style="89" customWidth="1"/>
    <col min="14344" max="14346" width="9.140625" style="89"/>
    <col min="14347" max="14347" width="13.42578125" style="89" customWidth="1"/>
    <col min="14348" max="14591" width="9.140625" style="89"/>
    <col min="14592" max="14592" width="2.42578125" style="89" customWidth="1"/>
    <col min="14593" max="14593" width="22.28515625" style="89" customWidth="1"/>
    <col min="14594" max="14594" width="12.7109375" style="89" customWidth="1"/>
    <col min="14595" max="14595" width="13.5703125" style="89" customWidth="1"/>
    <col min="14596" max="14598" width="12.7109375" style="89" customWidth="1"/>
    <col min="14599" max="14599" width="25.140625" style="89" customWidth="1"/>
    <col min="14600" max="14602" width="9.140625" style="89"/>
    <col min="14603" max="14603" width="13.42578125" style="89" customWidth="1"/>
    <col min="14604" max="14847" width="9.140625" style="89"/>
    <col min="14848" max="14848" width="2.42578125" style="89" customWidth="1"/>
    <col min="14849" max="14849" width="22.28515625" style="89" customWidth="1"/>
    <col min="14850" max="14850" width="12.7109375" style="89" customWidth="1"/>
    <col min="14851" max="14851" width="13.5703125" style="89" customWidth="1"/>
    <col min="14852" max="14854" width="12.7109375" style="89" customWidth="1"/>
    <col min="14855" max="14855" width="25.140625" style="89" customWidth="1"/>
    <col min="14856" max="14858" width="9.140625" style="89"/>
    <col min="14859" max="14859" width="13.42578125" style="89" customWidth="1"/>
    <col min="14860" max="15103" width="9.140625" style="89"/>
    <col min="15104" max="15104" width="2.42578125" style="89" customWidth="1"/>
    <col min="15105" max="15105" width="22.28515625" style="89" customWidth="1"/>
    <col min="15106" max="15106" width="12.7109375" style="89" customWidth="1"/>
    <col min="15107" max="15107" width="13.5703125" style="89" customWidth="1"/>
    <col min="15108" max="15110" width="12.7109375" style="89" customWidth="1"/>
    <col min="15111" max="15111" width="25.140625" style="89" customWidth="1"/>
    <col min="15112" max="15114" width="9.140625" style="89"/>
    <col min="15115" max="15115" width="13.42578125" style="89" customWidth="1"/>
    <col min="15116" max="15359" width="9.140625" style="89"/>
    <col min="15360" max="15360" width="2.42578125" style="89" customWidth="1"/>
    <col min="15361" max="15361" width="22.28515625" style="89" customWidth="1"/>
    <col min="15362" max="15362" width="12.7109375" style="89" customWidth="1"/>
    <col min="15363" max="15363" width="13.5703125" style="89" customWidth="1"/>
    <col min="15364" max="15366" width="12.7109375" style="89" customWidth="1"/>
    <col min="15367" max="15367" width="25.140625" style="89" customWidth="1"/>
    <col min="15368" max="15370" width="9.140625" style="89"/>
    <col min="15371" max="15371" width="13.42578125" style="89" customWidth="1"/>
    <col min="15372" max="15615" width="9.140625" style="89"/>
    <col min="15616" max="15616" width="2.42578125" style="89" customWidth="1"/>
    <col min="15617" max="15617" width="22.28515625" style="89" customWidth="1"/>
    <col min="15618" max="15618" width="12.7109375" style="89" customWidth="1"/>
    <col min="15619" max="15619" width="13.5703125" style="89" customWidth="1"/>
    <col min="15620" max="15622" width="12.7109375" style="89" customWidth="1"/>
    <col min="15623" max="15623" width="25.140625" style="89" customWidth="1"/>
    <col min="15624" max="15626" width="9.140625" style="89"/>
    <col min="15627" max="15627" width="13.42578125" style="89" customWidth="1"/>
    <col min="15628" max="15871" width="9.140625" style="89"/>
    <col min="15872" max="15872" width="2.42578125" style="89" customWidth="1"/>
    <col min="15873" max="15873" width="22.28515625" style="89" customWidth="1"/>
    <col min="15874" max="15874" width="12.7109375" style="89" customWidth="1"/>
    <col min="15875" max="15875" width="13.5703125" style="89" customWidth="1"/>
    <col min="15876" max="15878" width="12.7109375" style="89" customWidth="1"/>
    <col min="15879" max="15879" width="25.140625" style="89" customWidth="1"/>
    <col min="15880" max="15882" width="9.140625" style="89"/>
    <col min="15883" max="15883" width="13.42578125" style="89" customWidth="1"/>
    <col min="15884" max="16127" width="9.140625" style="89"/>
    <col min="16128" max="16128" width="2.42578125" style="89" customWidth="1"/>
    <col min="16129" max="16129" width="22.28515625" style="89" customWidth="1"/>
    <col min="16130" max="16130" width="12.7109375" style="89" customWidth="1"/>
    <col min="16131" max="16131" width="13.5703125" style="89" customWidth="1"/>
    <col min="16132" max="16134" width="12.7109375" style="89" customWidth="1"/>
    <col min="16135" max="16135" width="25.140625" style="89" customWidth="1"/>
    <col min="16136" max="16138" width="9.140625" style="89"/>
    <col min="16139" max="16139" width="13.42578125" style="89" customWidth="1"/>
    <col min="16140" max="16384" width="9.140625" style="89"/>
  </cols>
  <sheetData>
    <row r="1" spans="1:22" ht="20.100000000000001" customHeight="1">
      <c r="A1" s="88"/>
      <c r="B1" s="88"/>
      <c r="C1" s="88"/>
      <c r="D1" s="88"/>
      <c r="E1" s="88"/>
      <c r="F1" s="88"/>
      <c r="G1" s="88"/>
    </row>
    <row r="2" spans="1:22" ht="20.100000000000001" customHeight="1">
      <c r="A2" s="90"/>
      <c r="B2" s="90"/>
      <c r="C2" s="90"/>
      <c r="D2" s="90"/>
      <c r="E2" s="90"/>
      <c r="F2" s="90"/>
      <c r="G2" s="90"/>
    </row>
    <row r="3" spans="1:22" ht="20.100000000000001" customHeight="1">
      <c r="A3" s="90"/>
      <c r="B3" s="90"/>
      <c r="C3" s="90"/>
      <c r="D3" s="90"/>
      <c r="E3" s="90"/>
      <c r="F3" s="90"/>
      <c r="G3" s="90"/>
    </row>
    <row r="4" spans="1:22" ht="20.100000000000001" customHeight="1">
      <c r="A4" s="91"/>
      <c r="B4" s="91"/>
      <c r="C4" s="91"/>
      <c r="D4" s="91"/>
      <c r="E4" s="91"/>
      <c r="F4" s="91"/>
      <c r="G4" s="91"/>
    </row>
    <row r="5" spans="1:22" ht="20.100000000000001" customHeight="1">
      <c r="A5" s="92"/>
      <c r="B5" s="93"/>
      <c r="C5" s="93"/>
      <c r="D5" s="93"/>
      <c r="E5" s="93"/>
      <c r="F5" s="93"/>
      <c r="G5" s="93"/>
    </row>
    <row r="6" spans="1:22" ht="20.100000000000001" customHeight="1">
      <c r="A6" s="88"/>
      <c r="B6" s="88"/>
      <c r="C6" s="88"/>
      <c r="D6" s="88"/>
      <c r="E6" s="88"/>
      <c r="F6" s="88"/>
      <c r="G6" s="88"/>
      <c r="K6" s="94" t="s">
        <v>1543</v>
      </c>
      <c r="L6" s="186" t="s">
        <v>4785</v>
      </c>
      <c r="M6" s="132"/>
      <c r="N6" s="132"/>
      <c r="O6" s="132"/>
      <c r="P6" s="132"/>
      <c r="Q6" s="132"/>
      <c r="T6" s="135" t="s">
        <v>1835</v>
      </c>
      <c r="U6" s="136" t="s">
        <v>4786</v>
      </c>
      <c r="V6" s="137"/>
    </row>
    <row r="7" spans="1:22" ht="20.100000000000001" customHeight="1">
      <c r="A7" s="95"/>
      <c r="B7" s="95"/>
      <c r="C7" s="95"/>
      <c r="D7" s="95"/>
      <c r="E7" s="95"/>
      <c r="F7" s="95"/>
      <c r="G7" s="95"/>
      <c r="L7" s="94" t="s">
        <v>1850</v>
      </c>
      <c r="T7" s="135" t="str">
        <f t="shared" ref="T7:T25" si="0">$T$6</f>
        <v>0000 -</v>
      </c>
      <c r="U7" s="136" t="s">
        <v>4787</v>
      </c>
      <c r="V7" s="137"/>
    </row>
    <row r="8" spans="1:22" ht="20.100000000000001" customHeight="1">
      <c r="A8" s="95"/>
      <c r="B8" s="95"/>
      <c r="C8" s="95"/>
      <c r="D8" s="95"/>
      <c r="E8" s="95"/>
      <c r="F8" s="95"/>
      <c r="G8" s="95"/>
      <c r="T8" s="135" t="str">
        <f t="shared" si="0"/>
        <v>0000 -</v>
      </c>
      <c r="U8" s="136" t="s">
        <v>4788</v>
      </c>
      <c r="V8" s="137"/>
    </row>
    <row r="9" spans="1:22" ht="20.100000000000001" customHeight="1">
      <c r="A9" s="88"/>
      <c r="B9" s="88"/>
      <c r="C9" s="95"/>
      <c r="D9" s="95"/>
      <c r="E9" s="95"/>
      <c r="F9" s="95"/>
      <c r="G9" s="95"/>
      <c r="T9" s="135" t="str">
        <f t="shared" si="0"/>
        <v>0000 -</v>
      </c>
      <c r="U9" s="136" t="s">
        <v>4789</v>
      </c>
      <c r="V9" s="137"/>
    </row>
    <row r="10" spans="1:22" ht="20.100000000000001" customHeight="1">
      <c r="A10" s="88"/>
      <c r="B10" s="88"/>
      <c r="C10" s="95"/>
      <c r="D10" s="95"/>
      <c r="E10" s="95"/>
      <c r="F10" s="95"/>
      <c r="G10" s="95"/>
      <c r="T10" s="135" t="str">
        <f t="shared" si="0"/>
        <v>0000 -</v>
      </c>
      <c r="U10" s="136" t="s">
        <v>4790</v>
      </c>
      <c r="V10" s="137"/>
    </row>
    <row r="11" spans="1:22" ht="20.100000000000001" customHeight="1">
      <c r="A11" s="88"/>
      <c r="B11" s="88"/>
      <c r="C11" s="96"/>
      <c r="D11" s="95"/>
      <c r="E11" s="88"/>
      <c r="F11" s="88"/>
      <c r="G11" s="88"/>
      <c r="K11" s="269" t="s">
        <v>1620</v>
      </c>
      <c r="L11" s="269"/>
      <c r="M11" s="132" t="s">
        <v>1621</v>
      </c>
      <c r="T11" s="135" t="str">
        <f t="shared" si="0"/>
        <v>0000 -</v>
      </c>
      <c r="U11" s="136" t="s">
        <v>4791</v>
      </c>
      <c r="V11" s="137"/>
    </row>
    <row r="12" spans="1:22" ht="20.100000000000001" customHeight="1">
      <c r="A12" s="88"/>
      <c r="B12" s="88"/>
      <c r="C12" s="88"/>
      <c r="D12" s="88"/>
      <c r="E12" s="88"/>
      <c r="F12" s="88"/>
      <c r="G12" s="88"/>
      <c r="K12" s="269"/>
      <c r="L12" s="269"/>
      <c r="M12" s="137" t="s">
        <v>4806</v>
      </c>
      <c r="T12" s="135" t="str">
        <f t="shared" si="0"/>
        <v>0000 -</v>
      </c>
      <c r="U12" s="136" t="s">
        <v>4792</v>
      </c>
      <c r="V12" s="137"/>
    </row>
    <row r="13" spans="1:22" ht="20.100000000000001" customHeight="1">
      <c r="A13" s="97"/>
      <c r="B13" s="97"/>
      <c r="C13" s="97"/>
      <c r="D13" s="97"/>
      <c r="E13" s="98"/>
      <c r="F13" s="98"/>
      <c r="G13" s="98"/>
      <c r="T13" s="135" t="str">
        <f t="shared" si="0"/>
        <v>0000 -</v>
      </c>
      <c r="U13" s="136" t="s">
        <v>4793</v>
      </c>
      <c r="V13" s="137"/>
    </row>
    <row r="14" spans="1:22" ht="20.100000000000001" customHeight="1">
      <c r="A14" s="97"/>
      <c r="B14" s="97"/>
      <c r="C14" s="99"/>
      <c r="D14" s="100"/>
      <c r="E14" s="101"/>
      <c r="F14" s="101"/>
      <c r="G14" s="102"/>
      <c r="T14" s="135" t="str">
        <f t="shared" si="0"/>
        <v>0000 -</v>
      </c>
      <c r="U14" s="136" t="s">
        <v>4794</v>
      </c>
      <c r="V14" s="137"/>
    </row>
    <row r="15" spans="1:22" ht="20.100000000000001" customHeight="1">
      <c r="A15" s="97"/>
      <c r="B15" s="97"/>
      <c r="C15" s="103"/>
      <c r="D15" s="103"/>
      <c r="E15" s="101"/>
      <c r="F15" s="101"/>
      <c r="G15" s="102"/>
      <c r="T15" s="135" t="str">
        <f t="shared" si="0"/>
        <v>0000 -</v>
      </c>
      <c r="U15" s="136" t="s">
        <v>4795</v>
      </c>
      <c r="V15" s="137"/>
    </row>
    <row r="16" spans="1:22" ht="20.100000000000001" customHeight="1">
      <c r="A16" s="98"/>
      <c r="B16" s="98"/>
      <c r="C16" s="101"/>
      <c r="D16" s="101"/>
      <c r="E16" s="101"/>
      <c r="F16" s="101"/>
      <c r="G16" s="101"/>
      <c r="T16" s="135" t="str">
        <f t="shared" si="0"/>
        <v>0000 -</v>
      </c>
      <c r="U16" s="136" t="s">
        <v>4796</v>
      </c>
      <c r="V16" s="137"/>
    </row>
    <row r="17" spans="1:22" ht="20.100000000000001" customHeight="1">
      <c r="A17" s="97"/>
      <c r="B17" s="97"/>
      <c r="C17" s="99"/>
      <c r="D17" s="100"/>
      <c r="E17" s="101"/>
      <c r="F17" s="101"/>
      <c r="G17" s="102"/>
      <c r="T17" s="135" t="str">
        <f t="shared" si="0"/>
        <v>0000 -</v>
      </c>
      <c r="U17" s="136" t="s">
        <v>4797</v>
      </c>
      <c r="V17" s="137"/>
    </row>
    <row r="18" spans="1:22" ht="20.100000000000001" customHeight="1">
      <c r="A18" s="97"/>
      <c r="B18" s="97"/>
      <c r="C18" s="99"/>
      <c r="D18" s="100"/>
      <c r="E18" s="101"/>
      <c r="F18" s="101"/>
      <c r="G18" s="102"/>
      <c r="K18" s="94" t="s">
        <v>1345</v>
      </c>
      <c r="L18" s="270" t="s">
        <v>1867</v>
      </c>
      <c r="M18" s="270"/>
      <c r="N18" s="270"/>
      <c r="O18" s="270"/>
      <c r="P18" s="270"/>
      <c r="Q18" s="132"/>
      <c r="R18" s="132"/>
      <c r="S18" s="132"/>
      <c r="T18" s="135" t="str">
        <f t="shared" si="0"/>
        <v>0000 -</v>
      </c>
      <c r="U18" s="136" t="s">
        <v>4798</v>
      </c>
      <c r="V18" s="137"/>
    </row>
    <row r="19" spans="1:22" ht="20.100000000000001" customHeight="1">
      <c r="B19" s="97"/>
      <c r="C19" s="97"/>
      <c r="D19" s="97"/>
      <c r="E19" s="97"/>
      <c r="F19" s="97"/>
      <c r="G19" s="97"/>
      <c r="K19" s="94" t="s">
        <v>15</v>
      </c>
      <c r="L19" s="137" t="str">
        <f>VLOOKUP($L$18,'Lista de Empresa'!A:C,3,FALSE)</f>
        <v>Rua Rio Quixito, 86 -   Vila Buriti  Manaus/Amazonas</v>
      </c>
      <c r="M19" s="132"/>
      <c r="N19" s="132"/>
      <c r="O19" s="132"/>
      <c r="P19" s="132"/>
      <c r="Q19" s="132"/>
      <c r="R19" s="132"/>
      <c r="S19" s="132"/>
      <c r="T19" s="135" t="str">
        <f t="shared" si="0"/>
        <v>0000 -</v>
      </c>
      <c r="U19" s="136" t="s">
        <v>4799</v>
      </c>
      <c r="V19" s="137"/>
    </row>
    <row r="20" spans="1:22" ht="20.100000000000001" customHeight="1">
      <c r="B20" s="104"/>
      <c r="C20" s="104"/>
      <c r="D20" s="104"/>
      <c r="E20" s="104"/>
      <c r="F20" s="104"/>
      <c r="G20" s="104"/>
      <c r="K20" s="94" t="s">
        <v>1346</v>
      </c>
      <c r="L20" s="137" t="str">
        <f>IF(ISERROR(VLOOKUP(L18,'Lista de Empresa'!A:B,2,FALSE)),"",
    IF(OR(ISNUMBER(FIND(".",VLOOKUP(L18,'Lista de Empresa'!A:B,2,FALSE))),
          ISNUMBER(FIND("-",VLOOKUP(L18,'Lista de Empresa'!A:B,2,FALSE))),
          ISNUMBER(FIND("/",VLOOKUP(L18,'Lista de Empresa'!A:B,2,FALSE)))),
       VLOOKUP(L18,'Lista de Empresa'!A:B,2,FALSE),
       IF(LEN(VLOOKUP(L18,'Lista de Empresa'!A:B,2,FALSE))=11,
           TEXT(VLOOKUP(L18,'Lista de Empresa'!A:B,2,FALSE),"000\.000\.000\-00"),
           TEXT(VLOOKUP(L18,'Lista de Empresa'!A:B,2,FALSE),"00\.000\.000\/0000\-00")
       )
    )
)</f>
        <v>04.563.672/0001-66</v>
      </c>
      <c r="M20" s="132"/>
      <c r="N20" s="132"/>
      <c r="O20" s="132"/>
      <c r="P20" s="132"/>
      <c r="Q20" s="132"/>
      <c r="R20" s="132"/>
      <c r="S20" s="132"/>
      <c r="T20" s="135" t="str">
        <f t="shared" si="0"/>
        <v>0000 -</v>
      </c>
      <c r="U20" s="136" t="s">
        <v>4800</v>
      </c>
      <c r="V20" s="137"/>
    </row>
    <row r="21" spans="1:22" ht="20.100000000000001" customHeight="1">
      <c r="A21" s="104"/>
      <c r="B21" s="104"/>
      <c r="C21" s="104"/>
      <c r="D21" s="104"/>
      <c r="E21" s="104"/>
      <c r="F21" s="104"/>
      <c r="G21" s="104"/>
      <c r="T21" s="135" t="str">
        <f t="shared" si="0"/>
        <v>0000 -</v>
      </c>
      <c r="U21" s="136" t="s">
        <v>4801</v>
      </c>
      <c r="V21" s="137"/>
    </row>
    <row r="22" spans="1:22" ht="20.100000000000001" customHeight="1">
      <c r="A22" s="104"/>
      <c r="B22" s="104"/>
      <c r="C22" s="104"/>
      <c r="D22" s="104"/>
      <c r="E22" s="104"/>
      <c r="F22" s="104"/>
      <c r="G22" s="104"/>
      <c r="T22" s="135" t="str">
        <f t="shared" si="0"/>
        <v>0000 -</v>
      </c>
      <c r="U22" s="136" t="s">
        <v>4802</v>
      </c>
      <c r="V22" s="137"/>
    </row>
    <row r="23" spans="1:22" ht="20.100000000000001" customHeight="1">
      <c r="A23" s="105"/>
      <c r="B23" s="106"/>
      <c r="C23" s="106"/>
      <c r="D23" s="106"/>
      <c r="E23" s="106"/>
      <c r="F23" s="106"/>
      <c r="G23" s="106"/>
      <c r="T23" s="135" t="str">
        <f t="shared" si="0"/>
        <v>0000 -</v>
      </c>
      <c r="U23" s="136" t="s">
        <v>4803</v>
      </c>
      <c r="V23" s="137"/>
    </row>
    <row r="24" spans="1:22" ht="20.100000000000001" customHeight="1">
      <c r="A24" s="106"/>
      <c r="B24" s="106"/>
      <c r="C24" s="106"/>
      <c r="D24" s="106"/>
      <c r="E24" s="106"/>
      <c r="F24" s="106"/>
      <c r="G24" s="106"/>
      <c r="T24" s="135" t="str">
        <f t="shared" si="0"/>
        <v>0000 -</v>
      </c>
      <c r="U24" s="136" t="s">
        <v>4804</v>
      </c>
      <c r="V24" s="137"/>
    </row>
    <row r="25" spans="1:22" ht="20.100000000000001" customHeight="1">
      <c r="A25" s="107"/>
      <c r="B25" s="107"/>
      <c r="C25" s="107"/>
      <c r="D25" s="107"/>
      <c r="E25" s="107"/>
      <c r="F25" s="107"/>
      <c r="G25" s="107"/>
      <c r="T25" s="135" t="str">
        <f t="shared" si="0"/>
        <v>0000 -</v>
      </c>
      <c r="U25" s="136" t="s">
        <v>4805</v>
      </c>
      <c r="V25" s="137"/>
    </row>
    <row r="26" spans="1:22" ht="20.100000000000001" customHeight="1">
      <c r="A26" s="97"/>
      <c r="B26" s="97"/>
      <c r="C26" s="88"/>
      <c r="D26" s="88"/>
      <c r="E26" s="88"/>
      <c r="F26" s="88"/>
      <c r="G26" s="88"/>
    </row>
    <row r="27" spans="1:22" ht="20.100000000000001" customHeight="1">
      <c r="A27" s="88"/>
      <c r="B27" s="88"/>
      <c r="C27" s="88"/>
      <c r="D27" s="88"/>
      <c r="E27" s="88"/>
      <c r="F27" s="88"/>
      <c r="G27" s="88"/>
    </row>
    <row r="28" spans="1:22" ht="20.100000000000001" customHeight="1">
      <c r="A28" s="88"/>
      <c r="B28" s="88"/>
      <c r="C28" s="190" t="s">
        <v>1346</v>
      </c>
      <c r="D28" s="88"/>
      <c r="E28" s="88"/>
      <c r="F28" s="88"/>
      <c r="G28" s="88"/>
    </row>
    <row r="29" spans="1:22" ht="20.100000000000001" customHeight="1">
      <c r="A29" s="88"/>
      <c r="B29" s="88"/>
      <c r="C29" s="88"/>
      <c r="D29" s="88"/>
      <c r="E29" s="88"/>
      <c r="F29" s="88"/>
      <c r="G29" s="88"/>
    </row>
    <row r="30" spans="1:22" ht="20.100000000000001" customHeight="1">
      <c r="A30" s="88"/>
      <c r="B30" s="88"/>
      <c r="C30" s="88"/>
      <c r="D30" s="88"/>
      <c r="E30" s="88"/>
      <c r="F30" s="88"/>
      <c r="G30" s="88"/>
    </row>
    <row r="31" spans="1:22" ht="20.100000000000001" customHeight="1">
      <c r="A31" s="88"/>
      <c r="B31" s="88"/>
      <c r="C31" s="88"/>
      <c r="D31" s="88"/>
      <c r="E31" s="88"/>
      <c r="F31" s="88"/>
      <c r="G31" s="88"/>
    </row>
    <row r="32" spans="1:22" ht="20.100000000000001" customHeight="1">
      <c r="A32" s="101"/>
      <c r="B32" s="101"/>
      <c r="C32" s="101"/>
      <c r="D32" s="101"/>
      <c r="E32" s="101"/>
      <c r="F32" s="101"/>
      <c r="G32" s="101"/>
    </row>
    <row r="33" spans="1:12" ht="20.100000000000001" customHeight="1">
      <c r="A33" s="101"/>
      <c r="B33" s="101"/>
      <c r="C33" s="101"/>
      <c r="D33" s="101"/>
      <c r="E33" s="101"/>
      <c r="F33" s="101"/>
      <c r="G33" s="101"/>
    </row>
    <row r="34" spans="1:12" ht="20.100000000000001" customHeight="1">
      <c r="K34" s="94" t="s">
        <v>1347</v>
      </c>
      <c r="L34" s="137" t="s">
        <v>4784</v>
      </c>
    </row>
    <row r="35" spans="1:12" ht="20.100000000000001" customHeight="1">
      <c r="A35" s="108"/>
      <c r="B35" s="108"/>
      <c r="C35" s="108"/>
      <c r="D35" s="108"/>
      <c r="E35" s="108"/>
      <c r="F35" s="108"/>
      <c r="G35" s="108"/>
    </row>
    <row r="36" spans="1:12" ht="20.100000000000001" customHeight="1">
      <c r="C36" s="109"/>
      <c r="D36" s="109"/>
      <c r="E36" s="109"/>
    </row>
    <row r="37" spans="1:12" ht="20.100000000000001" customHeight="1">
      <c r="C37" s="109"/>
      <c r="D37" s="109"/>
      <c r="E37" s="109"/>
    </row>
    <row r="38" spans="1:12" ht="20.100000000000001" customHeight="1">
      <c r="C38" s="109"/>
      <c r="D38" s="109"/>
      <c r="E38" s="109"/>
    </row>
    <row r="39" spans="1:12" ht="20.100000000000001" customHeight="1">
      <c r="C39" s="109"/>
      <c r="D39" s="109"/>
      <c r="E39" s="109"/>
    </row>
    <row r="40" spans="1:12" ht="20.100000000000001" customHeight="1">
      <c r="C40" s="110"/>
      <c r="D40" s="110"/>
      <c r="E40" s="110"/>
    </row>
    <row r="41" spans="1:12" ht="20.100000000000001" customHeight="1">
      <c r="C41" s="101"/>
      <c r="D41" s="101"/>
      <c r="E41" s="101"/>
    </row>
    <row r="42" spans="1:12" ht="20.100000000000001" customHeight="1">
      <c r="A42" s="98"/>
      <c r="B42" s="98"/>
      <c r="C42" s="98"/>
      <c r="D42" s="98"/>
      <c r="E42" s="98"/>
      <c r="F42" s="98"/>
      <c r="G42" s="98"/>
    </row>
    <row r="43" spans="1:12" ht="20.100000000000001" customHeight="1">
      <c r="A43" s="268"/>
      <c r="B43" s="268"/>
      <c r="C43" s="268"/>
      <c r="D43" s="268"/>
      <c r="E43" s="268"/>
      <c r="F43" s="268"/>
      <c r="G43" s="268"/>
    </row>
    <row r="242" spans="1:9">
      <c r="A242" s="111"/>
      <c r="B242" s="111"/>
      <c r="G242" s="111"/>
      <c r="H242" s="111"/>
      <c r="I242" s="111"/>
    </row>
    <row r="246" spans="1:9">
      <c r="A246" s="111"/>
      <c r="B246" s="111"/>
      <c r="G246" s="111"/>
      <c r="H246" s="111"/>
      <c r="I246" s="111"/>
    </row>
  </sheetData>
  <mergeCells count="3">
    <mergeCell ref="A43:G43"/>
    <mergeCell ref="K11:L12"/>
    <mergeCell ref="L18:P18"/>
  </mergeCells>
  <printOptions horizontalCentered="1" verticalCentered="1"/>
  <pageMargins left="0" right="0" top="0" bottom="0" header="0" footer="0"/>
  <pageSetup paperSize="9" scale="92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8D283A-D15C-4F23-88B2-E88D2746BA33}">
          <x14:formula1>
            <xm:f>'Lista de Empresa'!$A$2:$A$1080</xm:f>
          </x14:formula1>
          <xm:sqref>L18:P18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2:N99"/>
  <sheetViews>
    <sheetView showGridLines="0" view="pageBreakPreview" topLeftCell="A91" zoomScaleNormal="100" zoomScaleSheetLayoutView="100" zoomScalePageLayoutView="50" workbookViewId="0">
      <selection activeCell="K54" sqref="K54"/>
    </sheetView>
  </sheetViews>
  <sheetFormatPr defaultRowHeight="20.100000000000001" customHeight="1"/>
  <cols>
    <col min="1" max="1" width="11.7109375" customWidth="1"/>
    <col min="2" max="2" width="8.28515625" customWidth="1"/>
    <col min="3" max="3" width="9.5703125" customWidth="1"/>
    <col min="4" max="4" width="10.28515625" customWidth="1"/>
    <col min="5" max="5" width="7.7109375" customWidth="1"/>
    <col min="6" max="6" width="12.28515625" customWidth="1"/>
    <col min="7" max="7" width="12.140625" customWidth="1"/>
    <col min="8" max="8" width="14.5703125" customWidth="1"/>
    <col min="9" max="9" width="18.28515625" customWidth="1"/>
    <col min="10" max="10" width="16.140625" customWidth="1"/>
    <col min="11" max="11" width="9.42578125" customWidth="1"/>
    <col min="12" max="12" width="46.42578125" customWidth="1"/>
    <col min="13" max="13" width="9.7109375" customWidth="1"/>
    <col min="14" max="14" width="11.42578125" customWidth="1"/>
    <col min="15" max="15" width="69" customWidth="1"/>
  </cols>
  <sheetData>
    <row r="2" spans="1:9" ht="20.100000000000001" customHeight="1">
      <c r="A2" s="271" t="s">
        <v>1581</v>
      </c>
      <c r="B2" s="271"/>
      <c r="C2" s="271"/>
      <c r="D2" s="271"/>
      <c r="E2" s="271"/>
      <c r="F2" s="271"/>
      <c r="G2" s="271"/>
      <c r="H2" s="271"/>
      <c r="I2" s="271"/>
    </row>
    <row r="41" spans="1:9" ht="20.100000000000001" customHeight="1">
      <c r="A41" s="271" t="s">
        <v>1582</v>
      </c>
      <c r="B41" s="271"/>
      <c r="C41" s="271"/>
      <c r="D41" s="271"/>
      <c r="E41" s="271"/>
      <c r="F41" s="271"/>
      <c r="G41" s="271"/>
      <c r="H41" s="271"/>
      <c r="I41" s="271"/>
    </row>
    <row r="81" spans="12:14" ht="20.100000000000001" customHeight="1">
      <c r="L81" s="86"/>
      <c r="M81" s="87"/>
      <c r="N81" s="87"/>
    </row>
    <row r="82" spans="12:14" ht="20.100000000000001" customHeight="1">
      <c r="L82" s="87"/>
      <c r="M82" s="87"/>
      <c r="N82" s="87"/>
    </row>
    <row r="83" spans="12:14" ht="20.100000000000001" customHeight="1">
      <c r="L83" s="87"/>
      <c r="M83" s="87"/>
      <c r="N83" s="87"/>
    </row>
    <row r="84" spans="12:14" ht="20.100000000000001" customHeight="1">
      <c r="L84" s="87"/>
      <c r="M84" s="87"/>
      <c r="N84" s="87"/>
    </row>
    <row r="85" spans="12:14" ht="20.100000000000001" customHeight="1">
      <c r="L85" s="87"/>
      <c r="M85" s="87"/>
      <c r="N85" s="87"/>
    </row>
    <row r="86" spans="12:14" ht="20.100000000000001" customHeight="1">
      <c r="L86" s="87"/>
      <c r="M86" s="87"/>
      <c r="N86" s="87"/>
    </row>
    <row r="87" spans="12:14" ht="20.100000000000001" customHeight="1">
      <c r="L87" s="87"/>
      <c r="M87" s="87"/>
      <c r="N87" s="87"/>
    </row>
    <row r="97" spans="1:9" ht="20.100000000000001" customHeight="1">
      <c r="A97" s="272" t="s">
        <v>1844</v>
      </c>
      <c r="B97" s="273"/>
      <c r="C97" s="273"/>
      <c r="D97" s="273"/>
      <c r="E97" s="273"/>
      <c r="F97" s="273"/>
      <c r="G97" s="273"/>
      <c r="H97" s="273"/>
      <c r="I97" s="273"/>
    </row>
    <row r="98" spans="1:9" ht="20.100000000000001" customHeight="1">
      <c r="A98" s="273"/>
      <c r="B98" s="273"/>
      <c r="C98" s="273"/>
      <c r="D98" s="273"/>
      <c r="E98" s="273"/>
      <c r="F98" s="273"/>
      <c r="G98" s="273"/>
      <c r="H98" s="273"/>
      <c r="I98" s="273"/>
    </row>
    <row r="99" spans="1:9" ht="20.100000000000001" customHeight="1">
      <c r="A99" s="273"/>
      <c r="B99" s="273"/>
      <c r="C99" s="273"/>
      <c r="D99" s="273"/>
      <c r="E99" s="273"/>
      <c r="F99" s="273"/>
      <c r="G99" s="273"/>
      <c r="H99" s="273"/>
      <c r="I99" s="273"/>
    </row>
  </sheetData>
  <mergeCells count="3">
    <mergeCell ref="A2:I2"/>
    <mergeCell ref="A41:I41"/>
    <mergeCell ref="A97:I99"/>
  </mergeCells>
  <printOptions horizontalCentered="1" verticalCentered="1"/>
  <pageMargins left="0.39370078740157483" right="0.19685039370078741" top="1.5748031496062993" bottom="0.59055118110236227" header="0.59055118110236227" footer="0.39370078740157483"/>
  <pageSetup paperSize="9" scale="90" orientation="portrait" r:id="rId1"/>
  <headerFooter>
    <oddHeader xml:space="preserve">&amp;L&amp;G
&amp;R&amp;G
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M82"/>
  <sheetViews>
    <sheetView tabSelected="1" view="pageBreakPreview" zoomScale="110" zoomScaleNormal="70" zoomScaleSheetLayoutView="110" workbookViewId="0">
      <selection activeCell="Q18" sqref="Q18"/>
    </sheetView>
  </sheetViews>
  <sheetFormatPr defaultColWidth="9.140625" defaultRowHeight="20.100000000000001" customHeight="1"/>
  <cols>
    <col min="1" max="1" width="24.7109375" style="1" customWidth="1"/>
    <col min="2" max="2" width="12.7109375" style="1" customWidth="1"/>
    <col min="3" max="3" width="12.140625" style="1" customWidth="1"/>
    <col min="4" max="4" width="12.7109375" style="1" customWidth="1"/>
    <col min="5" max="5" width="11.85546875" style="1" customWidth="1"/>
    <col min="6" max="6" width="12.7109375" style="1" customWidth="1"/>
    <col min="7" max="7" width="32.140625" style="1" customWidth="1"/>
    <col min="8" max="12" width="9.140625" style="1"/>
    <col min="13" max="13" width="12.42578125" style="1" customWidth="1"/>
    <col min="14" max="16384" width="9.140625" style="1"/>
  </cols>
  <sheetData>
    <row r="1" spans="1:11" ht="17.25" customHeight="1">
      <c r="A1" s="220" t="s">
        <v>1583</v>
      </c>
      <c r="B1" s="221"/>
      <c r="C1" s="221"/>
      <c r="D1" s="221"/>
      <c r="E1" s="138" t="str" cm="1">
        <f t="array" ref="E1:F1">'Capa '!T6:U6</f>
        <v>0000 -</v>
      </c>
      <c r="F1" s="139" t="str">
        <v>1 / 2026.0</v>
      </c>
      <c r="G1" s="140"/>
    </row>
    <row r="2" spans="1:11" ht="17.25" customHeight="1">
      <c r="A2" s="232" t="s">
        <v>79</v>
      </c>
      <c r="B2" s="232"/>
      <c r="C2" s="232"/>
      <c r="D2" s="232"/>
      <c r="E2" s="232"/>
      <c r="F2" s="232"/>
      <c r="G2" s="232"/>
    </row>
    <row r="3" spans="1:11" ht="17.25" customHeight="1">
      <c r="A3" s="233" t="s">
        <v>13</v>
      </c>
      <c r="B3" s="234"/>
      <c r="C3" s="234"/>
      <c r="D3" s="234"/>
      <c r="E3" s="234"/>
      <c r="F3" s="234"/>
      <c r="G3" s="235"/>
    </row>
    <row r="4" spans="1:11" ht="17.25" customHeight="1">
      <c r="A4" s="5" t="s">
        <v>14</v>
      </c>
      <c r="B4" s="236" t="str">
        <f>'Capa '!L18</f>
        <v>11342 Sociedade Fogas Ltda - Manaus</v>
      </c>
      <c r="C4" s="236"/>
      <c r="D4" s="236"/>
      <c r="E4" s="236"/>
      <c r="F4" s="236"/>
      <c r="G4" s="237"/>
    </row>
    <row r="5" spans="1:11" ht="17.25" customHeight="1">
      <c r="A5" s="6" t="s">
        <v>15</v>
      </c>
      <c r="B5" s="236" t="str">
        <f>'Capa '!L19</f>
        <v>Rua Rio Quixito, 86 -   Vila Buriti  Manaus/Amazonas</v>
      </c>
      <c r="C5" s="236"/>
      <c r="D5" s="236"/>
      <c r="E5" s="236"/>
      <c r="F5" s="236"/>
      <c r="G5" s="237"/>
    </row>
    <row r="6" spans="1:11" ht="17.25" customHeight="1">
      <c r="A6" s="7" t="s">
        <v>16</v>
      </c>
      <c r="B6" s="230" t="s">
        <v>83</v>
      </c>
      <c r="C6" s="230"/>
      <c r="D6" s="230"/>
      <c r="E6" s="230"/>
      <c r="F6" s="230"/>
      <c r="G6" s="231"/>
    </row>
    <row r="7" spans="1:11" ht="17.25" customHeight="1">
      <c r="A7" s="222" t="s">
        <v>18</v>
      </c>
      <c r="B7" s="223"/>
      <c r="C7" s="223"/>
      <c r="D7" s="223"/>
      <c r="E7" s="223"/>
      <c r="F7" s="223"/>
      <c r="G7" s="224"/>
    </row>
    <row r="8" spans="1:11" ht="17.25" customHeight="1">
      <c r="A8" s="8" t="s">
        <v>23</v>
      </c>
      <c r="B8" s="305"/>
      <c r="C8" s="305"/>
      <c r="D8" s="305"/>
      <c r="E8" s="305"/>
      <c r="F8" s="305"/>
      <c r="G8" s="306"/>
    </row>
    <row r="9" spans="1:11" ht="17.25" customHeight="1">
      <c r="A9" s="9" t="s">
        <v>19</v>
      </c>
      <c r="B9" s="307"/>
      <c r="C9" s="307"/>
      <c r="D9" s="307"/>
      <c r="E9" s="113" t="s">
        <v>22</v>
      </c>
      <c r="F9" s="309"/>
      <c r="G9" s="310"/>
    </row>
    <row r="10" spans="1:11" ht="17.25" customHeight="1">
      <c r="A10" s="23" t="s">
        <v>20</v>
      </c>
      <c r="B10" s="308"/>
      <c r="C10" s="308"/>
      <c r="D10" s="308"/>
      <c r="E10" s="80" t="s">
        <v>21</v>
      </c>
      <c r="F10" s="308"/>
      <c r="G10" s="311"/>
    </row>
    <row r="11" spans="1:11" ht="17.25" customHeight="1">
      <c r="A11" s="233" t="s">
        <v>24</v>
      </c>
      <c r="B11" s="234"/>
      <c r="C11" s="234"/>
      <c r="D11" s="234"/>
      <c r="E11" s="234"/>
      <c r="F11" s="234"/>
      <c r="G11" s="235"/>
    </row>
    <row r="12" spans="1:11" ht="17.25" customHeight="1">
      <c r="A12" s="10" t="s">
        <v>25</v>
      </c>
      <c r="B12" s="303"/>
      <c r="C12" s="304"/>
      <c r="D12" s="280" t="s">
        <v>26</v>
      </c>
      <c r="E12" s="280"/>
      <c r="F12" s="83">
        <f>$J$20</f>
        <v>16</v>
      </c>
      <c r="G12" s="24" t="s">
        <v>27</v>
      </c>
      <c r="I12" s="41" t="s">
        <v>889</v>
      </c>
      <c r="J12" s="27">
        <v>0.88888888888888884</v>
      </c>
      <c r="K12" s="22"/>
    </row>
    <row r="13" spans="1:11" ht="17.25" customHeight="1">
      <c r="A13" s="243" t="s">
        <v>884</v>
      </c>
      <c r="B13" s="244"/>
      <c r="C13" s="244"/>
      <c r="D13" s="245" t="s">
        <v>29</v>
      </c>
      <c r="E13" s="245"/>
      <c r="F13" s="312"/>
      <c r="G13" s="313"/>
      <c r="I13" s="41" t="s">
        <v>890</v>
      </c>
      <c r="J13" s="27">
        <v>0.33333333333333331</v>
      </c>
      <c r="K13" s="22"/>
    </row>
    <row r="14" spans="1:11" ht="12" customHeight="1">
      <c r="A14" s="2"/>
      <c r="B14" s="44"/>
      <c r="C14" s="44"/>
      <c r="D14" s="44"/>
      <c r="E14" s="44"/>
      <c r="F14" s="2"/>
      <c r="G14" s="2"/>
      <c r="I14" s="28"/>
      <c r="J14" s="29">
        <f>J12-J13</f>
        <v>0.55555555555555558</v>
      </c>
      <c r="K14" s="30"/>
    </row>
    <row r="15" spans="1:11" ht="20.100000000000001" customHeight="1">
      <c r="A15" s="251" t="s">
        <v>81</v>
      </c>
      <c r="B15" s="251"/>
      <c r="C15" s="251"/>
      <c r="D15" s="251"/>
      <c r="E15" s="251"/>
      <c r="F15" s="251"/>
      <c r="G15" s="251"/>
      <c r="I15" s="22"/>
      <c r="J15" s="22">
        <f>HOUR(J14)*60+MINUTE(J14)</f>
        <v>800</v>
      </c>
      <c r="K15" s="31" t="s">
        <v>891</v>
      </c>
    </row>
    <row r="16" spans="1:11" ht="17.25" customHeight="1">
      <c r="A16" s="252" t="s">
        <v>1107</v>
      </c>
      <c r="B16" s="252" t="s">
        <v>1</v>
      </c>
      <c r="C16" s="254" t="s">
        <v>2</v>
      </c>
      <c r="D16" s="254" t="s">
        <v>1111</v>
      </c>
      <c r="E16" s="254"/>
      <c r="F16" s="254" t="s">
        <v>5</v>
      </c>
      <c r="G16" s="252" t="s">
        <v>6</v>
      </c>
      <c r="I16" s="22"/>
      <c r="J16" s="32"/>
      <c r="K16" s="31"/>
    </row>
    <row r="17" spans="1:13" ht="17.25" customHeight="1">
      <c r="A17" s="253"/>
      <c r="B17" s="255"/>
      <c r="C17" s="253"/>
      <c r="D17" s="40" t="s">
        <v>3</v>
      </c>
      <c r="E17" s="40" t="s">
        <v>4</v>
      </c>
      <c r="F17" s="253"/>
      <c r="G17" s="255"/>
      <c r="I17" s="33" t="s">
        <v>1112</v>
      </c>
      <c r="J17" s="32"/>
      <c r="K17" s="31"/>
    </row>
    <row r="18" spans="1:13" ht="20.100000000000001" customHeight="1">
      <c r="A18" s="191" t="s">
        <v>198</v>
      </c>
      <c r="B18" s="256" t="str">
        <f>VLOOKUP(A18,TLV!G:O,9,FALSE)</f>
        <v>&lt; 0,011</v>
      </c>
      <c r="C18" s="288" t="str">
        <f>VLOOKUP(A18,TLV!A:C,3,FALSE)</f>
        <v>ppm</v>
      </c>
      <c r="D18" s="288">
        <f>VLOOKUP(A18,TLV!A:F,4,FALSE)</f>
        <v>0.02</v>
      </c>
      <c r="E18" s="288" t="str">
        <f>VLOOKUP(A18,TLV!A:F,5,FALSE)</f>
        <v>-</v>
      </c>
      <c r="F18" s="288" t="str">
        <f>VLOOKUP(A18,TLV!A:F,6,FALSE)</f>
        <v>-</v>
      </c>
      <c r="G18" s="285" t="str">
        <f>VLOOKUP(A18,TLV!$G:$H,2,FALSE)</f>
        <v>Síndrome mielodisplásica; Leucemia mieolóide aguda; Leucemia; Efeitos hematológicos; Dano cromossômico</v>
      </c>
      <c r="I18" s="33" t="s">
        <v>892</v>
      </c>
      <c r="J18" s="184">
        <v>0.02</v>
      </c>
      <c r="K18" s="19" t="s">
        <v>893</v>
      </c>
      <c r="L18" s="154"/>
      <c r="M18" s="185" t="s">
        <v>1525</v>
      </c>
    </row>
    <row r="19" spans="1:13" ht="20.100000000000001" customHeight="1">
      <c r="A19" s="283" t="str">
        <f>VLOOKUP($A$18,TLV!G:K,4,FALSE)</f>
        <v xml:space="preserve">Método NIOSH 1501 </v>
      </c>
      <c r="B19" s="257"/>
      <c r="C19" s="289"/>
      <c r="D19" s="289"/>
      <c r="E19" s="289"/>
      <c r="F19" s="289"/>
      <c r="G19" s="286"/>
      <c r="I19" s="33"/>
      <c r="J19" s="184"/>
      <c r="K19" s="19"/>
      <c r="L19" s="154"/>
      <c r="M19" s="154"/>
    </row>
    <row r="20" spans="1:13" ht="20.100000000000001" customHeight="1">
      <c r="A20" s="284" t="str">
        <f>VLOOKUP(A18,TLV!A:B,2,FALSE)</f>
        <v>Cód. e-Social: 01.03.001</v>
      </c>
      <c r="B20" s="258"/>
      <c r="C20" s="290"/>
      <c r="D20" s="290"/>
      <c r="E20" s="290"/>
      <c r="F20" s="290"/>
      <c r="G20" s="287"/>
      <c r="I20" s="33" t="s">
        <v>894</v>
      </c>
      <c r="J20" s="19">
        <f>J18*J15</f>
        <v>16</v>
      </c>
      <c r="K20" s="19" t="s">
        <v>27</v>
      </c>
      <c r="L20" s="154"/>
      <c r="M20" s="185" t="s">
        <v>1139</v>
      </c>
    </row>
    <row r="21" spans="1:13" ht="20.25" customHeight="1">
      <c r="A21" s="46" t="s">
        <v>836</v>
      </c>
      <c r="B21" s="256" t="str">
        <f>VLOOKUP(A21,TLV!G:O,9,FALSE)</f>
        <v>&lt; 0,003</v>
      </c>
      <c r="C21" s="259" t="str">
        <f>VLOOKUP(A21,TLV!A:C,3,FALSE)</f>
        <v>ppm</v>
      </c>
      <c r="D21" s="259">
        <f>VLOOKUP(A21,TLV!A:F,4,FALSE)</f>
        <v>20</v>
      </c>
      <c r="E21" s="259" t="str">
        <f>VLOOKUP(A21,TLV!A:F,5,FALSE)</f>
        <v>-</v>
      </c>
      <c r="F21" s="259">
        <f>VLOOKUP(A21,TLV!A:F,6,FALSE)</f>
        <v>78</v>
      </c>
      <c r="G21" s="248" t="str">
        <f>VLOOKUP(A21,TLV!$G:$H,2,FALSE)</f>
        <v>Danos no sistema nervoso central; Danos auditivos; Comprometimento da visão; Dano reprodutivo feminino; Aborto</v>
      </c>
    </row>
    <row r="22" spans="1:13" ht="20.25" customHeight="1">
      <c r="A22" s="19" t="str">
        <f>VLOOKUP($A$21,TLV!G:K,4,FALSE)</f>
        <v xml:space="preserve">Método NIOSH 1501 </v>
      </c>
      <c r="B22" s="257"/>
      <c r="C22" s="260"/>
      <c r="D22" s="260"/>
      <c r="E22" s="260"/>
      <c r="F22" s="260"/>
      <c r="G22" s="249"/>
    </row>
    <row r="23" spans="1:13" ht="20.25" customHeight="1">
      <c r="A23" s="47" t="str">
        <f>VLOOKUP(A21,TLV!A:B,2,FALSE)</f>
        <v>Cód. e-Social: 01.03.001</v>
      </c>
      <c r="B23" s="258"/>
      <c r="C23" s="261"/>
      <c r="D23" s="261"/>
      <c r="E23" s="261"/>
      <c r="F23" s="261"/>
      <c r="G23" s="250"/>
    </row>
    <row r="24" spans="1:13" ht="30" customHeight="1">
      <c r="A24" s="291" t="s">
        <v>870</v>
      </c>
      <c r="B24" s="292" t="str">
        <f>VLOOKUP(A24,TLV!G:O,9,FALSE)</f>
        <v>&lt; 0,003</v>
      </c>
      <c r="C24" s="293" t="str">
        <f>VLOOKUP(A24,TLV!A:C,3,FALSE)</f>
        <v>ppm</v>
      </c>
      <c r="D24" s="293">
        <f>VLOOKUP(A24,TLV!A:F,4,FALSE)</f>
        <v>20</v>
      </c>
      <c r="E24" s="293" t="str">
        <f>VLOOKUP(A24,TLV!A:F,5,FALSE)</f>
        <v>-</v>
      </c>
      <c r="F24" s="293">
        <f>VLOOKUP(A24,TLV!A:F,6,FALSE)</f>
        <v>78</v>
      </c>
      <c r="G24" s="294" t="str">
        <f>VLOOKUP(A24,TLV!$G:$H,2,FALSE)</f>
        <v>Irritações no TRS; Irritações nos olhos; Efeitos hematológicos; Ototoxicidade - apenas para o para-xileno e misturas contendo para-xileno; Comprometimento do SNC</v>
      </c>
    </row>
    <row r="25" spans="1:13" ht="30" customHeight="1">
      <c r="A25" s="295" t="str">
        <f>VLOOKUP($A$24,TLV!G:K,4,FALSE)</f>
        <v xml:space="preserve">Método NIOSH 1501 </v>
      </c>
      <c r="B25" s="296"/>
      <c r="C25" s="297"/>
      <c r="D25" s="297"/>
      <c r="E25" s="297"/>
      <c r="F25" s="297"/>
      <c r="G25" s="298"/>
    </row>
    <row r="26" spans="1:13" ht="30" customHeight="1">
      <c r="A26" s="299" t="str">
        <f>VLOOKUP(A24,TLV!A:B,2,FALSE)</f>
        <v>Cód. e-Social: 01.03.001</v>
      </c>
      <c r="B26" s="300"/>
      <c r="C26" s="301"/>
      <c r="D26" s="301"/>
      <c r="E26" s="301"/>
      <c r="F26" s="301"/>
      <c r="G26" s="302"/>
    </row>
    <row r="27" spans="1:13" ht="20.100000000000001" customHeight="1">
      <c r="A27" s="46" t="s">
        <v>350</v>
      </c>
      <c r="B27" s="256" t="str">
        <f>VLOOKUP(A27,TLV!G:O,9,FALSE)</f>
        <v>&lt; 0,007</v>
      </c>
      <c r="C27" s="259" t="str">
        <f>VLOOKUP(A27,TLV!A:C,3,FALSE)</f>
        <v>ppm</v>
      </c>
      <c r="D27" s="259">
        <f>VLOOKUP(A27,TLV!A:F,4,FALSE)</f>
        <v>5</v>
      </c>
      <c r="E27" s="259" t="str">
        <f>VLOOKUP(A27,TLV!A:F,5,FALSE)</f>
        <v>-</v>
      </c>
      <c r="F27" s="259">
        <f>VLOOKUP(A27,TLV!A:F,6,FALSE)</f>
        <v>39</v>
      </c>
      <c r="G27" s="248" t="str">
        <f>VLOOKUP(A27,TLV!$G:$H,2,FALSE)</f>
        <v>Adenoma TRS; efeito neurológico</v>
      </c>
    </row>
    <row r="28" spans="1:13" ht="20.100000000000001" customHeight="1">
      <c r="A28" s="19" t="str">
        <f>VLOOKUP($A$27,TLV!G:K,4,FALSE)</f>
        <v>Método NIOSH 1501</v>
      </c>
      <c r="B28" s="257"/>
      <c r="C28" s="260"/>
      <c r="D28" s="260"/>
      <c r="E28" s="260"/>
      <c r="F28" s="260"/>
      <c r="G28" s="249"/>
    </row>
    <row r="29" spans="1:13" ht="20.100000000000001" customHeight="1">
      <c r="A29" s="47" t="str">
        <f>VLOOKUP(A27,TLV!A:B,2,FALSE)</f>
        <v>Cód. e-Social: 01.03.001</v>
      </c>
      <c r="B29" s="258"/>
      <c r="C29" s="261"/>
      <c r="D29" s="261"/>
      <c r="E29" s="261"/>
      <c r="F29" s="261"/>
      <c r="G29" s="250"/>
    </row>
    <row r="30" spans="1:13" ht="24" customHeight="1">
      <c r="A30" s="46" t="s">
        <v>452</v>
      </c>
      <c r="B30" s="256" t="str">
        <f>VLOOKUP(A30,TLV!G:O,9,FALSE)</f>
        <v>&lt; 0,004</v>
      </c>
      <c r="C30" s="259" t="str">
        <f>VLOOKUP(A30,TLV!A:C,3,FALSE)</f>
        <v>ppm</v>
      </c>
      <c r="D30" s="259">
        <f>VLOOKUP(A30,TLV!A:F,4,FALSE)</f>
        <v>10</v>
      </c>
      <c r="E30" s="259">
        <f>VLOOKUP(A30,TLV!A:F,5,FALSE)</f>
        <v>20</v>
      </c>
      <c r="F30" s="259">
        <f>VLOOKUP(A30,TLV!A:F,6,FALSE)</f>
        <v>78</v>
      </c>
      <c r="G30" s="248" t="str">
        <f>VLOOKUP(A30,TLV!$G:$H,2,FALSE)</f>
        <v>Comprometimento do SNC; Comprometimento do sistema auditivo; Irritações no TRS; Neuropatia periférica; Desordens visuais</v>
      </c>
    </row>
    <row r="31" spans="1:13" ht="24" customHeight="1">
      <c r="A31" s="19" t="str">
        <f>VLOOKUP($A$27,TLV!G:K,4,FALSE)</f>
        <v>Método NIOSH 1501</v>
      </c>
      <c r="B31" s="257"/>
      <c r="C31" s="260"/>
      <c r="D31" s="260"/>
      <c r="E31" s="260"/>
      <c r="F31" s="260"/>
      <c r="G31" s="249"/>
    </row>
    <row r="32" spans="1:13" ht="24" customHeight="1">
      <c r="A32" s="47" t="str">
        <f>VLOOKUP(A30,TLV!A:B,2,FALSE)</f>
        <v>Cód. e-Social: 01.03.002</v>
      </c>
      <c r="B32" s="258"/>
      <c r="C32" s="261"/>
      <c r="D32" s="261"/>
      <c r="E32" s="261"/>
      <c r="F32" s="261"/>
      <c r="G32" s="250"/>
    </row>
    <row r="33" spans="1:7" ht="25.5" customHeight="1">
      <c r="A33" s="46" t="s">
        <v>486</v>
      </c>
      <c r="B33" s="256" t="str">
        <f>VLOOKUP(A33,TLV!G:O,9,FALSE)</f>
        <v>&lt; 0,001</v>
      </c>
      <c r="C33" s="259" t="str">
        <f>VLOOKUP(A33,TLV!A:C,3,FALSE)</f>
        <v>ppm</v>
      </c>
      <c r="D33" s="259">
        <f>VLOOKUP(A33,TLV!A:F,4,FALSE)</f>
        <v>20</v>
      </c>
      <c r="E33" s="259" t="str">
        <f>VLOOKUP(A33,TLV!A:F,5,FALSE)</f>
        <v>-</v>
      </c>
      <c r="F33" s="259">
        <f>VLOOKUP(A33,TLV!A:F,6,FALSE)</f>
        <v>78</v>
      </c>
      <c r="G33" s="248" t="str">
        <f>VLOOKUP(A33,TLV!$G:$H,2,FALSE)</f>
        <v>Irritações no TRS; Irritações nos olhos; Danos nos rins (nefrotoxicidade); Comprometimento do SNC; Ototoxicidade</v>
      </c>
    </row>
    <row r="34" spans="1:7" ht="25.5" customHeight="1">
      <c r="A34" s="19" t="str">
        <f>VLOOKUP($A$27,TLV!G:K,4,FALSE)</f>
        <v>Método NIOSH 1501</v>
      </c>
      <c r="B34" s="257"/>
      <c r="C34" s="260"/>
      <c r="D34" s="260"/>
      <c r="E34" s="260"/>
      <c r="F34" s="260"/>
      <c r="G34" s="249"/>
    </row>
    <row r="35" spans="1:7" ht="25.5" customHeight="1">
      <c r="A35" s="47" t="str">
        <f>VLOOKUP(A33,TLV!A:B,2,FALSE)</f>
        <v>Cód. e-Social: 01.19.035</v>
      </c>
      <c r="B35" s="258"/>
      <c r="C35" s="261"/>
      <c r="D35" s="261"/>
      <c r="E35" s="261"/>
      <c r="F35" s="261"/>
      <c r="G35" s="250"/>
    </row>
    <row r="36" spans="1:7" ht="20.100000000000001" customHeight="1">
      <c r="A36" s="46" t="s">
        <v>1450</v>
      </c>
      <c r="B36" s="256" t="str">
        <f>VLOOKUP(A36,TLV!G:O,9,FALSE)</f>
        <v>&lt; 0,003</v>
      </c>
      <c r="C36" s="259" t="str">
        <f>VLOOKUP(A36,TLV!A:C,3,FALSE)</f>
        <v>ppm</v>
      </c>
      <c r="D36" s="259">
        <f>VLOOKUP(A36,TLV!A:F,4,FALSE)</f>
        <v>10</v>
      </c>
      <c r="E36" s="259" t="str">
        <f>VLOOKUP(A36,TLV!A:F,5,FALSE)</f>
        <v>-</v>
      </c>
      <c r="F36" s="259" t="str">
        <f>VLOOKUP(A36,TLV!A:F,6,FALSE)</f>
        <v>-</v>
      </c>
      <c r="G36" s="248" t="str">
        <f>VLOOKUP(A36,TLV!$G:$H,2,FALSE)</f>
        <v>Danos TRS e pulmão</v>
      </c>
    </row>
    <row r="37" spans="1:7" ht="20.100000000000001" customHeight="1">
      <c r="A37" s="19" t="str">
        <f>VLOOKUP($A$27,TLV!G:K,4,FALSE)</f>
        <v>Método NIOSH 1501</v>
      </c>
      <c r="B37" s="257"/>
      <c r="C37" s="260"/>
      <c r="D37" s="260"/>
      <c r="E37" s="260"/>
      <c r="F37" s="260"/>
      <c r="G37" s="249"/>
    </row>
    <row r="38" spans="1:7" ht="20.100000000000001" customHeight="1">
      <c r="A38" s="47" t="str">
        <f>VLOOKUP(A36,TLV!A:B,2,FALSE)</f>
        <v>Cód. e-Social: N. C.</v>
      </c>
      <c r="B38" s="258"/>
      <c r="C38" s="261"/>
      <c r="D38" s="261"/>
      <c r="E38" s="261"/>
      <c r="F38" s="261"/>
      <c r="G38" s="250"/>
    </row>
    <row r="39" spans="1:7" ht="20.100000000000001" customHeight="1">
      <c r="A39" s="46" t="s">
        <v>1460</v>
      </c>
      <c r="B39" s="275" t="str">
        <f>VLOOKUP(A39,TLV!G:O,9,FALSE)</f>
        <v>&lt; 0,003</v>
      </c>
      <c r="C39" s="259" t="str">
        <f>VLOOKUP(A39,TLV!A:C,3,FALSE)</f>
        <v>ppm</v>
      </c>
      <c r="D39" s="259">
        <f>VLOOKUP(A39,TLV!A:F,4,FALSE)</f>
        <v>10</v>
      </c>
      <c r="E39" s="259" t="str">
        <f>VLOOKUP(A39,TLV!A:F,5,FALSE)</f>
        <v>-</v>
      </c>
      <c r="F39" s="259" t="str">
        <f>VLOOKUP(A39,TLV!A:F,6,FALSE)</f>
        <v>-</v>
      </c>
      <c r="G39" s="248" t="str">
        <f>VLOOKUP(A39,TLV!$G:$H,2,FALSE)</f>
        <v>Irritações no TRS;
Danos nos rins;
Dano reprodutivo feminino</v>
      </c>
    </row>
    <row r="40" spans="1:7" ht="20.100000000000001" customHeight="1">
      <c r="A40" s="19" t="str">
        <f>VLOOKUP($A$27,TLV!G:K,4,FALSE)</f>
        <v>Método NIOSH 1501</v>
      </c>
      <c r="B40" s="276"/>
      <c r="C40" s="260"/>
      <c r="D40" s="260"/>
      <c r="E40" s="260"/>
      <c r="F40" s="260"/>
      <c r="G40" s="249"/>
    </row>
    <row r="41" spans="1:7" ht="20.100000000000001" customHeight="1">
      <c r="A41" s="47" t="str">
        <f>VLOOKUP(A39,TLV!A:B,2,FALSE)</f>
        <v>Cód. e-Social: 01.03.001</v>
      </c>
      <c r="B41" s="277"/>
      <c r="C41" s="261"/>
      <c r="D41" s="261"/>
      <c r="E41" s="261"/>
      <c r="F41" s="261"/>
      <c r="G41" s="250"/>
    </row>
    <row r="42" spans="1:7" ht="20.100000000000001" customHeight="1">
      <c r="A42" s="220" t="s">
        <v>1583</v>
      </c>
      <c r="B42" s="221"/>
      <c r="C42" s="221"/>
      <c r="D42" s="221"/>
      <c r="E42" s="138" t="str">
        <f>E1</f>
        <v>0000 -</v>
      </c>
      <c r="F42" s="139" t="str">
        <f>F1</f>
        <v>1 / 2026.0</v>
      </c>
      <c r="G42" s="140"/>
    </row>
    <row r="43" spans="1:7" ht="20.100000000000001" customHeight="1">
      <c r="A43" s="278" t="s">
        <v>80</v>
      </c>
      <c r="B43" s="232"/>
      <c r="C43" s="232"/>
      <c r="D43" s="232"/>
      <c r="E43" s="232"/>
      <c r="F43" s="232"/>
      <c r="G43" s="279"/>
    </row>
    <row r="44" spans="1:7" ht="20.100000000000001" customHeight="1">
      <c r="A44" s="82"/>
      <c r="B44" s="82"/>
      <c r="C44" s="82"/>
      <c r="D44" s="82"/>
      <c r="E44" s="82"/>
      <c r="F44" s="82"/>
      <c r="G44" s="82"/>
    </row>
    <row r="45" spans="1:7" s="3" customFormat="1" ht="20.100000000000001" customHeight="1">
      <c r="A45" s="4" t="s">
        <v>12</v>
      </c>
    </row>
    <row r="46" spans="1:7" s="3" customFormat="1" ht="20.100000000000001" customHeight="1">
      <c r="A46" s="262" t="s">
        <v>1462</v>
      </c>
      <c r="B46" s="262"/>
      <c r="C46" s="262"/>
      <c r="D46" s="262"/>
      <c r="E46" s="262"/>
      <c r="F46" s="262"/>
      <c r="G46" s="262"/>
    </row>
    <row r="47" spans="1:7" s="3" customFormat="1" ht="20.100000000000001" customHeight="1">
      <c r="A47" s="262" t="s">
        <v>1463</v>
      </c>
      <c r="B47" s="262"/>
      <c r="C47" s="262"/>
      <c r="D47" s="262"/>
      <c r="E47" s="262"/>
      <c r="F47" s="262"/>
      <c r="G47" s="262"/>
    </row>
    <row r="48" spans="1:7" s="3" customFormat="1" ht="20.100000000000001" customHeight="1">
      <c r="A48" s="262" t="s">
        <v>1348</v>
      </c>
      <c r="B48" s="262"/>
    </row>
    <row r="49" spans="1:7" s="3" customFormat="1" ht="20.100000000000001" customHeight="1">
      <c r="A49" s="3" t="s">
        <v>4774</v>
      </c>
    </row>
    <row r="50" spans="1:7" s="3" customFormat="1" ht="20.100000000000001" customHeight="1"/>
    <row r="51" spans="1:7" s="3" customFormat="1" ht="20.100000000000001" customHeight="1">
      <c r="A51" s="75" t="s">
        <v>31</v>
      </c>
    </row>
    <row r="52" spans="1:7" s="3" customFormat="1" ht="20.100000000000001" customHeight="1">
      <c r="A52" s="262" t="s">
        <v>1466</v>
      </c>
      <c r="B52" s="263"/>
      <c r="C52" s="263"/>
      <c r="D52" s="263"/>
      <c r="E52" s="263"/>
      <c r="F52" s="263"/>
      <c r="G52" s="263"/>
    </row>
    <row r="53" spans="1:7" s="3" customFormat="1" ht="20.100000000000001" customHeight="1">
      <c r="A53" s="262" t="s">
        <v>1842</v>
      </c>
      <c r="B53" s="262"/>
      <c r="C53" s="262"/>
      <c r="D53" s="262"/>
      <c r="E53" s="262"/>
      <c r="F53" s="262"/>
      <c r="G53" s="262"/>
    </row>
    <row r="54" spans="1:7" s="3" customFormat="1" ht="20.100000000000001" customHeight="1">
      <c r="A54" s="262" t="s">
        <v>1302</v>
      </c>
      <c r="B54" s="263"/>
      <c r="C54" s="263"/>
      <c r="D54" s="263"/>
      <c r="E54" s="263"/>
      <c r="F54" s="263"/>
      <c r="G54" s="263"/>
    </row>
    <row r="55" spans="1:7" s="3" customFormat="1" ht="20.100000000000001" customHeight="1">
      <c r="A55" s="262"/>
      <c r="B55" s="263"/>
      <c r="C55" s="263"/>
      <c r="D55" s="263"/>
      <c r="E55" s="263"/>
      <c r="F55" s="263"/>
      <c r="G55" s="263"/>
    </row>
    <row r="56" spans="1:7" ht="20.100000000000001" customHeight="1">
      <c r="A56" s="19"/>
      <c r="B56" s="73"/>
      <c r="C56" s="19"/>
      <c r="D56" s="19"/>
      <c r="E56" s="19"/>
      <c r="F56" s="19"/>
      <c r="G56" s="74"/>
    </row>
    <row r="57" spans="1:7" ht="20.100000000000001" customHeight="1">
      <c r="A57" s="282" t="s">
        <v>1352</v>
      </c>
      <c r="B57" s="282"/>
      <c r="C57" s="282"/>
      <c r="D57" s="282"/>
      <c r="E57" s="282"/>
      <c r="F57" s="282"/>
      <c r="G57" s="82"/>
    </row>
    <row r="58" spans="1:7" ht="20.100000000000001" customHeight="1">
      <c r="A58" s="227" t="str">
        <f>VLOOKUP($A$18,TLV!G:K,3,FALSE)</f>
        <v>Tubo de Carvão Ativado</v>
      </c>
      <c r="B58" s="227"/>
      <c r="C58" s="227"/>
      <c r="D58" s="17"/>
      <c r="E58" s="17"/>
      <c r="F58" s="17"/>
      <c r="G58" s="82"/>
    </row>
    <row r="59" spans="1:7" ht="20.100000000000001" customHeight="1">
      <c r="A59" s="249"/>
      <c r="B59" s="249"/>
      <c r="C59" s="249"/>
      <c r="D59" s="249"/>
      <c r="E59" s="249"/>
      <c r="F59" s="249"/>
      <c r="G59" s="19"/>
    </row>
    <row r="60" spans="1:7" s="3" customFormat="1" ht="20.100000000000001" customHeight="1">
      <c r="A60" s="282" t="s">
        <v>28</v>
      </c>
      <c r="B60" s="282"/>
      <c r="C60" s="20">
        <v>1</v>
      </c>
      <c r="D60" s="2"/>
      <c r="E60" s="2"/>
      <c r="F60" s="2"/>
      <c r="G60" s="2"/>
    </row>
    <row r="61" spans="1:7" s="3" customFormat="1" ht="20.100000000000001" customHeight="1">
      <c r="A61" s="112" t="str">
        <f>VLOOKUP($A$18,TLV!G:K,5,FALSE)</f>
        <v>Cromatografia</v>
      </c>
      <c r="B61" s="78"/>
      <c r="C61" s="20"/>
      <c r="D61" s="2"/>
      <c r="E61" s="2"/>
      <c r="F61" s="2"/>
      <c r="G61" s="2"/>
    </row>
    <row r="62" spans="1:7" s="3" customFormat="1" ht="20.100000000000001" customHeight="1">
      <c r="A62" s="81"/>
      <c r="B62" s="81"/>
      <c r="C62" s="81"/>
      <c r="D62" s="81"/>
      <c r="E62" s="81"/>
      <c r="F62" s="81"/>
      <c r="G62" s="2"/>
    </row>
    <row r="63" spans="1:7" s="3" customFormat="1" ht="20.100000000000001" customHeight="1">
      <c r="A63" s="11" t="s">
        <v>32</v>
      </c>
      <c r="B63" s="2"/>
      <c r="C63" s="2"/>
      <c r="D63" s="2"/>
      <c r="E63" s="2"/>
      <c r="F63" s="2"/>
      <c r="G63" s="2"/>
    </row>
    <row r="64" spans="1:7" s="3" customFormat="1" ht="20.100000000000001" customHeight="1">
      <c r="A64" s="228" t="s">
        <v>33</v>
      </c>
      <c r="B64" s="263"/>
      <c r="C64" s="263"/>
      <c r="D64" s="263"/>
      <c r="E64" s="263"/>
      <c r="F64" s="263"/>
      <c r="G64" s="263"/>
    </row>
    <row r="65" spans="1:7" s="3" customFormat="1" ht="20.100000000000001" customHeight="1">
      <c r="A65" s="228" t="s">
        <v>84</v>
      </c>
      <c r="B65" s="228"/>
      <c r="C65" s="228"/>
      <c r="D65" s="228"/>
      <c r="E65" s="228"/>
      <c r="F65" s="44"/>
      <c r="G65" s="44"/>
    </row>
    <row r="66" spans="1:7" s="3" customFormat="1" ht="20.100000000000001" customHeight="1">
      <c r="A66" s="228" t="s">
        <v>85</v>
      </c>
      <c r="B66" s="228"/>
      <c r="C66" s="228"/>
      <c r="D66" s="44"/>
      <c r="E66" s="44"/>
      <c r="F66" s="44"/>
      <c r="G66" s="44"/>
    </row>
    <row r="67" spans="1:7" s="3" customFormat="1" ht="20.100000000000001" customHeight="1">
      <c r="A67" s="228" t="s">
        <v>34</v>
      </c>
      <c r="B67" s="228"/>
      <c r="C67" s="228"/>
      <c r="D67" s="228"/>
      <c r="E67" s="228"/>
      <c r="F67" s="228"/>
      <c r="G67" s="228"/>
    </row>
    <row r="68" spans="1:7" s="3" customFormat="1" ht="20.100000000000001" customHeight="1">
      <c r="A68" s="228" t="s">
        <v>1533</v>
      </c>
      <c r="B68" s="228"/>
      <c r="C68" s="228"/>
      <c r="D68" s="228"/>
      <c r="E68" s="228"/>
      <c r="F68" s="228"/>
      <c r="G68" s="228"/>
    </row>
    <row r="69" spans="1:7" ht="20.100000000000001" customHeight="1">
      <c r="A69" s="2"/>
      <c r="B69" s="2"/>
      <c r="C69" s="2"/>
      <c r="D69" s="2"/>
      <c r="E69" s="2"/>
      <c r="F69" s="2"/>
      <c r="G69" s="2"/>
    </row>
    <row r="70" spans="1:7" ht="20.100000000000001" customHeight="1">
      <c r="A70" s="11" t="s">
        <v>35</v>
      </c>
      <c r="B70" s="2"/>
      <c r="C70" s="2"/>
      <c r="D70" s="2"/>
      <c r="E70" s="2"/>
      <c r="F70" s="2"/>
      <c r="G70" s="2"/>
    </row>
    <row r="71" spans="1:7" ht="20.100000000000001" customHeight="1">
      <c r="A71" s="274" t="s">
        <v>1103</v>
      </c>
      <c r="B71" s="274"/>
      <c r="C71" s="274"/>
      <c r="D71" s="274"/>
      <c r="E71" s="274"/>
      <c r="F71" s="274"/>
      <c r="G71" s="274"/>
    </row>
    <row r="72" spans="1:7" ht="20.100000000000001" customHeight="1">
      <c r="A72" s="274"/>
      <c r="B72" s="274"/>
      <c r="C72" s="274"/>
      <c r="D72" s="274"/>
      <c r="E72" s="274"/>
      <c r="F72" s="274"/>
      <c r="G72" s="274"/>
    </row>
    <row r="73" spans="1:7" ht="20.100000000000001" customHeight="1">
      <c r="A73" s="274"/>
      <c r="B73" s="274"/>
      <c r="C73" s="274"/>
      <c r="D73" s="274"/>
      <c r="E73" s="274"/>
      <c r="F73" s="274"/>
      <c r="G73" s="274"/>
    </row>
    <row r="76" spans="1:7" ht="20.100000000000001" customHeight="1">
      <c r="A76" s="85"/>
      <c r="B76" s="85"/>
      <c r="C76" s="84" t="s">
        <v>1328</v>
      </c>
      <c r="D76" s="265" t="str">
        <f>'Capa '!M12</f>
        <v>01 de janeiro de 2026.</v>
      </c>
      <c r="E76" s="265"/>
      <c r="F76" s="265"/>
      <c r="G76" s="85"/>
    </row>
    <row r="77" spans="1:7" ht="20.100000000000001" customHeight="1">
      <c r="C77" s="39"/>
      <c r="D77" s="39"/>
      <c r="E77" s="39"/>
    </row>
    <row r="78" spans="1:7" ht="20.100000000000001" customHeight="1">
      <c r="C78" s="39"/>
      <c r="D78" s="39"/>
      <c r="E78" s="39"/>
    </row>
    <row r="79" spans="1:7" ht="20.100000000000001" customHeight="1">
      <c r="C79" s="18"/>
      <c r="D79" s="18"/>
      <c r="E79" s="18"/>
    </row>
    <row r="80" spans="1:7" ht="20.100000000000001" customHeight="1">
      <c r="C80" s="38"/>
      <c r="D80" s="38"/>
      <c r="E80" s="38"/>
    </row>
    <row r="81" spans="3:5" ht="20.100000000000001" customHeight="1">
      <c r="C81" s="38"/>
      <c r="D81" s="38"/>
      <c r="E81" s="38"/>
    </row>
    <row r="82" spans="3:5" ht="20.100000000000001" customHeight="1">
      <c r="C82" s="38"/>
      <c r="D82" s="38"/>
      <c r="E82" s="38"/>
    </row>
  </sheetData>
  <mergeCells count="93">
    <mergeCell ref="B4:G4"/>
    <mergeCell ref="B5:G5"/>
    <mergeCell ref="A1:D1"/>
    <mergeCell ref="A11:G11"/>
    <mergeCell ref="B12:C12"/>
    <mergeCell ref="D12:E12"/>
    <mergeCell ref="B6:G6"/>
    <mergeCell ref="A2:G2"/>
    <mergeCell ref="A3:G3"/>
    <mergeCell ref="A13:C13"/>
    <mergeCell ref="D13:E13"/>
    <mergeCell ref="F13:G13"/>
    <mergeCell ref="A7:G7"/>
    <mergeCell ref="B8:G8"/>
    <mergeCell ref="B9:D9"/>
    <mergeCell ref="F9:G9"/>
    <mergeCell ref="B10:D10"/>
    <mergeCell ref="F10:G10"/>
    <mergeCell ref="G18:G20"/>
    <mergeCell ref="A15:G15"/>
    <mergeCell ref="A16:A17"/>
    <mergeCell ref="C16:C17"/>
    <mergeCell ref="D16:E16"/>
    <mergeCell ref="F16:F17"/>
    <mergeCell ref="G16:G17"/>
    <mergeCell ref="B18:B20"/>
    <mergeCell ref="C18:C20"/>
    <mergeCell ref="D18:D20"/>
    <mergeCell ref="E18:E20"/>
    <mergeCell ref="F18:F20"/>
    <mergeCell ref="B16:B17"/>
    <mergeCell ref="G24:G26"/>
    <mergeCell ref="B21:B23"/>
    <mergeCell ref="C21:C23"/>
    <mergeCell ref="D21:D23"/>
    <mergeCell ref="E21:E23"/>
    <mergeCell ref="F21:F23"/>
    <mergeCell ref="G21:G23"/>
    <mergeCell ref="B24:B26"/>
    <mergeCell ref="C24:C26"/>
    <mergeCell ref="D24:D26"/>
    <mergeCell ref="E24:E26"/>
    <mergeCell ref="F24:F26"/>
    <mergeCell ref="G30:G32"/>
    <mergeCell ref="B27:B29"/>
    <mergeCell ref="C27:C29"/>
    <mergeCell ref="D27:D29"/>
    <mergeCell ref="E27:E29"/>
    <mergeCell ref="F27:F29"/>
    <mergeCell ref="G27:G29"/>
    <mergeCell ref="B30:B32"/>
    <mergeCell ref="C30:C32"/>
    <mergeCell ref="D30:D32"/>
    <mergeCell ref="E30:E32"/>
    <mergeCell ref="F30:F32"/>
    <mergeCell ref="G33:G35"/>
    <mergeCell ref="A43:G43"/>
    <mergeCell ref="B36:B38"/>
    <mergeCell ref="C36:C38"/>
    <mergeCell ref="D36:D38"/>
    <mergeCell ref="E36:E38"/>
    <mergeCell ref="F36:F38"/>
    <mergeCell ref="G36:G38"/>
    <mergeCell ref="B33:B35"/>
    <mergeCell ref="C33:C35"/>
    <mergeCell ref="D33:D35"/>
    <mergeCell ref="E33:E35"/>
    <mergeCell ref="F33:F35"/>
    <mergeCell ref="A42:D42"/>
    <mergeCell ref="A52:G52"/>
    <mergeCell ref="A53:G53"/>
    <mergeCell ref="A54:G54"/>
    <mergeCell ref="B39:B41"/>
    <mergeCell ref="C39:C41"/>
    <mergeCell ref="D39:D41"/>
    <mergeCell ref="E39:E41"/>
    <mergeCell ref="F39:F41"/>
    <mergeCell ref="G39:G41"/>
    <mergeCell ref="A46:G46"/>
    <mergeCell ref="A47:G47"/>
    <mergeCell ref="A48:B48"/>
    <mergeCell ref="D76:F76"/>
    <mergeCell ref="A55:G55"/>
    <mergeCell ref="A57:F57"/>
    <mergeCell ref="A58:C58"/>
    <mergeCell ref="A59:F59"/>
    <mergeCell ref="A60:B60"/>
    <mergeCell ref="A64:G64"/>
    <mergeCell ref="A65:E65"/>
    <mergeCell ref="A66:C66"/>
    <mergeCell ref="A67:G67"/>
    <mergeCell ref="A68:G68"/>
    <mergeCell ref="A71:G73"/>
  </mergeCells>
  <dataValidations count="3">
    <dataValidation type="list" allowBlank="1" showInputMessage="1" showErrorMessage="1" sqref="A59:F59" xr:uid="{00000000-0002-0000-0200-000000000000}">
      <formula1>"Bomba Gravimétrica com Impinger, Bomba Gravimétrica com Balão de Tedlar 5L, Analisador de Gases Portátil provenientes da Combustão, Bomba Gravimétrica com K7 e Filtro de MCE e Tubo de Sílica Gel"</formula1>
    </dataValidation>
    <dataValidation type="list" allowBlank="1" showInputMessage="1" showErrorMessage="1" sqref="A62" xr:uid="{00000000-0002-0000-0200-000001000000}">
      <formula1>"Cromatografia, Cromatografia e Espectrofotometria, Medição Direta, Espectrofotometria e Gravimetria, Espectrofotometria, Espectrofotometria e Complexometria, Gravimetria"</formula1>
    </dataValidation>
    <dataValidation type="list" allowBlank="1" showInputMessage="1" showErrorMessage="1" sqref="F13:G13" xr:uid="{00000000-0002-0000-0200-000002000000}">
      <formula1>"Alexandre Moura, Engº Arimar Neves Neto, Diogo dos Santos, Willian de Moraes, Emanuelle de Menezes, Yuri Fonseca"</formula1>
    </dataValidation>
  </dataValidations>
  <printOptions horizontalCentered="1" verticalCentered="1"/>
  <pageMargins left="0.39370078740157483" right="0.39370078740157483" top="1.5748031496062993" bottom="0.98425196850393704" header="0.31496062992125984" footer="0.31496062992125984"/>
  <pageSetup paperSize="9" scale="80" fitToHeight="0" orientation="portrait" horizontalDpi="360" verticalDpi="360" r:id="rId1"/>
  <headerFooter>
    <oddHeader>&amp;L&amp;G&amp;R&amp;G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38"/>
  <sheetViews>
    <sheetView view="pageBreakPreview" zoomScaleNormal="70" zoomScaleSheetLayoutView="100" workbookViewId="0">
      <selection activeCell="D16" sqref="D16:E16"/>
    </sheetView>
  </sheetViews>
  <sheetFormatPr defaultColWidth="9.140625" defaultRowHeight="20.100000000000001" customHeight="1"/>
  <cols>
    <col min="1" max="1" width="26" style="1" customWidth="1"/>
    <col min="2" max="2" width="12.7109375" style="1" customWidth="1"/>
    <col min="3" max="3" width="13.5703125" style="1" customWidth="1"/>
    <col min="4" max="6" width="12.7109375" style="1" customWidth="1"/>
    <col min="7" max="7" width="26.140625" style="1" customWidth="1"/>
    <col min="8" max="8" width="9.140625" style="1"/>
    <col min="9" max="9" width="11.28515625" style="1" customWidth="1"/>
    <col min="10" max="10" width="10.140625" style="1" customWidth="1"/>
    <col min="11" max="11" width="11.5703125" style="1" customWidth="1"/>
    <col min="12" max="16384" width="9.140625" style="1"/>
  </cols>
  <sheetData>
    <row r="1" spans="1:11" ht="20.100000000000001" customHeight="1">
      <c r="A1" s="220" t="s">
        <v>1583</v>
      </c>
      <c r="B1" s="221"/>
      <c r="C1" s="221"/>
      <c r="D1" s="221"/>
      <c r="E1" s="138" t="str" cm="1">
        <f t="array" ref="E1:F1">'Capa '!T6:U6</f>
        <v>0000 -</v>
      </c>
      <c r="F1" s="139" t="str">
        <v>1 / 2026.0</v>
      </c>
      <c r="G1" s="140"/>
    </row>
    <row r="2" spans="1:11" s="2" customFormat="1" ht="20.100000000000001" customHeight="1">
      <c r="A2" s="232" t="s">
        <v>1474</v>
      </c>
      <c r="B2" s="232"/>
      <c r="C2" s="232"/>
      <c r="D2" s="232"/>
      <c r="E2" s="232"/>
      <c r="F2" s="232"/>
      <c r="G2" s="232"/>
    </row>
    <row r="3" spans="1:11" s="2" customFormat="1" ht="20.100000000000001" customHeight="1">
      <c r="A3" s="233" t="s">
        <v>13</v>
      </c>
      <c r="B3" s="234"/>
      <c r="C3" s="234"/>
      <c r="D3" s="234"/>
      <c r="E3" s="234"/>
      <c r="F3" s="234"/>
      <c r="G3" s="235"/>
    </row>
    <row r="4" spans="1:11" s="2" customFormat="1" ht="20.100000000000001" customHeight="1">
      <c r="A4" s="5" t="s">
        <v>14</v>
      </c>
      <c r="B4" s="236" t="str">
        <f>'Capa '!L18</f>
        <v>11342 Sociedade Fogas Ltda - Manaus</v>
      </c>
      <c r="C4" s="236"/>
      <c r="D4" s="236"/>
      <c r="E4" s="236"/>
      <c r="F4" s="236"/>
      <c r="G4" s="237"/>
    </row>
    <row r="5" spans="1:11" s="2" customFormat="1" ht="20.100000000000001" customHeight="1">
      <c r="A5" s="6" t="s">
        <v>15</v>
      </c>
      <c r="B5" s="236" t="str">
        <f>'Capa '!L19</f>
        <v>Rua Rio Quixito, 86 -   Vila Buriti  Manaus/Amazonas</v>
      </c>
      <c r="C5" s="236"/>
      <c r="D5" s="236"/>
      <c r="E5" s="236"/>
      <c r="F5" s="236"/>
      <c r="G5" s="237"/>
    </row>
    <row r="6" spans="1:11" s="2" customFormat="1" ht="20.100000000000001" customHeight="1">
      <c r="A6" s="7" t="s">
        <v>16</v>
      </c>
      <c r="B6" s="230" t="s">
        <v>17</v>
      </c>
      <c r="C6" s="230"/>
      <c r="D6" s="230"/>
      <c r="E6" s="230"/>
      <c r="F6" s="230"/>
      <c r="G6" s="231"/>
      <c r="I6" s="123" t="s">
        <v>889</v>
      </c>
      <c r="J6" s="133">
        <v>0.5</v>
      </c>
      <c r="K6" s="124"/>
    </row>
    <row r="7" spans="1:11" s="2" customFormat="1" ht="20.100000000000001" customHeight="1">
      <c r="A7" s="222" t="s">
        <v>18</v>
      </c>
      <c r="B7" s="223"/>
      <c r="C7" s="223"/>
      <c r="D7" s="223"/>
      <c r="E7" s="223"/>
      <c r="F7" s="223"/>
      <c r="G7" s="224"/>
      <c r="I7" s="123" t="s">
        <v>890</v>
      </c>
      <c r="J7" s="133">
        <v>0.33333333333333331</v>
      </c>
      <c r="K7" s="124"/>
    </row>
    <row r="8" spans="1:11" s="2" customFormat="1" ht="20.100000000000001" customHeight="1">
      <c r="A8" s="8" t="s">
        <v>23</v>
      </c>
      <c r="B8" s="225"/>
      <c r="C8" s="225"/>
      <c r="D8" s="225"/>
      <c r="E8" s="225"/>
      <c r="F8" s="225"/>
      <c r="G8" s="226"/>
      <c r="I8" s="128"/>
      <c r="J8" s="125">
        <f>J6-J7</f>
        <v>0.16666666666666669</v>
      </c>
      <c r="K8" s="126"/>
    </row>
    <row r="9" spans="1:11" s="2" customFormat="1" ht="20.100000000000001" customHeight="1">
      <c r="A9" s="9" t="s">
        <v>19</v>
      </c>
      <c r="B9" s="227"/>
      <c r="C9" s="227"/>
      <c r="D9" s="227"/>
      <c r="E9" s="113" t="s">
        <v>22</v>
      </c>
      <c r="F9" s="228"/>
      <c r="G9" s="229"/>
      <c r="I9" s="129"/>
      <c r="J9" s="124">
        <f>HOUR(J8)*60+MINUTE(J8)</f>
        <v>240</v>
      </c>
      <c r="K9" s="127" t="s">
        <v>891</v>
      </c>
    </row>
    <row r="10" spans="1:11" s="2" customFormat="1" ht="20.100000000000001" customHeight="1">
      <c r="A10" s="23" t="s">
        <v>20</v>
      </c>
      <c r="B10" s="238"/>
      <c r="C10" s="238"/>
      <c r="D10" s="238"/>
      <c r="E10" s="80" t="s">
        <v>21</v>
      </c>
      <c r="F10" s="238"/>
      <c r="G10" s="239"/>
      <c r="I10" s="130" t="s">
        <v>892</v>
      </c>
      <c r="J10" s="134">
        <v>0.02</v>
      </c>
      <c r="K10" s="127" t="s">
        <v>893</v>
      </c>
    </row>
    <row r="11" spans="1:11" s="2" customFormat="1" ht="20.100000000000001" customHeight="1">
      <c r="A11" s="233" t="s">
        <v>24</v>
      </c>
      <c r="B11" s="234"/>
      <c r="C11" s="234"/>
      <c r="D11" s="234"/>
      <c r="E11" s="234"/>
      <c r="F11" s="234"/>
      <c r="G11" s="235"/>
      <c r="I11" s="130" t="s">
        <v>894</v>
      </c>
      <c r="J11" s="124">
        <f>J10*J9</f>
        <v>4.8</v>
      </c>
      <c r="K11" s="127" t="s">
        <v>27</v>
      </c>
    </row>
    <row r="12" spans="1:11" s="2" customFormat="1" ht="20.100000000000001" customHeight="1">
      <c r="A12" s="10" t="s">
        <v>25</v>
      </c>
      <c r="B12" s="240">
        <v>45471</v>
      </c>
      <c r="C12" s="241"/>
      <c r="D12" s="242" t="s">
        <v>26</v>
      </c>
      <c r="E12" s="242"/>
      <c r="F12" s="83">
        <f>$J$11</f>
        <v>4.8</v>
      </c>
      <c r="G12" s="24" t="s">
        <v>27</v>
      </c>
    </row>
    <row r="13" spans="1:11" s="2" customFormat="1" ht="20.100000000000001" customHeight="1">
      <c r="A13" s="243" t="s">
        <v>884</v>
      </c>
      <c r="B13" s="244"/>
      <c r="C13" s="244"/>
      <c r="D13" s="245" t="s">
        <v>29</v>
      </c>
      <c r="E13" s="245"/>
      <c r="F13" s="246" t="s">
        <v>1580</v>
      </c>
      <c r="G13" s="247"/>
    </row>
    <row r="14" spans="1:11" s="2" customFormat="1" ht="20.100000000000001" customHeight="1">
      <c r="I14" s="119"/>
    </row>
    <row r="15" spans="1:11" s="2" customFormat="1" ht="20.100000000000001" customHeight="1">
      <c r="A15" s="251" t="s">
        <v>82</v>
      </c>
      <c r="B15" s="251"/>
      <c r="C15" s="251"/>
      <c r="D15" s="251"/>
      <c r="E15" s="251"/>
      <c r="F15" s="251"/>
      <c r="G15" s="251"/>
      <c r="I15" s="118"/>
    </row>
    <row r="16" spans="1:11" s="2" customFormat="1" ht="20.100000000000001" customHeight="1">
      <c r="A16" s="252" t="s">
        <v>1107</v>
      </c>
      <c r="B16" s="48" t="s">
        <v>36</v>
      </c>
      <c r="C16" s="254" t="s">
        <v>2</v>
      </c>
      <c r="D16" s="254" t="s">
        <v>1111</v>
      </c>
      <c r="E16" s="254"/>
      <c r="F16" s="254" t="s">
        <v>5</v>
      </c>
      <c r="G16" s="252" t="s">
        <v>6</v>
      </c>
    </row>
    <row r="17" spans="1:12" s="2" customFormat="1" ht="20.100000000000001" customHeight="1">
      <c r="A17" s="253"/>
      <c r="B17" s="49" t="s">
        <v>37</v>
      </c>
      <c r="C17" s="253"/>
      <c r="D17" s="40" t="s">
        <v>3</v>
      </c>
      <c r="E17" s="40" t="s">
        <v>4</v>
      </c>
      <c r="F17" s="253"/>
      <c r="G17" s="255"/>
    </row>
    <row r="18" spans="1:12" s="2" customFormat="1" ht="20.100000000000001" customHeight="1">
      <c r="A18" s="76" t="s">
        <v>1301</v>
      </c>
      <c r="B18" s="256" t="str">
        <f>VLOOKUP(A18,TLV!G:O,9,FALSE)</f>
        <v>&lt; 0,005</v>
      </c>
      <c r="C18" s="259" t="str">
        <f>VLOOKUP(A18,TLV!A:C,3,FALSE)</f>
        <v>mg/m3</v>
      </c>
      <c r="D18" s="259">
        <f>VLOOKUP(A18,TLV!A:F,4,FALSE)</f>
        <v>1</v>
      </c>
      <c r="E18" s="259" t="str">
        <f>VLOOKUP(A18,TLV!A:F,5,FALSE)</f>
        <v>-</v>
      </c>
      <c r="F18" s="259" t="str">
        <f>VLOOKUP(A18,TLV!A:F,6,FALSE)</f>
        <v>-</v>
      </c>
      <c r="G18" s="248" t="str">
        <f>VLOOKUP(A18,TLV!$G:$H,2,FALSE)</f>
        <v>Pneumoconiose; Irritação TRI neurotoxicidade</v>
      </c>
      <c r="J18" s="121"/>
    </row>
    <row r="19" spans="1:12" s="2" customFormat="1" ht="20.100000000000001" customHeight="1">
      <c r="A19" s="19" t="str">
        <f>VLOOKUP(A18,TLV!G:K,4,FALSE)</f>
        <v>Método NIOSH 7303</v>
      </c>
      <c r="B19" s="257"/>
      <c r="C19" s="260"/>
      <c r="D19" s="260"/>
      <c r="E19" s="260"/>
      <c r="F19" s="260"/>
      <c r="G19" s="249"/>
      <c r="I19" s="121"/>
      <c r="J19" s="121"/>
      <c r="K19" s="122"/>
      <c r="L19" s="120"/>
    </row>
    <row r="20" spans="1:12" s="2" customFormat="1" ht="20.100000000000001" customHeight="1">
      <c r="A20" s="47" t="str">
        <f>VLOOKUP(A18,TLV!A:B,2,FALSE)</f>
        <v>Cód. e-Social: N. C.</v>
      </c>
      <c r="B20" s="258"/>
      <c r="C20" s="261"/>
      <c r="D20" s="261"/>
      <c r="E20" s="261"/>
      <c r="F20" s="261"/>
      <c r="G20" s="250"/>
      <c r="J20" s="121"/>
    </row>
    <row r="21" spans="1:12" s="2" customFormat="1" ht="20.100000000000001" customHeight="1">
      <c r="A21" s="76" t="s">
        <v>175</v>
      </c>
      <c r="B21" s="256" t="str">
        <f>VLOOKUP(A21,TLV!G:O,9,FALSE)</f>
        <v>&lt; 0,005</v>
      </c>
      <c r="C21" s="259" t="str">
        <f>VLOOKUP(A21,TLV!A:C,3,FALSE)</f>
        <v>mg/m3</v>
      </c>
      <c r="D21" s="259">
        <f>VLOOKUP(A21,TLV!A:F,4,FALSE)</f>
        <v>0.5</v>
      </c>
      <c r="E21" s="259" t="str">
        <f>VLOOKUP(A21,TLV!A:F,5,FALSE)</f>
        <v>-</v>
      </c>
      <c r="F21" s="259" t="str">
        <f>VLOOKUP(A21,TLV!A:F,6,FALSE)</f>
        <v>-</v>
      </c>
      <c r="G21" s="248" t="str">
        <f>VLOOKUP(A21,TLV!$G:$H,2,FALSE)</f>
        <v>Irritações na pele;
Irritações no TRS</v>
      </c>
      <c r="J21" s="121"/>
    </row>
    <row r="22" spans="1:12" s="2" customFormat="1" ht="20.100000000000001" customHeight="1">
      <c r="A22" s="19" t="str">
        <f>VLOOKUP(A21,TLV!G:K,4,FALSE)</f>
        <v>Método NIOSH 7303</v>
      </c>
      <c r="B22" s="257"/>
      <c r="C22" s="260"/>
      <c r="D22" s="260"/>
      <c r="E22" s="260"/>
      <c r="F22" s="260"/>
      <c r="G22" s="249"/>
      <c r="I22" s="121"/>
      <c r="J22" s="121"/>
      <c r="K22" s="122"/>
      <c r="L22" s="120"/>
    </row>
    <row r="23" spans="1:12" s="2" customFormat="1" ht="20.100000000000001" customHeight="1">
      <c r="A23" s="47" t="str">
        <f>VLOOKUP(A21,TLV!A:B,2,FALSE)</f>
        <v>Cód. e-Social: N. C.</v>
      </c>
      <c r="B23" s="258"/>
      <c r="C23" s="261"/>
      <c r="D23" s="261"/>
      <c r="E23" s="261"/>
      <c r="F23" s="261"/>
      <c r="G23" s="250"/>
      <c r="J23" s="121"/>
    </row>
    <row r="24" spans="1:12" s="2" customFormat="1" ht="20.100000000000001" customHeight="1">
      <c r="A24" s="76" t="s">
        <v>181</v>
      </c>
      <c r="B24" s="256" t="str">
        <f>VLOOKUP(A24,TLV!G:O,9,FALSE)</f>
        <v>&lt; 0,005</v>
      </c>
      <c r="C24" s="259" t="str">
        <f>VLOOKUP(A24,TLV!A:C,3,FALSE)</f>
        <v>mg/m3</v>
      </c>
      <c r="D24" s="259">
        <f>VLOOKUP(A24,TLV!A:F,4,FALSE)</f>
        <v>0.01</v>
      </c>
      <c r="E24" s="259" t="str">
        <f>VLOOKUP(A24,TLV!A:F,5,FALSE)</f>
        <v>-</v>
      </c>
      <c r="F24" s="259" t="str">
        <f>VLOOKUP(A24,TLV!A:F,6,FALSE)</f>
        <v>-</v>
      </c>
      <c r="G24" s="248" t="str">
        <f>VLOOKUP(A24,TLV!$G:$H,2,FALSE)</f>
        <v>Câncer do pulmão</v>
      </c>
      <c r="J24" s="121"/>
    </row>
    <row r="25" spans="1:12" s="2" customFormat="1" ht="20.100000000000001" customHeight="1">
      <c r="A25" s="19" t="str">
        <f>VLOOKUP(A24,TLV!G:K,4,FALSE)</f>
        <v>Método NIOSH 7303</v>
      </c>
      <c r="B25" s="257"/>
      <c r="C25" s="260"/>
      <c r="D25" s="260"/>
      <c r="E25" s="260"/>
      <c r="F25" s="260"/>
      <c r="G25" s="249"/>
      <c r="I25" s="121"/>
      <c r="J25" s="121"/>
      <c r="K25" s="122"/>
      <c r="L25" s="120"/>
    </row>
    <row r="26" spans="1:12" s="2" customFormat="1" ht="20.100000000000001" customHeight="1">
      <c r="A26" s="47" t="str">
        <f>VLOOKUP(A24,TLV!A:B,2,FALSE)</f>
        <v>Cód. e-Social: 01.01.001</v>
      </c>
      <c r="B26" s="258"/>
      <c r="C26" s="261"/>
      <c r="D26" s="261"/>
      <c r="E26" s="261"/>
      <c r="F26" s="261"/>
      <c r="G26" s="250"/>
      <c r="J26" s="121"/>
    </row>
    <row r="27" spans="1:12" s="2" customFormat="1" ht="20.100000000000001" customHeight="1">
      <c r="A27" s="76" t="s">
        <v>196</v>
      </c>
      <c r="B27" s="256" t="str">
        <f>VLOOKUP(A27,TLV!G:O,9,FALSE)</f>
        <v>&lt; 0,001</v>
      </c>
      <c r="C27" s="259" t="str">
        <f>VLOOKUP(A27,TLV!A:C,3,FALSE)</f>
        <v>mg/m3</v>
      </c>
      <c r="D27" s="259">
        <f>VLOOKUP(A27,TLV!A:F,4,FALSE)</f>
        <v>0.5</v>
      </c>
      <c r="E27" s="259" t="str">
        <f>VLOOKUP(A27,TLV!A:F,5,FALSE)</f>
        <v>-</v>
      </c>
      <c r="F27" s="259" t="str">
        <f>VLOOKUP(A27,TLV!A:F,6,FALSE)</f>
        <v>-</v>
      </c>
      <c r="G27" s="248" t="str">
        <f>VLOOKUP(A27,TLV!$G:$H,2,FALSE)</f>
        <v>Irritação olhos, pele e GI; estim muscular</v>
      </c>
      <c r="J27" s="121"/>
    </row>
    <row r="28" spans="1:12" s="2" customFormat="1" ht="20.100000000000001" customHeight="1">
      <c r="A28" s="19" t="str">
        <f>VLOOKUP(A27,TLV!G:K,4,FALSE)</f>
        <v>Método NIOSH 7303</v>
      </c>
      <c r="B28" s="257"/>
      <c r="C28" s="260"/>
      <c r="D28" s="260"/>
      <c r="E28" s="260"/>
      <c r="F28" s="260"/>
      <c r="G28" s="249"/>
      <c r="I28" s="121"/>
      <c r="J28" s="121"/>
      <c r="K28" s="122"/>
      <c r="L28" s="120"/>
    </row>
    <row r="29" spans="1:12" s="2" customFormat="1" ht="20.100000000000001" customHeight="1">
      <c r="A29" s="47" t="str">
        <f>VLOOKUP(A27,TLV!A:B,2,FALSE)</f>
        <v>Cód. e-Social: N. C.</v>
      </c>
      <c r="B29" s="258"/>
      <c r="C29" s="261"/>
      <c r="D29" s="261"/>
      <c r="E29" s="261"/>
      <c r="F29" s="261"/>
      <c r="G29" s="250"/>
      <c r="J29" s="121"/>
    </row>
    <row r="30" spans="1:12" s="2" customFormat="1" ht="20.100000000000001" customHeight="1">
      <c r="A30" s="76" t="s">
        <v>238</v>
      </c>
      <c r="B30" s="256" t="str">
        <f>VLOOKUP(A30,TLV!G:O,9,FALSE)</f>
        <v>&lt; 0,001</v>
      </c>
      <c r="C30" s="259" t="str">
        <f>VLOOKUP(A30,TLV!A:C,3,FALSE)</f>
        <v>mg/m3</v>
      </c>
      <c r="D30" s="259">
        <f>VLOOKUP(A30,TLV!A:F,4,FALSE)</f>
        <v>2E-3</v>
      </c>
      <c r="E30" s="259" t="str">
        <f>VLOOKUP(A30,TLV!A:F,5,FALSE)</f>
        <v>-</v>
      </c>
      <c r="F30" s="259" t="str">
        <f>VLOOKUP(A30,TLV!A:F,6,FALSE)</f>
        <v>-</v>
      </c>
      <c r="G30" s="248" t="str">
        <f>VLOOKUP(A30,TLV!$G:$H,2,FALSE)</f>
        <v>Dano rins</v>
      </c>
      <c r="J30" s="121"/>
    </row>
    <row r="31" spans="1:12" s="2" customFormat="1" ht="20.100000000000001" customHeight="1">
      <c r="A31" s="19" t="str">
        <f>VLOOKUP(A30,TLV!G:K,4,FALSE)</f>
        <v>Método NIOSH 7303</v>
      </c>
      <c r="B31" s="257"/>
      <c r="C31" s="260"/>
      <c r="D31" s="260"/>
      <c r="E31" s="260"/>
      <c r="F31" s="260"/>
      <c r="G31" s="249"/>
      <c r="I31" s="121"/>
      <c r="J31" s="121"/>
      <c r="K31" s="122"/>
      <c r="L31" s="120"/>
    </row>
    <row r="32" spans="1:12" s="2" customFormat="1" ht="20.100000000000001" customHeight="1">
      <c r="A32" s="47" t="str">
        <f>VLOOKUP(A30,TLV!A:B,2,FALSE)</f>
        <v>Cód. e-Social: 01.06.001</v>
      </c>
      <c r="B32" s="258"/>
      <c r="C32" s="261"/>
      <c r="D32" s="261"/>
      <c r="E32" s="261"/>
      <c r="F32" s="261"/>
      <c r="G32" s="250"/>
      <c r="J32" s="121"/>
    </row>
    <row r="33" spans="1:12" s="2" customFormat="1" ht="24.95" customHeight="1">
      <c r="A33" s="76" t="s">
        <v>259</v>
      </c>
      <c r="B33" s="256" t="str">
        <f>VLOOKUP(A33,TLV!G:O,9,FALSE)</f>
        <v>&lt; 0,001</v>
      </c>
      <c r="C33" s="259" t="str">
        <f>VLOOKUP(A33,TLV!A:C,3,FALSE)</f>
        <v>mg/m3</v>
      </c>
      <c r="D33" s="259">
        <f>VLOOKUP(A33,TLV!A:F,4,FALSE)</f>
        <v>0.05</v>
      </c>
      <c r="E33" s="259" t="str">
        <f>VLOOKUP(A33,TLV!A:F,5,FALSE)</f>
        <v>-</v>
      </c>
      <c r="F33" s="259">
        <f>VLOOKUP(A33,TLV!A:F,6,FALSE)</f>
        <v>0.1</v>
      </c>
      <c r="G33" s="248" t="str">
        <f>VLOOKUP(A33,TLV!$G:$H,2,FALSE)</f>
        <v>Comprometimento do SNC; Comprometimento do sistema nervoso periférico; Efeitos hematológicos</v>
      </c>
      <c r="J33" s="121"/>
    </row>
    <row r="34" spans="1:12" s="2" customFormat="1" ht="24.95" customHeight="1">
      <c r="A34" s="19" t="str">
        <f>VLOOKUP(A33,TLV!G:K,4,FALSE)</f>
        <v>Método NIOSH 7303</v>
      </c>
      <c r="B34" s="257"/>
      <c r="C34" s="260"/>
      <c r="D34" s="260"/>
      <c r="E34" s="260"/>
      <c r="F34" s="260"/>
      <c r="G34" s="249"/>
      <c r="I34" s="121"/>
      <c r="J34" s="121"/>
      <c r="K34" s="122"/>
      <c r="L34" s="120"/>
    </row>
    <row r="35" spans="1:12" s="2" customFormat="1" ht="24.95" customHeight="1">
      <c r="A35" s="47" t="str">
        <f>VLOOKUP(A33,TLV!A:B,2,FALSE)</f>
        <v>Cód. e-Social: 01.08.001</v>
      </c>
      <c r="B35" s="258"/>
      <c r="C35" s="261"/>
      <c r="D35" s="261"/>
      <c r="E35" s="261"/>
      <c r="F35" s="261"/>
      <c r="G35" s="250"/>
      <c r="J35" s="121"/>
    </row>
    <row r="36" spans="1:12" s="2" customFormat="1" ht="20.100000000000001" customHeight="1">
      <c r="A36" s="76" t="s">
        <v>326</v>
      </c>
      <c r="B36" s="256" t="str">
        <f>VLOOKUP(A36,TLV!G:O,9,FALSE)</f>
        <v>&lt; 0,005</v>
      </c>
      <c r="C36" s="259" t="str">
        <f>VLOOKUP(A36,TLV!A:C,3,FALSE)</f>
        <v>mg/m3</v>
      </c>
      <c r="D36" s="259">
        <f>VLOOKUP(A36,TLV!A:F,4,FALSE)</f>
        <v>0.02</v>
      </c>
      <c r="E36" s="259" t="str">
        <f>VLOOKUP(A36,TLV!A:F,5,FALSE)</f>
        <v>-</v>
      </c>
      <c r="F36" s="259" t="str">
        <f>VLOOKUP(A36,TLV!A:F,6,FALSE)</f>
        <v>-</v>
      </c>
      <c r="G36" s="248" t="str">
        <f>VLOOKUP(A36,TLV!$G:$H,2,FALSE)</f>
        <v>Mudanças na função pulmonar.</v>
      </c>
      <c r="J36" s="121"/>
    </row>
    <row r="37" spans="1:12" s="2" customFormat="1" ht="20.100000000000001" customHeight="1">
      <c r="A37" s="19" t="str">
        <f>VLOOKUP(A36,TLV!G:K,4,FALSE)</f>
        <v>Método NIOSH 7303</v>
      </c>
      <c r="B37" s="257"/>
      <c r="C37" s="260"/>
      <c r="D37" s="260"/>
      <c r="E37" s="260"/>
      <c r="F37" s="260"/>
      <c r="G37" s="249"/>
      <c r="I37" s="121"/>
      <c r="J37" s="121"/>
      <c r="K37" s="122"/>
      <c r="L37" s="120"/>
    </row>
    <row r="38" spans="1:12" s="2" customFormat="1" ht="20.100000000000001" customHeight="1">
      <c r="A38" s="47" t="str">
        <f>VLOOKUP(A36,TLV!A:B,2,FALSE)</f>
        <v>Cód. e-Social: N. C.</v>
      </c>
      <c r="B38" s="258"/>
      <c r="C38" s="261"/>
      <c r="D38" s="261"/>
      <c r="E38" s="261"/>
      <c r="F38" s="261"/>
      <c r="G38" s="250"/>
      <c r="J38" s="121"/>
    </row>
    <row r="39" spans="1:12" s="2" customFormat="1" ht="20.100000000000001" customHeight="1">
      <c r="A39" s="76" t="s">
        <v>333</v>
      </c>
      <c r="B39" s="256" t="str">
        <f>VLOOKUP(A39,TLV!G:O,9,FALSE)</f>
        <v>&lt; 0,005</v>
      </c>
      <c r="C39" s="259" t="str">
        <f>VLOOKUP(A39,TLV!A:C,3,FALSE)</f>
        <v>mg/m3</v>
      </c>
      <c r="D39" s="259">
        <f>VLOOKUP(A39,TLV!A:F,4,FALSE)</f>
        <v>1</v>
      </c>
      <c r="E39" s="259" t="str">
        <f>VLOOKUP(A39,TLV!A:F,5,FALSE)</f>
        <v>-</v>
      </c>
      <c r="F39" s="259" t="str">
        <f>VLOOKUP(A39,TLV!A:F,6,FALSE)</f>
        <v>-</v>
      </c>
      <c r="G39" s="248" t="str">
        <f>VLOOKUP(A39,TLV!$G:$H,2,FALSE)</f>
        <v>Irritação; GI; febre dos fumos metálicos</v>
      </c>
      <c r="J39" s="121"/>
    </row>
    <row r="40" spans="1:12" s="2" customFormat="1" ht="20.100000000000001" customHeight="1">
      <c r="A40" s="19" t="str">
        <f>VLOOKUP(A39,TLV!G:K,4,FALSE)</f>
        <v>Método NIOSH 7303</v>
      </c>
      <c r="B40" s="257"/>
      <c r="C40" s="260"/>
      <c r="D40" s="260"/>
      <c r="E40" s="260"/>
      <c r="F40" s="260"/>
      <c r="G40" s="249"/>
      <c r="I40" s="121"/>
      <c r="J40" s="121"/>
      <c r="K40" s="122"/>
      <c r="L40" s="120"/>
    </row>
    <row r="41" spans="1:12" s="2" customFormat="1" ht="20.100000000000001" customHeight="1">
      <c r="A41" s="47" t="str">
        <f>VLOOKUP(A39,TLV!A:B,2,FALSE)</f>
        <v>Cód. e-Social: N. C.</v>
      </c>
      <c r="B41" s="258"/>
      <c r="C41" s="261"/>
      <c r="D41" s="261"/>
      <c r="E41" s="261"/>
      <c r="F41" s="261"/>
      <c r="G41" s="250"/>
      <c r="J41" s="121"/>
    </row>
    <row r="42" spans="1:12" s="3" customFormat="1" ht="20.100000000000001" customHeight="1">
      <c r="A42" s="220" t="s">
        <v>1583</v>
      </c>
      <c r="B42" s="221"/>
      <c r="C42" s="221"/>
      <c r="D42" s="221"/>
      <c r="E42" s="138" t="str" cm="1">
        <f t="array" ref="E42:F42">_xlfn.ANCHORARRAY(E1)</f>
        <v>0000 -</v>
      </c>
      <c r="F42" s="139" t="str">
        <v>1 / 2026.0</v>
      </c>
      <c r="G42" s="140"/>
    </row>
    <row r="43" spans="1:12" s="3" customFormat="1" ht="20.100000000000001" customHeight="1">
      <c r="A43" s="232" t="s">
        <v>1475</v>
      </c>
      <c r="B43" s="232"/>
      <c r="C43" s="232"/>
      <c r="D43" s="232"/>
      <c r="E43" s="232"/>
      <c r="F43" s="232"/>
      <c r="G43" s="232"/>
    </row>
    <row r="44" spans="1:12" s="2" customFormat="1" ht="20.100000000000001" customHeight="1">
      <c r="I44" s="119"/>
    </row>
    <row r="45" spans="1:12" s="2" customFormat="1" ht="20.100000000000001" customHeight="1">
      <c r="A45" s="251" t="s">
        <v>82</v>
      </c>
      <c r="B45" s="251"/>
      <c r="C45" s="251"/>
      <c r="D45" s="251"/>
      <c r="E45" s="251"/>
      <c r="F45" s="251"/>
      <c r="G45" s="251"/>
      <c r="I45" s="118"/>
    </row>
    <row r="46" spans="1:12" s="2" customFormat="1" ht="20.100000000000001" customHeight="1">
      <c r="A46" s="252" t="s">
        <v>1107</v>
      </c>
      <c r="B46" s="48" t="s">
        <v>36</v>
      </c>
      <c r="C46" s="254" t="s">
        <v>2</v>
      </c>
      <c r="D46" s="254" t="s">
        <v>1111</v>
      </c>
      <c r="E46" s="254"/>
      <c r="F46" s="254" t="s">
        <v>5</v>
      </c>
      <c r="G46" s="252" t="s">
        <v>6</v>
      </c>
    </row>
    <row r="47" spans="1:12" s="2" customFormat="1" ht="20.100000000000001" customHeight="1">
      <c r="A47" s="253"/>
      <c r="B47" s="49" t="s">
        <v>37</v>
      </c>
      <c r="C47" s="253"/>
      <c r="D47" s="40" t="s">
        <v>3</v>
      </c>
      <c r="E47" s="40" t="s">
        <v>4</v>
      </c>
      <c r="F47" s="253"/>
      <c r="G47" s="255"/>
    </row>
    <row r="48" spans="1:12" s="3" customFormat="1" ht="20.100000000000001" customHeight="1">
      <c r="A48" s="76" t="s">
        <v>347</v>
      </c>
      <c r="B48" s="256" t="str">
        <f>VLOOKUP(A48,TLV!G:O,9,FALSE)</f>
        <v>&lt; 0,02</v>
      </c>
      <c r="C48" s="259" t="str">
        <f>VLOOKUP(A48,TLV!A:C,3,FALSE)</f>
        <v>mg/m3</v>
      </c>
      <c r="D48" s="259">
        <f>VLOOKUP(A48,TLV!A:F,4,FALSE)</f>
        <v>0.5</v>
      </c>
      <c r="E48" s="259" t="str">
        <f>VLOOKUP(A48,TLV!A:F,5,FALSE)</f>
        <v>-</v>
      </c>
      <c r="F48" s="259" t="str">
        <f>VLOOKUP(A48,TLV!A:F,6,FALSE)</f>
        <v>-</v>
      </c>
      <c r="G48" s="248" t="str">
        <f>VLOOKUP(A48,TLV!$G:$H,2,FALSE)</f>
        <v>Irritações no TRS</v>
      </c>
    </row>
    <row r="49" spans="1:12" s="3" customFormat="1" ht="20.100000000000001" customHeight="1">
      <c r="A49" s="19" t="str">
        <f>VLOOKUP(A48,TLV!G:K,4,FALSE)</f>
        <v>Método NIOSH 7303</v>
      </c>
      <c r="B49" s="257"/>
      <c r="C49" s="260"/>
      <c r="D49" s="260"/>
      <c r="E49" s="260"/>
      <c r="F49" s="260"/>
      <c r="G49" s="249"/>
    </row>
    <row r="50" spans="1:12" s="3" customFormat="1" ht="20.100000000000001" customHeight="1">
      <c r="A50" s="47" t="str">
        <f>VLOOKUP(A48,TLV!A:B,2,FALSE)</f>
        <v>Cód. e-Social: 01.10.001</v>
      </c>
      <c r="B50" s="258"/>
      <c r="C50" s="261"/>
      <c r="D50" s="261"/>
      <c r="E50" s="261"/>
      <c r="F50" s="261"/>
      <c r="G50" s="250"/>
    </row>
    <row r="51" spans="1:12" s="2" customFormat="1" ht="20.100000000000001" customHeight="1">
      <c r="A51" s="76" t="s">
        <v>1342</v>
      </c>
      <c r="B51" s="256" t="str">
        <f>VLOOKUP(A51,TLV!G:O,9,FALSE)</f>
        <v>&lt; 0,017</v>
      </c>
      <c r="C51" s="259" t="str">
        <f>VLOOKUP(A51,TLV!A:C,3,FALSE)</f>
        <v>mg/m3</v>
      </c>
      <c r="D51" s="259">
        <f>VLOOKUP(A51,TLV!A:F,4,FALSE)</f>
        <v>2.5</v>
      </c>
      <c r="E51" s="259" t="str">
        <f>VLOOKUP(A51,TLV!A:F,5,FALSE)</f>
        <v>-</v>
      </c>
      <c r="F51" s="259" t="str">
        <f>VLOOKUP(A51,TLV!A:F,6,FALSE)</f>
        <v>-</v>
      </c>
      <c r="G51" s="248" t="str">
        <f>VLOOKUP(A51,TLV!$G:$H,2,FALSE)</f>
        <v>Irritação no TRI, Pneumoconiose</v>
      </c>
      <c r="J51" s="121"/>
    </row>
    <row r="52" spans="1:12" s="2" customFormat="1" ht="20.100000000000001" customHeight="1">
      <c r="A52" s="19" t="str">
        <f>VLOOKUP(A51,TLV!G:K,4,FALSE)</f>
        <v>Método NIOSH 7303</v>
      </c>
      <c r="B52" s="257"/>
      <c r="C52" s="260"/>
      <c r="D52" s="260"/>
      <c r="E52" s="260"/>
      <c r="F52" s="260"/>
      <c r="G52" s="249"/>
      <c r="I52" s="121"/>
      <c r="J52" s="121"/>
      <c r="K52" s="122"/>
      <c r="L52" s="120"/>
    </row>
    <row r="53" spans="1:12" s="2" customFormat="1" ht="20.100000000000001" customHeight="1">
      <c r="A53" s="47" t="str">
        <f>VLOOKUP(A51,TLV!A:B,2,FALSE)</f>
        <v>Cód. e-Social: N. C.</v>
      </c>
      <c r="B53" s="258"/>
      <c r="C53" s="261"/>
      <c r="D53" s="261"/>
      <c r="E53" s="261"/>
      <c r="F53" s="261"/>
      <c r="G53" s="250"/>
      <c r="J53" s="121"/>
    </row>
    <row r="54" spans="1:12" s="2" customFormat="1" ht="20.100000000000001" customHeight="1">
      <c r="A54" s="76" t="s">
        <v>449</v>
      </c>
      <c r="B54" s="256" t="str">
        <f>VLOOKUP(A54,TLV!G:O,9,FALSE)</f>
        <v>&lt; 0,001</v>
      </c>
      <c r="C54" s="259" t="str">
        <f>VLOOKUP(A54,TLV!A:C,3,FALSE)</f>
        <v>mg/m3</v>
      </c>
      <c r="D54" s="259">
        <f>VLOOKUP(A54,TLV!A:F,4,FALSE)</f>
        <v>2</v>
      </c>
      <c r="E54" s="259" t="str">
        <f>VLOOKUP(A54,TLV!A:F,5,FALSE)</f>
        <v>-</v>
      </c>
      <c r="F54" s="259" t="str">
        <f>VLOOKUP(A54,TLV!A:F,6,FALSE)</f>
        <v>-</v>
      </c>
      <c r="G54" s="248" t="str">
        <f>VLOOKUP(A54,TLV!$G:$H,2,FALSE)</f>
        <v>Pneumoconiose</v>
      </c>
      <c r="J54" s="121"/>
    </row>
    <row r="55" spans="1:12" s="2" customFormat="1" ht="20.100000000000001" customHeight="1">
      <c r="A55" s="19" t="str">
        <f>VLOOKUP(A54,TLV!G:K,4,FALSE)</f>
        <v>Método NIOSH 7303</v>
      </c>
      <c r="B55" s="257"/>
      <c r="C55" s="260"/>
      <c r="D55" s="260"/>
      <c r="E55" s="260"/>
      <c r="F55" s="260"/>
      <c r="G55" s="249"/>
      <c r="I55" s="121"/>
      <c r="J55" s="121"/>
      <c r="K55" s="122"/>
      <c r="L55" s="120"/>
    </row>
    <row r="56" spans="1:12" s="2" customFormat="1" ht="20.100000000000001" customHeight="1">
      <c r="A56" s="47" t="str">
        <f>VLOOKUP(A54,TLV!A:B,2,FALSE)</f>
        <v>Cód. e-Social: N. C.</v>
      </c>
      <c r="B56" s="258"/>
      <c r="C56" s="261"/>
      <c r="D56" s="261"/>
      <c r="E56" s="261"/>
      <c r="F56" s="261"/>
      <c r="G56" s="250"/>
      <c r="J56" s="121"/>
    </row>
    <row r="57" spans="1:12" s="2" customFormat="1" ht="20.100000000000001" customHeight="1">
      <c r="A57" s="76" t="s">
        <v>514</v>
      </c>
      <c r="B57" s="256" t="str">
        <f>VLOOKUP(A57,TLV!G:O,9,FALSE)</f>
        <v>&lt; 0,005</v>
      </c>
      <c r="C57" s="259" t="str">
        <f>VLOOKUP(A57,TLV!A:C,3,FALSE)</f>
        <v>mg/m3</v>
      </c>
      <c r="D57" s="259">
        <f>VLOOKUP(A57,TLV!A:F,4,FALSE)</f>
        <v>5</v>
      </c>
      <c r="E57" s="259" t="str">
        <f>VLOOKUP(A57,TLV!A:F,5,FALSE)</f>
        <v>-</v>
      </c>
      <c r="F57" s="259" t="str">
        <f>VLOOKUP(A57,TLV!A:F,6,FALSE)</f>
        <v>-</v>
      </c>
      <c r="G57" s="248" t="str">
        <f>VLOOKUP(A57,TLV!$G:$H,2,FALSE)</f>
        <v>Pneumoconiose</v>
      </c>
      <c r="J57" s="121"/>
    </row>
    <row r="58" spans="1:12" s="2" customFormat="1" ht="20.100000000000001" customHeight="1">
      <c r="A58" s="19" t="str">
        <f>VLOOKUP(A57,TLV!G:K,4,FALSE)</f>
        <v>Método NIOSH 7303</v>
      </c>
      <c r="B58" s="257"/>
      <c r="C58" s="260"/>
      <c r="D58" s="260"/>
      <c r="E58" s="260"/>
      <c r="F58" s="260"/>
      <c r="G58" s="249"/>
      <c r="I58" s="121"/>
      <c r="J58" s="121"/>
      <c r="K58" s="122"/>
      <c r="L58" s="120"/>
    </row>
    <row r="59" spans="1:12" s="2" customFormat="1" ht="20.100000000000001" customHeight="1">
      <c r="A59" s="47" t="str">
        <f>VLOOKUP(A57,TLV!A:B,2,FALSE)</f>
        <v>Cód. e-Social: N. C.</v>
      </c>
      <c r="B59" s="258"/>
      <c r="C59" s="261"/>
      <c r="D59" s="261"/>
      <c r="E59" s="261"/>
      <c r="F59" s="261"/>
      <c r="G59" s="250"/>
      <c r="J59" s="121"/>
    </row>
    <row r="60" spans="1:12" s="2" customFormat="1" ht="20.100000000000001" customHeight="1">
      <c r="A60" s="76" t="s">
        <v>1491</v>
      </c>
      <c r="B60" s="256" t="str">
        <f>VLOOKUP(A60,TLV!G:O,9,FALSE)</f>
        <v>&lt; 0,007</v>
      </c>
      <c r="C60" s="259" t="str">
        <f>VLOOKUP(A60,TLV!A:C,3,FALSE)</f>
        <v>mg/m3</v>
      </c>
      <c r="D60" s="259" t="str">
        <f>VLOOKUP(A60,TLV!A:F,4,FALSE)</f>
        <v>-</v>
      </c>
      <c r="E60" s="259">
        <f>VLOOKUP(A60,TLV!A:F,5,FALSE)</f>
        <v>2</v>
      </c>
      <c r="F60" s="259" t="str">
        <f>VLOOKUP(A60,TLV!A:F,6,FALSE)</f>
        <v>-</v>
      </c>
      <c r="G60" s="248" t="str">
        <f>VLOOKUP(A60,TLV!$G:$H,2,FALSE)</f>
        <v>Irritação olhos, pele e TRS</v>
      </c>
      <c r="J60" s="121"/>
    </row>
    <row r="61" spans="1:12" s="2" customFormat="1" ht="20.100000000000001" customHeight="1">
      <c r="A61" s="19" t="str">
        <f>VLOOKUP(A60,TLV!G:K,4,FALSE)</f>
        <v>Método NIOSH 7303</v>
      </c>
      <c r="B61" s="257"/>
      <c r="C61" s="260"/>
      <c r="D61" s="260"/>
      <c r="E61" s="260"/>
      <c r="F61" s="260"/>
      <c r="G61" s="249"/>
      <c r="I61" s="121"/>
      <c r="J61" s="121"/>
      <c r="K61" s="122"/>
      <c r="L61" s="120"/>
    </row>
    <row r="62" spans="1:12" s="2" customFormat="1" ht="20.100000000000001" customHeight="1">
      <c r="A62" s="47" t="str">
        <f>VLOOKUP(A60,TLV!A:B,2,FALSE)</f>
        <v>Cód. e-Social: N. C.</v>
      </c>
      <c r="B62" s="258"/>
      <c r="C62" s="261"/>
      <c r="D62" s="261"/>
      <c r="E62" s="261"/>
      <c r="F62" s="261"/>
      <c r="G62" s="250"/>
      <c r="J62" s="121"/>
    </row>
    <row r="63" spans="1:12" s="2" customFormat="1" ht="20.100000000000001" customHeight="1">
      <c r="A63" s="76" t="s">
        <v>1492</v>
      </c>
      <c r="B63" s="256" t="str">
        <f>VLOOKUP(A63,TLV!G:O,9,FALSE)</f>
        <v>&lt; 0,008</v>
      </c>
      <c r="C63" s="259" t="str">
        <f>VLOOKUP(A63,TLV!A:C,3,FALSE)</f>
        <v>mg/m3</v>
      </c>
      <c r="D63" s="259" t="str">
        <f>VLOOKUP(A63,TLV!A:F,4,FALSE)</f>
        <v>-</v>
      </c>
      <c r="E63" s="259">
        <f>VLOOKUP(A63,TLV!A:F,5,FALSE)</f>
        <v>2</v>
      </c>
      <c r="F63" s="259" t="str">
        <f>VLOOKUP(A63,TLV!A:F,6,FALSE)</f>
        <v>-</v>
      </c>
      <c r="G63" s="248" t="str">
        <f>VLOOKUP(A63,TLV!$G:$H,2,FALSE)</f>
        <v>Irritação olhos, pele e TRS</v>
      </c>
      <c r="J63" s="121"/>
    </row>
    <row r="64" spans="1:12" s="2" customFormat="1" ht="20.100000000000001" customHeight="1">
      <c r="A64" s="19" t="str">
        <f>VLOOKUP(A63,TLV!G:K,4,FALSE)</f>
        <v>Método NIOSH 7303</v>
      </c>
      <c r="B64" s="257"/>
      <c r="C64" s="260"/>
      <c r="D64" s="260"/>
      <c r="E64" s="260"/>
      <c r="F64" s="260"/>
      <c r="G64" s="249"/>
      <c r="I64" s="121"/>
      <c r="J64" s="121"/>
      <c r="K64" s="122"/>
      <c r="L64" s="120"/>
    </row>
    <row r="65" spans="1:12" s="2" customFormat="1" ht="20.100000000000001" customHeight="1">
      <c r="A65" s="47" t="str">
        <f>VLOOKUP(A63,TLV!A:B,2,FALSE)</f>
        <v>Cód. e-Social: N. C.</v>
      </c>
      <c r="B65" s="258"/>
      <c r="C65" s="261"/>
      <c r="D65" s="261"/>
      <c r="E65" s="261"/>
      <c r="F65" s="261"/>
      <c r="G65" s="250"/>
      <c r="J65" s="121"/>
    </row>
    <row r="66" spans="1:12" s="2" customFormat="1" ht="20.100000000000001" customHeight="1">
      <c r="A66" s="76" t="s">
        <v>619</v>
      </c>
      <c r="B66" s="256" t="str">
        <f>VLOOKUP(A66,TLV!G:O,9,FALSE)</f>
        <v>&lt; 0,005</v>
      </c>
      <c r="C66" s="259" t="str">
        <f>VLOOKUP(A66,TLV!A:C,3,FALSE)</f>
        <v>mg/m3</v>
      </c>
      <c r="D66" s="259">
        <f>VLOOKUP(A66,TLV!A:F,4,FALSE)</f>
        <v>0.1</v>
      </c>
      <c r="E66" s="259" t="str">
        <f>VLOOKUP(A66,TLV!A:F,5,FALSE)</f>
        <v>-</v>
      </c>
      <c r="F66" s="259">
        <f>VLOOKUP(A66,TLV!A:F,6,FALSE)</f>
        <v>1</v>
      </c>
      <c r="G66" s="248" t="str">
        <f>VLOOKUP(A66,TLV!$G:$H,2,FALSE)</f>
        <v>Compr SNC</v>
      </c>
      <c r="J66" s="121"/>
    </row>
    <row r="67" spans="1:12" s="2" customFormat="1" ht="20.100000000000001" customHeight="1">
      <c r="A67" s="19" t="str">
        <f>VLOOKUP(A66,TLV!G:K,4,FALSE)</f>
        <v>Método NIOSH 7303</v>
      </c>
      <c r="B67" s="257"/>
      <c r="C67" s="260"/>
      <c r="D67" s="260"/>
      <c r="E67" s="260"/>
      <c r="F67" s="260"/>
      <c r="G67" s="249"/>
      <c r="J67" s="121"/>
    </row>
    <row r="68" spans="1:12" s="2" customFormat="1" ht="20.100000000000001" customHeight="1">
      <c r="A68" s="47" t="str">
        <f>VLOOKUP(A66,TLV!A:B,2,FALSE)</f>
        <v>Cód. e-Social: 01.14.001</v>
      </c>
      <c r="B68" s="258"/>
      <c r="C68" s="261"/>
      <c r="D68" s="261"/>
      <c r="E68" s="261"/>
      <c r="F68" s="261"/>
      <c r="G68" s="250"/>
      <c r="J68" s="121"/>
    </row>
    <row r="69" spans="1:12" s="2" customFormat="1" ht="20.100000000000001" customHeight="1">
      <c r="A69" s="76" t="s">
        <v>1443</v>
      </c>
      <c r="B69" s="256" t="str">
        <f>VLOOKUP(A69,TLV!G:O,9,FALSE)</f>
        <v>&lt; 0,012</v>
      </c>
      <c r="C69" s="259" t="str">
        <f>VLOOKUP(A69,TLV!A:C,3,FALSE)</f>
        <v>mg/m3</v>
      </c>
      <c r="D69" s="259">
        <f>VLOOKUP(A69,TLV!A:F,4,FALSE)</f>
        <v>2</v>
      </c>
      <c r="E69" s="259" t="str">
        <f>VLOOKUP(A69,TLV!A:F,5,FALSE)</f>
        <v>-</v>
      </c>
      <c r="F69" s="259" t="str">
        <f>VLOOKUP(A69,TLV!A:F,6,FALSE)</f>
        <v>-</v>
      </c>
      <c r="G69" s="248" t="str">
        <f>VLOOKUP(A69,TLV!$G:$H,2,FALSE)</f>
        <v>Irritações no TRS</v>
      </c>
      <c r="J69" s="121"/>
    </row>
    <row r="70" spans="1:12" s="2" customFormat="1" ht="20.100000000000001" customHeight="1">
      <c r="A70" s="19" t="str">
        <f>VLOOKUP(A69,TLV!G:K,4,FALSE)</f>
        <v>Método NIOSH 7303</v>
      </c>
      <c r="B70" s="257"/>
      <c r="C70" s="260"/>
      <c r="D70" s="260"/>
      <c r="E70" s="260"/>
      <c r="F70" s="260"/>
      <c r="G70" s="249"/>
      <c r="I70" s="121"/>
      <c r="J70" s="121"/>
      <c r="K70" s="122"/>
      <c r="L70" s="120"/>
    </row>
    <row r="71" spans="1:12" s="2" customFormat="1" ht="20.100000000000001" customHeight="1">
      <c r="A71" s="47" t="str">
        <f>VLOOKUP(A69,TLV!A:B,2,FALSE)</f>
        <v>Cód. e-Social: N. C.</v>
      </c>
      <c r="B71" s="258"/>
      <c r="C71" s="261"/>
      <c r="D71" s="261"/>
      <c r="E71" s="261"/>
      <c r="F71" s="261"/>
      <c r="G71" s="250"/>
      <c r="J71" s="121"/>
    </row>
    <row r="72" spans="1:12" s="2" customFormat="1" ht="20.100000000000001" customHeight="1">
      <c r="A72" s="76" t="s">
        <v>1339</v>
      </c>
      <c r="B72" s="256" t="str">
        <f>VLOOKUP(A72,TLV!G:O,9,FALSE)</f>
        <v>&lt; 0,012</v>
      </c>
      <c r="C72" s="259" t="str">
        <f>VLOOKUP(A72,TLV!A:C,3,FALSE)</f>
        <v>mg/m3</v>
      </c>
      <c r="D72" s="259">
        <f>VLOOKUP(A72,TLV!A:F,4,FALSE)</f>
        <v>2</v>
      </c>
      <c r="E72" s="259">
        <f>VLOOKUP(A72,TLV!A:F,5,FALSE)</f>
        <v>10</v>
      </c>
      <c r="F72" s="259" t="str">
        <f>VLOOKUP(A72,TLV!A:F,6,FALSE)</f>
        <v>-</v>
      </c>
      <c r="G72" s="248" t="str">
        <f>VLOOKUP(A72,TLV!$G:$H,2,FALSE)</f>
        <v>Febre de fumos metálicos</v>
      </c>
      <c r="J72" s="121"/>
    </row>
    <row r="73" spans="1:12" s="2" customFormat="1" ht="20.100000000000001" customHeight="1">
      <c r="A73" s="19" t="str">
        <f>VLOOKUP(A72,TLV!G:K,4,FALSE)</f>
        <v>Método NIOSH 7303</v>
      </c>
      <c r="B73" s="257"/>
      <c r="C73" s="260"/>
      <c r="D73" s="260"/>
      <c r="E73" s="260"/>
      <c r="F73" s="260"/>
      <c r="G73" s="249"/>
      <c r="I73" s="121"/>
      <c r="J73" s="121"/>
      <c r="K73" s="122"/>
      <c r="L73" s="120"/>
    </row>
    <row r="74" spans="1:12" s="2" customFormat="1" ht="20.100000000000001" customHeight="1">
      <c r="A74" s="47" t="str">
        <f>VLOOKUP(A72,TLV!A:B,2,FALSE)</f>
        <v>Cód. e-Social: N. C.</v>
      </c>
      <c r="B74" s="258"/>
      <c r="C74" s="261"/>
      <c r="D74" s="261"/>
      <c r="E74" s="261"/>
      <c r="F74" s="261"/>
      <c r="G74" s="250"/>
      <c r="J74" s="121"/>
    </row>
    <row r="75" spans="1:12" s="2" customFormat="1" ht="20.100000000000001" customHeight="1">
      <c r="A75" s="76" t="s">
        <v>864</v>
      </c>
      <c r="B75" s="256">
        <f>VLOOKUP(A75,TLV!G:O,9,FALSE)</f>
        <v>5</v>
      </c>
      <c r="C75" s="259" t="str">
        <f>VLOOKUP(A75,TLV!A:C,3,FALSE)</f>
        <v>mg/m3</v>
      </c>
      <c r="D75" s="259">
        <f>VLOOKUP(A75,TLV!A:F,4,FALSE)</f>
        <v>3</v>
      </c>
      <c r="E75" s="259" t="str">
        <f>VLOOKUP(A75,TLV!A:F,5,FALSE)</f>
        <v>-</v>
      </c>
      <c r="F75" s="259" t="str">
        <f>VLOOKUP(A75,TLV!A:F,6,FALSE)</f>
        <v>-</v>
      </c>
      <c r="G75" s="248" t="str">
        <f>VLOOKUP(A75,TLV!$G:$H,2,FALSE)</f>
        <v>Dano pulmonar</v>
      </c>
      <c r="J75" s="121"/>
    </row>
    <row r="76" spans="1:12" s="2" customFormat="1" ht="20.100000000000001" customHeight="1">
      <c r="A76" s="19" t="str">
        <f>VLOOKUP(A75,TLV!G:K,4,FALSE)</f>
        <v>Método NIOSH 7303</v>
      </c>
      <c r="B76" s="257"/>
      <c r="C76" s="260"/>
      <c r="D76" s="260"/>
      <c r="E76" s="260"/>
      <c r="F76" s="260"/>
      <c r="G76" s="249"/>
      <c r="I76" s="121"/>
      <c r="J76" s="121"/>
      <c r="K76" s="122"/>
      <c r="L76" s="120"/>
    </row>
    <row r="77" spans="1:12" s="2" customFormat="1" ht="20.100000000000001" customHeight="1">
      <c r="A77" s="47" t="str">
        <f>VLOOKUP(A75,TLV!A:B,2,FALSE)</f>
        <v>Cód. e-Social: N. C.</v>
      </c>
      <c r="B77" s="258"/>
      <c r="C77" s="261"/>
      <c r="D77" s="261"/>
      <c r="E77" s="261"/>
      <c r="F77" s="261"/>
      <c r="G77" s="250"/>
      <c r="J77" s="121"/>
    </row>
    <row r="78" spans="1:12" s="2" customFormat="1" ht="20.100000000000001" customHeight="1">
      <c r="A78" s="76" t="s">
        <v>758</v>
      </c>
      <c r="B78" s="256" t="str">
        <f>VLOOKUP(A78,TLV!G:O,9,FALSE)</f>
        <v>&lt; 0,001</v>
      </c>
      <c r="C78" s="259" t="str">
        <f>VLOOKUP(A78,TLV!A:C,3,FALSE)</f>
        <v>mg/m3</v>
      </c>
      <c r="D78" s="259">
        <f>VLOOKUP(A78,TLV!A:F,4,FALSE)</f>
        <v>0.1</v>
      </c>
      <c r="E78" s="259" t="str">
        <f>VLOOKUP(A78,TLV!A:F,5,FALSE)</f>
        <v>-</v>
      </c>
      <c r="F78" s="259" t="str">
        <f>VLOOKUP(A78,TLV!A:F,6,FALSE)</f>
        <v>-</v>
      </c>
      <c r="G78" s="248" t="str">
        <f>VLOOKUP(A78,TLV!$G:$H,2,FALSE)</f>
        <v>Argíria</v>
      </c>
      <c r="J78" s="121"/>
    </row>
    <row r="79" spans="1:12" s="2" customFormat="1" ht="20.100000000000001" customHeight="1">
      <c r="A79" s="19" t="str">
        <f>VLOOKUP(A78,TLV!G:K,4,FALSE)</f>
        <v>Método NIOSH 7303</v>
      </c>
      <c r="B79" s="257"/>
      <c r="C79" s="260"/>
      <c r="D79" s="260"/>
      <c r="E79" s="260"/>
      <c r="F79" s="260"/>
      <c r="G79" s="249"/>
      <c r="I79" s="121"/>
      <c r="J79" s="121"/>
      <c r="K79" s="122"/>
      <c r="L79" s="120"/>
    </row>
    <row r="80" spans="1:12" s="2" customFormat="1" ht="20.100000000000001" customHeight="1">
      <c r="A80" s="47" t="str">
        <f>VLOOKUP(A78,TLV!A:B,2,FALSE)</f>
        <v>Cód. e-Social: N. C.</v>
      </c>
      <c r="B80" s="258"/>
      <c r="C80" s="261"/>
      <c r="D80" s="261"/>
      <c r="E80" s="261"/>
      <c r="F80" s="261"/>
      <c r="G80" s="250"/>
      <c r="J80" s="121"/>
    </row>
    <row r="81" spans="1:10" s="2" customFormat="1" ht="20.100000000000001" customHeight="1">
      <c r="A81" s="19"/>
      <c r="B81" s="73"/>
      <c r="C81" s="19"/>
      <c r="D81" s="19"/>
      <c r="E81" s="19"/>
      <c r="F81" s="19"/>
      <c r="G81" s="74"/>
      <c r="J81" s="121"/>
    </row>
    <row r="82" spans="1:10" s="2" customFormat="1" ht="20.100000000000001" customHeight="1">
      <c r="A82" s="19"/>
      <c r="B82" s="73"/>
      <c r="C82" s="19"/>
      <c r="D82" s="19"/>
      <c r="E82" s="19"/>
      <c r="F82" s="19"/>
      <c r="G82" s="74"/>
      <c r="J82" s="121"/>
    </row>
    <row r="83" spans="1:10" s="2" customFormat="1" ht="20.100000000000001" customHeight="1">
      <c r="A83" s="19"/>
      <c r="B83" s="73"/>
      <c r="C83" s="19"/>
      <c r="D83" s="19"/>
      <c r="E83" s="19"/>
      <c r="F83" s="19"/>
      <c r="G83" s="74"/>
      <c r="J83" s="121"/>
    </row>
    <row r="84" spans="1:10" s="3" customFormat="1" ht="20.100000000000001" customHeight="1">
      <c r="A84" s="220" t="s">
        <v>1583</v>
      </c>
      <c r="B84" s="221"/>
      <c r="C84" s="221"/>
      <c r="D84" s="221"/>
      <c r="E84" s="138" t="str" cm="1">
        <f t="array" ref="E84:F84">_xlfn.ANCHORARRAY(E1)</f>
        <v>0000 -</v>
      </c>
      <c r="F84" s="139" t="str">
        <v>1 / 2026.0</v>
      </c>
      <c r="G84" s="140"/>
    </row>
    <row r="85" spans="1:10" s="3" customFormat="1" ht="20.100000000000001" customHeight="1">
      <c r="A85" s="232" t="s">
        <v>1476</v>
      </c>
      <c r="B85" s="232"/>
      <c r="C85" s="232"/>
      <c r="D85" s="232"/>
      <c r="E85" s="232"/>
      <c r="F85" s="232"/>
      <c r="G85" s="232"/>
    </row>
    <row r="86" spans="1:10" s="2" customFormat="1" ht="20.100000000000001" customHeight="1">
      <c r="A86" s="19"/>
      <c r="B86" s="73"/>
      <c r="C86" s="19"/>
      <c r="D86" s="19"/>
      <c r="E86" s="19"/>
      <c r="F86" s="19"/>
      <c r="G86" s="74"/>
      <c r="J86" s="121"/>
    </row>
    <row r="87" spans="1:10" s="2" customFormat="1" ht="20.100000000000001" customHeight="1">
      <c r="A87" s="11" t="s">
        <v>12</v>
      </c>
    </row>
    <row r="88" spans="1:10" s="3" customFormat="1" ht="20.100000000000001" customHeight="1">
      <c r="A88" s="262" t="s">
        <v>1462</v>
      </c>
      <c r="B88" s="262"/>
      <c r="C88" s="262"/>
      <c r="D88" s="262"/>
      <c r="E88" s="262"/>
      <c r="F88" s="262"/>
      <c r="G88" s="262"/>
    </row>
    <row r="89" spans="1:10" s="3" customFormat="1" ht="20.100000000000001" customHeight="1">
      <c r="A89" s="262" t="s">
        <v>1463</v>
      </c>
      <c r="B89" s="262"/>
      <c r="C89" s="262"/>
      <c r="D89" s="262"/>
      <c r="E89" s="262"/>
      <c r="F89" s="262"/>
      <c r="G89" s="262"/>
    </row>
    <row r="90" spans="1:10" s="3" customFormat="1" ht="20.100000000000001" customHeight="1">
      <c r="A90" s="262" t="s">
        <v>1348</v>
      </c>
      <c r="B90" s="262"/>
    </row>
    <row r="91" spans="1:10" s="2" customFormat="1" ht="20.100000000000001" customHeight="1">
      <c r="A91" s="19"/>
      <c r="B91" s="73"/>
      <c r="C91" s="19"/>
      <c r="D91" s="19"/>
      <c r="E91" s="19"/>
      <c r="F91" s="19"/>
      <c r="G91" s="74"/>
      <c r="J91" s="121"/>
    </row>
    <row r="92" spans="1:10" s="2" customFormat="1" ht="20.100000000000001" customHeight="1">
      <c r="A92" s="78" t="s">
        <v>31</v>
      </c>
    </row>
    <row r="93" spans="1:10" s="2" customFormat="1" ht="20.100000000000001" customHeight="1">
      <c r="A93" s="262" t="s">
        <v>1466</v>
      </c>
      <c r="B93" s="263"/>
      <c r="C93" s="263"/>
      <c r="D93" s="263"/>
      <c r="E93" s="263"/>
      <c r="F93" s="263"/>
      <c r="G93" s="263"/>
    </row>
    <row r="94" spans="1:10" s="2" customFormat="1" ht="20.100000000000001" customHeight="1">
      <c r="A94" s="262" t="s">
        <v>30</v>
      </c>
      <c r="B94" s="262"/>
      <c r="C94" s="262"/>
      <c r="D94" s="262"/>
      <c r="E94" s="262"/>
      <c r="F94" s="262"/>
      <c r="G94" s="262"/>
    </row>
    <row r="95" spans="1:10" s="2" customFormat="1" ht="20.100000000000001" customHeight="1">
      <c r="A95" s="281" t="s">
        <v>1461</v>
      </c>
      <c r="B95" s="281"/>
      <c r="C95" s="281"/>
      <c r="D95" s="281"/>
      <c r="E95" s="281"/>
      <c r="F95" s="281"/>
      <c r="G95" s="281"/>
    </row>
    <row r="96" spans="1:10" s="2" customFormat="1" ht="20.100000000000001" customHeight="1">
      <c r="A96" s="262" t="s">
        <v>1302</v>
      </c>
      <c r="B96" s="263"/>
      <c r="C96" s="263"/>
      <c r="D96" s="263"/>
      <c r="E96" s="263"/>
      <c r="F96" s="263"/>
      <c r="G96" s="263"/>
    </row>
    <row r="97" spans="1:20" s="2" customFormat="1" ht="20.100000000000001" customHeight="1">
      <c r="A97" s="45"/>
      <c r="B97" s="77"/>
      <c r="C97" s="77"/>
      <c r="D97" s="77"/>
      <c r="E97" s="77"/>
      <c r="F97" s="77"/>
      <c r="G97" s="77"/>
    </row>
    <row r="98" spans="1:20" ht="20.100000000000001" customHeight="1">
      <c r="A98" s="264" t="s">
        <v>1352</v>
      </c>
      <c r="B98" s="264"/>
      <c r="C98" s="82"/>
      <c r="D98" s="82"/>
      <c r="E98" s="82"/>
      <c r="F98" s="82"/>
      <c r="G98" s="82"/>
    </row>
    <row r="99" spans="1:20" ht="20.100000000000001" customHeight="1">
      <c r="A99" s="44" t="str">
        <f>VLOOKUP($A$18,TLV!G:K,3,FALSE)</f>
        <v>Filtro de éster de celulose</v>
      </c>
      <c r="B99" s="78"/>
      <c r="C99" s="82"/>
      <c r="D99" s="82"/>
      <c r="E99" s="82"/>
      <c r="F99" s="82"/>
      <c r="G99" s="82"/>
    </row>
    <row r="100" spans="1:20" ht="20.100000000000001" customHeight="1">
      <c r="A100" s="44"/>
      <c r="B100" s="78"/>
      <c r="C100" s="82"/>
      <c r="D100" s="82"/>
      <c r="E100" s="82"/>
      <c r="F100" s="82"/>
      <c r="G100" s="82"/>
    </row>
    <row r="101" spans="1:20" s="3" customFormat="1" ht="20.100000000000001" customHeight="1">
      <c r="A101" s="264" t="s">
        <v>28</v>
      </c>
      <c r="B101" s="264"/>
      <c r="C101" s="20">
        <v>1</v>
      </c>
      <c r="D101" s="2"/>
      <c r="E101" s="2"/>
      <c r="F101" s="2"/>
      <c r="G101" s="2"/>
    </row>
    <row r="102" spans="1:20" s="3" customFormat="1" ht="20.100000000000001" customHeight="1">
      <c r="A102" s="44" t="str">
        <f>VLOOKUP($A$18,TLV!G:K,5,FALSE)</f>
        <v>Espectrofotometria</v>
      </c>
      <c r="B102" s="78"/>
      <c r="C102" s="20"/>
      <c r="D102" s="2"/>
      <c r="E102" s="2"/>
      <c r="F102" s="2"/>
      <c r="G102" s="2"/>
    </row>
    <row r="103" spans="1:20" s="3" customFormat="1" ht="20.100000000000001" customHeight="1">
      <c r="A103" s="44"/>
      <c r="B103" s="78"/>
      <c r="C103" s="20"/>
      <c r="D103" s="2"/>
      <c r="E103" s="2"/>
      <c r="F103" s="2"/>
      <c r="G103" s="2"/>
    </row>
    <row r="104" spans="1:20" s="2" customFormat="1" ht="20.100000000000001" customHeight="1">
      <c r="A104" s="11" t="s">
        <v>32</v>
      </c>
      <c r="C104" s="20">
        <v>1</v>
      </c>
      <c r="O104" s="117"/>
      <c r="P104" s="117"/>
      <c r="Q104" s="117"/>
    </row>
    <row r="105" spans="1:20" s="2" customFormat="1" ht="20.100000000000001" customHeight="1">
      <c r="A105" s="228" t="s">
        <v>33</v>
      </c>
      <c r="B105" s="228"/>
      <c r="C105" s="228"/>
      <c r="D105" s="228"/>
      <c r="E105" s="228"/>
      <c r="F105" s="228"/>
      <c r="G105" s="228"/>
    </row>
    <row r="106" spans="1:20" s="2" customFormat="1" ht="20.100000000000001" customHeight="1">
      <c r="A106" s="228" t="s">
        <v>84</v>
      </c>
      <c r="B106" s="228"/>
      <c r="C106" s="228"/>
      <c r="D106" s="228"/>
      <c r="E106" s="228"/>
      <c r="F106" s="44"/>
      <c r="G106" s="44"/>
    </row>
    <row r="107" spans="1:20" s="2" customFormat="1" ht="20.100000000000001" customHeight="1">
      <c r="A107" s="228" t="s">
        <v>85</v>
      </c>
      <c r="B107" s="228"/>
      <c r="C107" s="228"/>
      <c r="D107" s="44"/>
      <c r="E107" s="44"/>
      <c r="F107" s="44"/>
      <c r="G107" s="44"/>
      <c r="L107" s="266"/>
      <c r="M107" s="266"/>
      <c r="N107" s="266"/>
      <c r="O107" s="266"/>
      <c r="P107" s="266"/>
      <c r="Q107" s="266"/>
      <c r="R107" s="266"/>
      <c r="S107" s="266"/>
      <c r="T107" s="266"/>
    </row>
    <row r="108" spans="1:20" s="2" customFormat="1" ht="20.100000000000001" customHeight="1">
      <c r="A108" s="228" t="s">
        <v>34</v>
      </c>
      <c r="B108" s="228"/>
      <c r="C108" s="228"/>
      <c r="D108" s="228"/>
      <c r="E108" s="228"/>
      <c r="F108" s="228"/>
      <c r="G108" s="228"/>
    </row>
    <row r="109" spans="1:20" s="2" customFormat="1" ht="20.100000000000001" customHeight="1">
      <c r="A109" s="228" t="s">
        <v>1533</v>
      </c>
      <c r="B109" s="228"/>
      <c r="C109" s="228"/>
      <c r="D109" s="228"/>
      <c r="E109" s="228"/>
      <c r="F109" s="228"/>
      <c r="G109" s="228"/>
    </row>
    <row r="110" spans="1:20" s="2" customFormat="1" ht="20.100000000000001" customHeight="1"/>
    <row r="111" spans="1:20" s="2" customFormat="1" ht="20.100000000000001" customHeight="1">
      <c r="A111" s="11" t="s">
        <v>35</v>
      </c>
    </row>
    <row r="112" spans="1:20" s="2" customFormat="1" ht="20.100000000000001" customHeight="1">
      <c r="A112" s="267" t="str">
        <f>VLOOKUP($I$113,K113:L114,2,FALSE)</f>
        <v>De acordo com os resultados encontrados é possível afirmar que as concentrações dos agentes monitorados, encontram-se dentro dos limites exigidos pelas referências acima, índices esses também aceitos pela Associação Brasileira de Higienistas Ocupacionais - ABHO e Ministério do Trabalho e Emprego.</v>
      </c>
      <c r="B112" s="267"/>
      <c r="C112" s="267"/>
      <c r="D112" s="267"/>
      <c r="E112" s="267"/>
      <c r="F112" s="267"/>
      <c r="G112" s="267"/>
      <c r="I112" s="2" t="s">
        <v>1464</v>
      </c>
      <c r="K112" s="3"/>
      <c r="N112" s="3"/>
    </row>
    <row r="113" spans="1:14" s="2" customFormat="1" ht="20.100000000000001" customHeight="1">
      <c r="A113" s="267"/>
      <c r="B113" s="267"/>
      <c r="C113" s="267"/>
      <c r="D113" s="267"/>
      <c r="E113" s="267"/>
      <c r="F113" s="267"/>
      <c r="G113" s="267"/>
      <c r="I113" s="114">
        <v>2</v>
      </c>
      <c r="J113" s="115" t="s">
        <v>1465</v>
      </c>
      <c r="K113" s="15">
        <v>1</v>
      </c>
      <c r="L113" s="116" t="s">
        <v>1109</v>
      </c>
      <c r="M113" s="117"/>
      <c r="N113" s="117"/>
    </row>
    <row r="114" spans="1:14" s="2" customFormat="1" ht="20.100000000000001" customHeight="1">
      <c r="A114" s="267"/>
      <c r="B114" s="267"/>
      <c r="C114" s="267"/>
      <c r="D114" s="267"/>
      <c r="E114" s="267"/>
      <c r="F114" s="267"/>
      <c r="G114" s="267"/>
      <c r="J114" s="15" t="s">
        <v>1324</v>
      </c>
      <c r="K114" s="15">
        <v>2</v>
      </c>
      <c r="L114" s="116" t="s">
        <v>1103</v>
      </c>
      <c r="M114" s="117"/>
      <c r="N114" s="117"/>
    </row>
    <row r="115" spans="1:14" s="2" customFormat="1" ht="20.100000000000001" customHeight="1">
      <c r="A115" s="267"/>
      <c r="B115" s="267"/>
      <c r="C115" s="267"/>
      <c r="D115" s="267"/>
      <c r="E115" s="267"/>
      <c r="F115" s="267"/>
      <c r="G115" s="267"/>
      <c r="K115" s="1"/>
      <c r="L115" s="1"/>
      <c r="M115" s="1"/>
    </row>
    <row r="116" spans="1:14" s="2" customFormat="1" ht="20.100000000000001" customHeight="1">
      <c r="A116" s="131"/>
      <c r="B116" s="131"/>
      <c r="C116" s="131"/>
      <c r="D116" s="131"/>
      <c r="E116" s="131"/>
      <c r="F116" s="131"/>
      <c r="G116" s="131"/>
      <c r="K116" s="1"/>
      <c r="L116" s="1"/>
      <c r="M116" s="1"/>
    </row>
    <row r="117" spans="1:14" s="2" customFormat="1" ht="20.100000000000001" customHeight="1">
      <c r="A117" s="131"/>
      <c r="B117" s="131"/>
      <c r="C117" s="131"/>
      <c r="D117" s="131"/>
      <c r="E117" s="131"/>
      <c r="F117" s="131"/>
      <c r="G117" s="131"/>
      <c r="K117" s="1"/>
      <c r="L117" s="1"/>
      <c r="M117" s="1"/>
    </row>
    <row r="118" spans="1:14" s="2" customFormat="1" ht="20.100000000000001" customHeight="1">
      <c r="A118" s="131"/>
      <c r="B118" s="131"/>
      <c r="C118" s="82" t="s">
        <v>1328</v>
      </c>
      <c r="D118" s="265" t="str">
        <f>'Capa '!M12</f>
        <v>01 de janeiro de 2026.</v>
      </c>
      <c r="E118" s="265"/>
      <c r="F118" s="265"/>
      <c r="G118" s="131"/>
      <c r="K118" s="1"/>
      <c r="L118" s="1"/>
      <c r="M118" s="1"/>
    </row>
    <row r="119" spans="1:14" s="2" customFormat="1" ht="20.100000000000001" customHeight="1">
      <c r="A119" s="131"/>
      <c r="B119" s="131"/>
      <c r="C119" s="131"/>
      <c r="D119" s="131"/>
      <c r="E119" s="131"/>
      <c r="F119" s="131"/>
      <c r="G119" s="131"/>
      <c r="K119" s="1"/>
      <c r="L119" s="1"/>
      <c r="M119" s="1"/>
    </row>
    <row r="120" spans="1:14" s="2" customFormat="1" ht="20.100000000000001" customHeight="1">
      <c r="A120" s="131"/>
      <c r="B120" s="131"/>
      <c r="C120" s="131"/>
      <c r="D120" s="131"/>
      <c r="E120" s="131"/>
      <c r="F120" s="131"/>
      <c r="G120" s="131"/>
      <c r="K120" s="1"/>
      <c r="L120" s="1"/>
      <c r="M120" s="1"/>
    </row>
    <row r="121" spans="1:14" s="2" customFormat="1" ht="20.100000000000001" customHeight="1">
      <c r="A121" s="131"/>
      <c r="B121" s="131"/>
      <c r="C121" s="131"/>
      <c r="D121" s="131"/>
      <c r="E121" s="131"/>
      <c r="F121" s="131"/>
      <c r="G121" s="131"/>
      <c r="K121" s="1"/>
      <c r="L121" s="1"/>
      <c r="M121" s="1"/>
    </row>
    <row r="122" spans="1:14" s="2" customFormat="1" ht="20.100000000000001" customHeight="1">
      <c r="A122" s="131"/>
      <c r="B122" s="131"/>
      <c r="C122" s="131"/>
      <c r="D122" s="131"/>
      <c r="E122" s="131"/>
      <c r="F122" s="131"/>
      <c r="G122" s="131"/>
      <c r="K122" s="1"/>
      <c r="L122" s="1"/>
      <c r="M122" s="1"/>
    </row>
    <row r="123" spans="1:14" s="2" customFormat="1" ht="20.100000000000001" customHeight="1">
      <c r="A123" s="131"/>
      <c r="B123" s="131"/>
      <c r="C123" s="131"/>
      <c r="D123" s="131"/>
      <c r="E123" s="131"/>
      <c r="F123" s="131"/>
      <c r="G123" s="131"/>
      <c r="K123" s="1"/>
      <c r="L123" s="1"/>
      <c r="M123" s="1"/>
    </row>
    <row r="124" spans="1:14" s="2" customFormat="1" ht="20.100000000000001" customHeight="1">
      <c r="A124" s="131"/>
      <c r="B124" s="131"/>
      <c r="C124" s="131"/>
      <c r="D124" s="131"/>
      <c r="E124" s="131"/>
      <c r="F124" s="131"/>
      <c r="G124" s="131"/>
      <c r="K124" s="1"/>
      <c r="L124" s="1"/>
      <c r="M124" s="1"/>
    </row>
    <row r="125" spans="1:14" s="2" customFormat="1" ht="20.100000000000001" customHeight="1">
      <c r="A125" s="131"/>
      <c r="B125" s="131"/>
      <c r="C125" s="131"/>
      <c r="D125" s="131"/>
      <c r="E125" s="131"/>
      <c r="F125" s="131"/>
      <c r="G125" s="131"/>
      <c r="K125" s="1"/>
      <c r="L125" s="1"/>
      <c r="M125" s="1"/>
    </row>
    <row r="126" spans="1:14" s="2" customFormat="1" ht="20.100000000000001" customHeight="1">
      <c r="A126" s="131"/>
      <c r="B126" s="131"/>
      <c r="C126" s="131"/>
      <c r="D126" s="131"/>
      <c r="E126" s="131"/>
      <c r="F126" s="131"/>
      <c r="G126" s="131"/>
      <c r="K126" s="1"/>
      <c r="L126" s="1"/>
      <c r="M126" s="1"/>
    </row>
    <row r="127" spans="1:14" s="2" customFormat="1" ht="20.100000000000001" customHeight="1">
      <c r="A127" s="131"/>
      <c r="B127" s="131"/>
      <c r="C127" s="131"/>
      <c r="D127" s="131"/>
      <c r="E127" s="131"/>
      <c r="F127" s="131"/>
      <c r="G127" s="131"/>
      <c r="K127" s="1"/>
      <c r="L127" s="1"/>
      <c r="M127" s="1"/>
    </row>
    <row r="128" spans="1:14" s="2" customFormat="1" ht="20.100000000000001" customHeight="1">
      <c r="A128" s="131"/>
      <c r="B128" s="131"/>
      <c r="G128" s="131"/>
      <c r="K128" s="1"/>
      <c r="L128" s="1"/>
      <c r="M128" s="1"/>
    </row>
    <row r="129" spans="1:13" s="2" customFormat="1" ht="20.100000000000001" customHeight="1">
      <c r="A129" s="131"/>
      <c r="B129" s="131"/>
      <c r="C129" s="131"/>
      <c r="D129" s="131"/>
      <c r="E129" s="131"/>
      <c r="F129" s="131"/>
      <c r="G129" s="131"/>
      <c r="K129" s="1"/>
      <c r="L129" s="1"/>
      <c r="M129" s="1"/>
    </row>
    <row r="130" spans="1:13" ht="20.100000000000001" customHeight="1">
      <c r="A130" s="85"/>
      <c r="B130" s="85"/>
      <c r="G130" s="85"/>
    </row>
    <row r="131" spans="1:13" s="2" customFormat="1" ht="20.100000000000001" customHeight="1">
      <c r="C131" s="39"/>
      <c r="D131" s="39"/>
      <c r="E131" s="39"/>
    </row>
    <row r="132" spans="1:13" s="2" customFormat="1" ht="20.100000000000001" customHeight="1">
      <c r="C132" s="39"/>
      <c r="D132" s="39"/>
      <c r="E132" s="39"/>
    </row>
    <row r="133" spans="1:13" s="2" customFormat="1" ht="20.100000000000001" customHeight="1">
      <c r="C133" s="18"/>
      <c r="D133" s="18"/>
      <c r="E133" s="18"/>
    </row>
    <row r="134" spans="1:13" s="2" customFormat="1" ht="20.100000000000001" customHeight="1">
      <c r="C134" s="38"/>
      <c r="D134" s="38"/>
      <c r="E134" s="38"/>
    </row>
    <row r="135" spans="1:13" s="2" customFormat="1" ht="20.100000000000001" customHeight="1">
      <c r="A135" s="227"/>
      <c r="B135" s="227"/>
      <c r="C135" s="227"/>
      <c r="D135" s="38"/>
      <c r="E135" s="38"/>
    </row>
    <row r="136" spans="1:13" s="2" customFormat="1" ht="20.100000000000001" customHeight="1">
      <c r="C136" s="38"/>
      <c r="D136" s="38"/>
      <c r="E136" s="38"/>
    </row>
    <row r="138" spans="1:13" ht="20.100000000000001" customHeight="1">
      <c r="A138" s="79"/>
    </row>
  </sheetData>
  <mergeCells count="166">
    <mergeCell ref="A2:G2"/>
    <mergeCell ref="A3:G3"/>
    <mergeCell ref="B4:G4"/>
    <mergeCell ref="B5:G5"/>
    <mergeCell ref="B6:G6"/>
    <mergeCell ref="A11:G11"/>
    <mergeCell ref="B12:C12"/>
    <mergeCell ref="D12:E12"/>
    <mergeCell ref="A1:D1"/>
    <mergeCell ref="A13:C13"/>
    <mergeCell ref="D13:E13"/>
    <mergeCell ref="F13:G13"/>
    <mergeCell ref="A7:G7"/>
    <mergeCell ref="B8:G8"/>
    <mergeCell ref="B9:D9"/>
    <mergeCell ref="F9:G9"/>
    <mergeCell ref="B10:D10"/>
    <mergeCell ref="F10:G10"/>
    <mergeCell ref="B18:B20"/>
    <mergeCell ref="C18:C20"/>
    <mergeCell ref="D18:D20"/>
    <mergeCell ref="E18:E20"/>
    <mergeCell ref="F18:F20"/>
    <mergeCell ref="G18:G20"/>
    <mergeCell ref="A15:G15"/>
    <mergeCell ref="A16:A17"/>
    <mergeCell ref="C16:C17"/>
    <mergeCell ref="D16:E16"/>
    <mergeCell ref="F16:F17"/>
    <mergeCell ref="G16:G17"/>
    <mergeCell ref="B24:B26"/>
    <mergeCell ref="C24:C26"/>
    <mergeCell ref="D24:D26"/>
    <mergeCell ref="E24:E26"/>
    <mergeCell ref="F24:F26"/>
    <mergeCell ref="G24:G26"/>
    <mergeCell ref="B21:B23"/>
    <mergeCell ref="C21:C23"/>
    <mergeCell ref="D21:D23"/>
    <mergeCell ref="E21:E23"/>
    <mergeCell ref="F21:F23"/>
    <mergeCell ref="G21:G23"/>
    <mergeCell ref="L107:T107"/>
    <mergeCell ref="A108:G108"/>
    <mergeCell ref="A109:G109"/>
    <mergeCell ref="A112:G115"/>
    <mergeCell ref="A96:G96"/>
    <mergeCell ref="A98:B98"/>
    <mergeCell ref="A101:B101"/>
    <mergeCell ref="A105:G105"/>
    <mergeCell ref="A93:G93"/>
    <mergeCell ref="A94:G94"/>
    <mergeCell ref="A95:G95"/>
    <mergeCell ref="G27:G29"/>
    <mergeCell ref="B30:B32"/>
    <mergeCell ref="C30:C32"/>
    <mergeCell ref="D30:D32"/>
    <mergeCell ref="E30:E32"/>
    <mergeCell ref="F30:F32"/>
    <mergeCell ref="G30:G32"/>
    <mergeCell ref="D118:F118"/>
    <mergeCell ref="A135:C135"/>
    <mergeCell ref="B27:B29"/>
    <mergeCell ref="C27:C29"/>
    <mergeCell ref="D27:D29"/>
    <mergeCell ref="E27:E29"/>
    <mergeCell ref="F27:F29"/>
    <mergeCell ref="B33:B35"/>
    <mergeCell ref="C33:C35"/>
    <mergeCell ref="D33:D35"/>
    <mergeCell ref="A106:E106"/>
    <mergeCell ref="A107:C107"/>
    <mergeCell ref="B39:B41"/>
    <mergeCell ref="C39:C41"/>
    <mergeCell ref="D39:D41"/>
    <mergeCell ref="E39:E41"/>
    <mergeCell ref="F39:F41"/>
    <mergeCell ref="G39:G41"/>
    <mergeCell ref="E33:E35"/>
    <mergeCell ref="F33:F35"/>
    <mergeCell ref="G33:G35"/>
    <mergeCell ref="B36:B38"/>
    <mergeCell ref="C36:C38"/>
    <mergeCell ref="D36:D38"/>
    <mergeCell ref="E36:E38"/>
    <mergeCell ref="F36:F38"/>
    <mergeCell ref="G36:G38"/>
    <mergeCell ref="B51:B53"/>
    <mergeCell ref="C51:C53"/>
    <mergeCell ref="D51:D53"/>
    <mergeCell ref="E51:E53"/>
    <mergeCell ref="F51:F53"/>
    <mergeCell ref="G51:G53"/>
    <mergeCell ref="A42:D42"/>
    <mergeCell ref="A45:G45"/>
    <mergeCell ref="A46:A47"/>
    <mergeCell ref="C46:C47"/>
    <mergeCell ref="A43:G43"/>
    <mergeCell ref="D46:E46"/>
    <mergeCell ref="F46:F47"/>
    <mergeCell ref="G46:G47"/>
    <mergeCell ref="B48:B50"/>
    <mergeCell ref="C48:C50"/>
    <mergeCell ref="D48:D50"/>
    <mergeCell ref="E48:E50"/>
    <mergeCell ref="F48:F50"/>
    <mergeCell ref="G48:G50"/>
    <mergeCell ref="B60:B62"/>
    <mergeCell ref="C60:C62"/>
    <mergeCell ref="D60:D62"/>
    <mergeCell ref="E60:E62"/>
    <mergeCell ref="F60:F62"/>
    <mergeCell ref="G60:G62"/>
    <mergeCell ref="B57:B59"/>
    <mergeCell ref="C57:C59"/>
    <mergeCell ref="D57:D59"/>
    <mergeCell ref="E57:E59"/>
    <mergeCell ref="F57:F59"/>
    <mergeCell ref="G57:G59"/>
    <mergeCell ref="B54:B56"/>
    <mergeCell ref="C54:C56"/>
    <mergeCell ref="D54:D56"/>
    <mergeCell ref="E54:E56"/>
    <mergeCell ref="F54:F56"/>
    <mergeCell ref="G54:G56"/>
    <mergeCell ref="B69:B71"/>
    <mergeCell ref="C69:C71"/>
    <mergeCell ref="D69:D71"/>
    <mergeCell ref="E69:E71"/>
    <mergeCell ref="F69:F71"/>
    <mergeCell ref="G69:G71"/>
    <mergeCell ref="B63:B65"/>
    <mergeCell ref="C63:C65"/>
    <mergeCell ref="D63:D65"/>
    <mergeCell ref="E63:E65"/>
    <mergeCell ref="F63:F65"/>
    <mergeCell ref="G63:G65"/>
    <mergeCell ref="B66:B68"/>
    <mergeCell ref="C66:C68"/>
    <mergeCell ref="D66:D68"/>
    <mergeCell ref="E66:E68"/>
    <mergeCell ref="F66:F68"/>
    <mergeCell ref="G66:G68"/>
    <mergeCell ref="A84:D84"/>
    <mergeCell ref="A88:G88"/>
    <mergeCell ref="A89:G89"/>
    <mergeCell ref="A90:B90"/>
    <mergeCell ref="A85:G85"/>
    <mergeCell ref="B78:B80"/>
    <mergeCell ref="C78:C80"/>
    <mergeCell ref="D78:D80"/>
    <mergeCell ref="E78:E80"/>
    <mergeCell ref="F78:F80"/>
    <mergeCell ref="G78:G80"/>
    <mergeCell ref="B75:B77"/>
    <mergeCell ref="C75:C77"/>
    <mergeCell ref="D75:D77"/>
    <mergeCell ref="E75:E77"/>
    <mergeCell ref="F75:F77"/>
    <mergeCell ref="G75:G77"/>
    <mergeCell ref="B72:B74"/>
    <mergeCell ref="C72:C74"/>
    <mergeCell ref="D72:D74"/>
    <mergeCell ref="E72:E74"/>
    <mergeCell ref="F72:F74"/>
    <mergeCell ref="G72:G74"/>
  </mergeCells>
  <dataValidations count="1">
    <dataValidation type="list" allowBlank="1" showInputMessage="1" showErrorMessage="1" sqref="F13:G13" xr:uid="{00000000-0002-0000-0900-000000000000}">
      <formula1>"Alexandre O. Moura, Engº Arimar Neves Neto, German Bezerra, Diogo Farias dos Santos, Willian Douglas Brito, Emanuelle C. de Menezes"</formula1>
    </dataValidation>
  </dataValidations>
  <printOptions horizontalCentered="1" verticalCentered="1"/>
  <pageMargins left="0.39370078740157483" right="0.39370078740157483" top="1.5748031496062993" bottom="0.98425196850393704" header="0.31496062992125984" footer="0.31496062992125984"/>
  <pageSetup paperSize="9" scale="80" fitToHeight="0" orientation="portrait" horizontalDpi="360" verticalDpi="360" r:id="rId1"/>
  <headerFooter>
    <oddHeader>&amp;L&amp;G&amp;R&amp;G</oddHead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5:I28"/>
  <sheetViews>
    <sheetView showGridLines="0" view="pageBreakPreview" zoomScaleNormal="100" zoomScaleSheetLayoutView="100" zoomScalePageLayoutView="50" workbookViewId="0">
      <selection activeCell="F11" sqref="F11"/>
    </sheetView>
  </sheetViews>
  <sheetFormatPr defaultRowHeight="15"/>
  <cols>
    <col min="1" max="1" width="11.7109375" customWidth="1"/>
    <col min="2" max="2" width="8.28515625" customWidth="1"/>
    <col min="3" max="3" width="9.5703125" customWidth="1"/>
    <col min="4" max="4" width="10.28515625" customWidth="1"/>
    <col min="5" max="5" width="7.7109375" customWidth="1"/>
    <col min="6" max="6" width="12.28515625" customWidth="1"/>
    <col min="7" max="7" width="12.140625" customWidth="1"/>
    <col min="8" max="8" width="14.5703125" customWidth="1"/>
    <col min="9" max="9" width="18.28515625" customWidth="1"/>
    <col min="10" max="10" width="16.140625" customWidth="1"/>
    <col min="11" max="11" width="9.42578125" customWidth="1"/>
    <col min="12" max="12" width="46.42578125" customWidth="1"/>
    <col min="13" max="13" width="9.7109375" customWidth="1"/>
    <col min="14" max="14" width="11.42578125" customWidth="1"/>
    <col min="15" max="15" width="69" customWidth="1"/>
  </cols>
  <sheetData>
    <row r="25" spans="1:9">
      <c r="A25" s="272" t="s">
        <v>1843</v>
      </c>
      <c r="B25" s="272"/>
      <c r="C25" s="272"/>
      <c r="D25" s="272"/>
      <c r="E25" s="272"/>
      <c r="F25" s="272"/>
      <c r="G25" s="272"/>
      <c r="H25" s="272"/>
      <c r="I25" s="272"/>
    </row>
    <row r="26" spans="1:9" ht="15" customHeight="1">
      <c r="A26" s="272"/>
      <c r="B26" s="272"/>
      <c r="C26" s="272"/>
      <c r="D26" s="272"/>
      <c r="E26" s="272"/>
      <c r="F26" s="272"/>
      <c r="G26" s="272"/>
      <c r="H26" s="272"/>
      <c r="I26" s="272"/>
    </row>
    <row r="27" spans="1:9" ht="15" customHeight="1">
      <c r="A27" s="272"/>
      <c r="B27" s="272"/>
      <c r="C27" s="272"/>
      <c r="D27" s="272"/>
      <c r="E27" s="272"/>
      <c r="F27" s="272"/>
      <c r="G27" s="272"/>
      <c r="H27" s="272"/>
      <c r="I27" s="272"/>
    </row>
    <row r="28" spans="1:9" ht="15" customHeight="1">
      <c r="A28" s="272"/>
      <c r="B28" s="272"/>
      <c r="C28" s="272"/>
      <c r="D28" s="272"/>
      <c r="E28" s="272"/>
      <c r="F28" s="272"/>
      <c r="G28" s="272"/>
      <c r="H28" s="272"/>
      <c r="I28" s="272"/>
    </row>
  </sheetData>
  <mergeCells count="1">
    <mergeCell ref="A25:I28"/>
  </mergeCells>
  <printOptions horizontalCentered="1" verticalCentered="1"/>
  <pageMargins left="0.39370078740157483" right="0.19685039370078741" top="1.5748031496062993" bottom="0.59055118110236227" header="0.59055118110236227" footer="0.39370078740157483"/>
  <pageSetup paperSize="9" scale="90" orientation="portrait" r:id="rId1"/>
  <headerFooter>
    <oddHeader xml:space="preserve">&amp;L&amp;G
&amp;R&amp;G
</oddHead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187"/>
  <sheetViews>
    <sheetView view="pageBreakPreview" zoomScale="85" zoomScaleNormal="85" zoomScaleSheetLayoutView="85" workbookViewId="0">
      <pane ySplit="2" topLeftCell="A3" activePane="bottomLeft" state="frozen"/>
      <selection pane="bottomLeft" activeCell="G14" sqref="G14"/>
    </sheetView>
  </sheetViews>
  <sheetFormatPr defaultColWidth="9.140625" defaultRowHeight="39.950000000000003" customHeight="1"/>
  <cols>
    <col min="1" max="1" width="30.85546875" style="144" customWidth="1"/>
    <col min="2" max="2" width="34.42578125" style="144" customWidth="1"/>
    <col min="3" max="3" width="15.140625" style="144" customWidth="1"/>
    <col min="4" max="4" width="11.7109375" style="218" customWidth="1"/>
    <col min="5" max="5" width="12.140625" style="218" customWidth="1"/>
    <col min="6" max="6" width="12.85546875" style="144" customWidth="1"/>
    <col min="7" max="7" width="27.140625" style="155" customWidth="1"/>
    <col min="8" max="8" width="37.7109375" style="144" customWidth="1"/>
    <col min="9" max="9" width="15.5703125" style="144" customWidth="1"/>
    <col min="10" max="10" width="13.140625" style="155" customWidth="1"/>
    <col min="11" max="11" width="12.7109375" style="144" customWidth="1"/>
    <col min="12" max="12" width="14.85546875" style="155" customWidth="1"/>
    <col min="13" max="13" width="12.5703125" style="144" customWidth="1"/>
    <col min="14" max="14" width="11.28515625" style="144" customWidth="1"/>
    <col min="15" max="15" width="14.85546875" style="144" customWidth="1"/>
    <col min="16" max="16" width="13.85546875" style="154" customWidth="1"/>
    <col min="17" max="17" width="11.5703125" style="144" customWidth="1"/>
    <col min="18" max="16384" width="9.140625" style="144"/>
  </cols>
  <sheetData>
    <row r="1" spans="1:16" ht="39.950000000000003" customHeight="1">
      <c r="A1" s="142">
        <v>1</v>
      </c>
      <c r="B1" s="142">
        <v>2</v>
      </c>
      <c r="C1" s="142">
        <v>3</v>
      </c>
      <c r="D1" s="209">
        <v>4</v>
      </c>
      <c r="E1" s="209">
        <v>5</v>
      </c>
      <c r="F1" s="142">
        <v>6</v>
      </c>
      <c r="G1" s="143">
        <v>1</v>
      </c>
      <c r="H1" s="142">
        <v>2</v>
      </c>
      <c r="I1" s="142">
        <v>3</v>
      </c>
      <c r="J1" s="143">
        <v>4</v>
      </c>
      <c r="K1" s="142">
        <v>5</v>
      </c>
      <c r="L1" s="143">
        <v>6</v>
      </c>
      <c r="M1" s="142">
        <v>7</v>
      </c>
      <c r="N1" s="142">
        <v>8</v>
      </c>
      <c r="O1" s="142">
        <v>9</v>
      </c>
      <c r="P1" s="154">
        <v>10</v>
      </c>
    </row>
    <row r="2" spans="1:16" s="141" customFormat="1" ht="39.950000000000003" customHeight="1">
      <c r="A2" s="145" t="s">
        <v>1354</v>
      </c>
      <c r="B2" s="145" t="s">
        <v>1257</v>
      </c>
      <c r="C2" s="146" t="s">
        <v>2</v>
      </c>
      <c r="D2" s="210" t="s">
        <v>3</v>
      </c>
      <c r="E2" s="210" t="s">
        <v>4</v>
      </c>
      <c r="F2" s="146" t="s">
        <v>5</v>
      </c>
      <c r="G2" s="145" t="s">
        <v>1354</v>
      </c>
      <c r="H2" s="145" t="s">
        <v>6</v>
      </c>
      <c r="I2" s="145" t="s">
        <v>1349</v>
      </c>
      <c r="J2" s="147" t="s">
        <v>1325</v>
      </c>
      <c r="K2" s="145" t="s">
        <v>1055</v>
      </c>
      <c r="L2" s="182" t="s">
        <v>1057</v>
      </c>
      <c r="M2" s="183" t="s">
        <v>1058</v>
      </c>
      <c r="N2" s="146" t="s">
        <v>1307</v>
      </c>
      <c r="O2" s="148" t="s">
        <v>1</v>
      </c>
      <c r="P2" s="146" t="s">
        <v>1223</v>
      </c>
    </row>
    <row r="3" spans="1:16" s="141" customFormat="1" ht="39.950000000000003" customHeight="1">
      <c r="A3" s="151" t="s">
        <v>1573</v>
      </c>
      <c r="B3" s="150" t="s">
        <v>1355</v>
      </c>
      <c r="C3" s="150" t="s">
        <v>8</v>
      </c>
      <c r="D3" s="203">
        <v>1</v>
      </c>
      <c r="E3" s="203" t="s">
        <v>9</v>
      </c>
      <c r="F3" s="150">
        <v>4</v>
      </c>
      <c r="G3" s="151" t="s">
        <v>1573</v>
      </c>
      <c r="H3" s="151" t="s">
        <v>275</v>
      </c>
      <c r="I3" s="151"/>
      <c r="J3" s="169" t="s">
        <v>1534</v>
      </c>
      <c r="K3" s="169" t="s">
        <v>1060</v>
      </c>
      <c r="L3" s="169" t="s">
        <v>1525</v>
      </c>
      <c r="M3" s="176" t="s">
        <v>1142</v>
      </c>
      <c r="N3" s="150"/>
      <c r="O3" s="152"/>
      <c r="P3" s="150" t="s">
        <v>1622</v>
      </c>
    </row>
    <row r="4" spans="1:16" ht="39.950000000000003" customHeight="1">
      <c r="A4" s="151" t="s">
        <v>230</v>
      </c>
      <c r="B4" s="150" t="s">
        <v>1351</v>
      </c>
      <c r="C4" s="150" t="s">
        <v>8</v>
      </c>
      <c r="D4" s="203">
        <v>2</v>
      </c>
      <c r="E4" s="203" t="s">
        <v>9</v>
      </c>
      <c r="F4" s="159" t="s">
        <v>1610</v>
      </c>
      <c r="G4" s="151" t="s">
        <v>230</v>
      </c>
      <c r="H4" s="151" t="s">
        <v>135</v>
      </c>
      <c r="I4" s="151" t="s">
        <v>1326</v>
      </c>
      <c r="J4" s="151" t="s">
        <v>1381</v>
      </c>
      <c r="K4" s="151" t="s">
        <v>1060</v>
      </c>
      <c r="L4" s="151" t="s">
        <v>1723</v>
      </c>
      <c r="M4" s="158" t="s">
        <v>1728</v>
      </c>
      <c r="N4" s="156" t="s">
        <v>1318</v>
      </c>
      <c r="O4" s="161" t="s">
        <v>1318</v>
      </c>
      <c r="P4" s="156" t="s">
        <v>1623</v>
      </c>
    </row>
    <row r="5" spans="1:16" ht="39.950000000000003" customHeight="1">
      <c r="A5" s="151" t="s">
        <v>1527</v>
      </c>
      <c r="B5" s="150" t="s">
        <v>1355</v>
      </c>
      <c r="C5" s="150" t="s">
        <v>8</v>
      </c>
      <c r="D5" s="203">
        <v>50</v>
      </c>
      <c r="E5" s="203">
        <v>100</v>
      </c>
      <c r="F5" s="150" t="s">
        <v>9</v>
      </c>
      <c r="G5" s="151" t="s">
        <v>1527</v>
      </c>
      <c r="H5" s="151" t="s">
        <v>1480</v>
      </c>
      <c r="I5" s="151" t="s">
        <v>1326</v>
      </c>
      <c r="J5" s="151" t="s">
        <v>1528</v>
      </c>
      <c r="K5" s="151" t="s">
        <v>1060</v>
      </c>
      <c r="L5" s="151" t="s">
        <v>1071</v>
      </c>
      <c r="M5" s="152" t="s">
        <v>1703</v>
      </c>
      <c r="N5" s="150">
        <v>2</v>
      </c>
      <c r="O5" s="150">
        <v>2</v>
      </c>
      <c r="P5" s="156" t="s">
        <v>1614</v>
      </c>
    </row>
    <row r="6" spans="1:16" ht="39.950000000000003" customHeight="1">
      <c r="A6" s="151" t="s">
        <v>1303</v>
      </c>
      <c r="B6" s="150" t="s">
        <v>1355</v>
      </c>
      <c r="C6" s="150" t="s">
        <v>8</v>
      </c>
      <c r="D6" s="203">
        <v>20</v>
      </c>
      <c r="E6" s="203" t="s">
        <v>9</v>
      </c>
      <c r="F6" s="150">
        <v>39</v>
      </c>
      <c r="G6" s="151" t="s">
        <v>1303</v>
      </c>
      <c r="H6" s="151" t="s">
        <v>147</v>
      </c>
      <c r="I6" s="151" t="s">
        <v>1326</v>
      </c>
      <c r="J6" s="151" t="s">
        <v>1382</v>
      </c>
      <c r="K6" s="151" t="s">
        <v>1060</v>
      </c>
      <c r="L6" s="151" t="s">
        <v>1525</v>
      </c>
      <c r="M6" s="158" t="s">
        <v>1682</v>
      </c>
      <c r="N6" s="156" t="s">
        <v>1308</v>
      </c>
      <c r="O6" s="161" t="s">
        <v>1308</v>
      </c>
      <c r="P6" s="156" t="s">
        <v>1624</v>
      </c>
    </row>
    <row r="7" spans="1:16" s="141" customFormat="1" ht="40.5" customHeight="1">
      <c r="A7" s="151" t="s">
        <v>1611</v>
      </c>
      <c r="B7" s="150" t="s">
        <v>1355</v>
      </c>
      <c r="C7" s="150" t="s">
        <v>8</v>
      </c>
      <c r="D7" s="203">
        <v>0.2</v>
      </c>
      <c r="E7" s="203">
        <v>1</v>
      </c>
      <c r="F7" s="150" t="s">
        <v>9</v>
      </c>
      <c r="G7" s="151" t="s">
        <v>1611</v>
      </c>
      <c r="H7" s="151" t="s">
        <v>1685</v>
      </c>
      <c r="I7" s="151" t="s">
        <v>1326</v>
      </c>
      <c r="J7" s="151" t="s">
        <v>1613</v>
      </c>
      <c r="K7" s="151" t="s">
        <v>1060</v>
      </c>
      <c r="L7" s="151" t="s">
        <v>1525</v>
      </c>
      <c r="M7" s="158" t="s">
        <v>1701</v>
      </c>
      <c r="N7" s="156" t="s">
        <v>1615</v>
      </c>
      <c r="O7" s="161" t="s">
        <v>1833</v>
      </c>
      <c r="P7" s="150" t="s">
        <v>1625</v>
      </c>
    </row>
    <row r="8" spans="1:16" s="141" customFormat="1" ht="40.5" customHeight="1">
      <c r="A8" s="151" t="s">
        <v>496</v>
      </c>
      <c r="B8" s="150" t="s">
        <v>1355</v>
      </c>
      <c r="C8" s="150" t="s">
        <v>8</v>
      </c>
      <c r="D8" s="203">
        <v>5</v>
      </c>
      <c r="E8" s="203" t="s">
        <v>9</v>
      </c>
      <c r="F8" s="150">
        <v>78</v>
      </c>
      <c r="G8" s="151" t="s">
        <v>496</v>
      </c>
      <c r="H8" s="151" t="s">
        <v>1478</v>
      </c>
      <c r="I8" s="151" t="s">
        <v>1326</v>
      </c>
      <c r="J8" s="151" t="s">
        <v>1382</v>
      </c>
      <c r="K8" s="151" t="s">
        <v>1060</v>
      </c>
      <c r="L8" s="151" t="s">
        <v>1669</v>
      </c>
      <c r="M8" s="158" t="s">
        <v>1670</v>
      </c>
      <c r="N8" s="156" t="s">
        <v>1448</v>
      </c>
      <c r="O8" s="161" t="s">
        <v>1311</v>
      </c>
      <c r="P8" s="150" t="s">
        <v>4752</v>
      </c>
    </row>
    <row r="9" spans="1:16" s="141" customFormat="1" ht="40.5" customHeight="1">
      <c r="A9" s="151" t="s">
        <v>4763</v>
      </c>
      <c r="B9" s="150" t="s">
        <v>1355</v>
      </c>
      <c r="C9" s="150" t="s">
        <v>8</v>
      </c>
      <c r="D9" s="203">
        <v>200</v>
      </c>
      <c r="E9" s="203">
        <v>400</v>
      </c>
      <c r="F9" s="150">
        <v>310</v>
      </c>
      <c r="G9" s="151" t="s">
        <v>4763</v>
      </c>
      <c r="H9" s="151" t="s">
        <v>4764</v>
      </c>
      <c r="I9" s="151" t="s">
        <v>1326</v>
      </c>
      <c r="J9" s="151" t="s">
        <v>1397</v>
      </c>
      <c r="K9" s="151" t="s">
        <v>1060</v>
      </c>
      <c r="L9" s="151" t="s">
        <v>1525</v>
      </c>
      <c r="M9" s="158" t="s">
        <v>1676</v>
      </c>
      <c r="N9" s="150"/>
      <c r="O9" s="152"/>
      <c r="P9" s="150" t="s">
        <v>1626</v>
      </c>
    </row>
    <row r="10" spans="1:16" s="141" customFormat="1" ht="39.950000000000003" customHeight="1">
      <c r="A10" s="150" t="s">
        <v>7</v>
      </c>
      <c r="B10" s="150" t="s">
        <v>1355</v>
      </c>
      <c r="C10" s="150" t="s">
        <v>8</v>
      </c>
      <c r="D10" s="203" t="s">
        <v>9</v>
      </c>
      <c r="E10" s="203">
        <v>25</v>
      </c>
      <c r="F10" s="150">
        <v>78</v>
      </c>
      <c r="G10" s="150" t="s">
        <v>7</v>
      </c>
      <c r="H10" s="151" t="s">
        <v>1547</v>
      </c>
      <c r="I10" s="151" t="s">
        <v>1336</v>
      </c>
      <c r="J10" s="151" t="s">
        <v>1383</v>
      </c>
      <c r="K10" s="151" t="s">
        <v>1060</v>
      </c>
      <c r="L10" s="151" t="s">
        <v>1667</v>
      </c>
      <c r="M10" s="162">
        <v>15</v>
      </c>
      <c r="N10" s="150" t="s">
        <v>1309</v>
      </c>
      <c r="O10" s="152" t="s">
        <v>1309</v>
      </c>
      <c r="P10" s="150" t="s">
        <v>1626</v>
      </c>
    </row>
    <row r="11" spans="1:16" s="141" customFormat="1" ht="39.950000000000003" customHeight="1">
      <c r="A11" s="151" t="s">
        <v>4753</v>
      </c>
      <c r="B11" s="150" t="s">
        <v>1355</v>
      </c>
      <c r="C11" s="150" t="s">
        <v>8</v>
      </c>
      <c r="D11" s="203">
        <v>20</v>
      </c>
      <c r="E11" s="203" t="s">
        <v>9</v>
      </c>
      <c r="F11" s="150" t="s">
        <v>9</v>
      </c>
      <c r="G11" s="151" t="s">
        <v>4753</v>
      </c>
      <c r="H11" s="151" t="s">
        <v>41</v>
      </c>
      <c r="I11" s="151" t="s">
        <v>1326</v>
      </c>
      <c r="J11" s="151" t="s">
        <v>4750</v>
      </c>
      <c r="K11" s="151" t="s">
        <v>1060</v>
      </c>
      <c r="L11" s="151">
        <v>1</v>
      </c>
      <c r="M11" s="158" t="s">
        <v>4751</v>
      </c>
      <c r="N11" s="150"/>
      <c r="O11" s="152"/>
      <c r="P11" s="150" t="s">
        <v>1627</v>
      </c>
    </row>
    <row r="12" spans="1:16" s="141" customFormat="1" ht="39.950000000000003" customHeight="1">
      <c r="A12" s="151" t="s">
        <v>1471</v>
      </c>
      <c r="B12" s="150" t="s">
        <v>1355</v>
      </c>
      <c r="C12" s="150" t="s">
        <v>8</v>
      </c>
      <c r="D12" s="203">
        <v>5</v>
      </c>
      <c r="E12" s="203" t="s">
        <v>9</v>
      </c>
      <c r="F12" s="150">
        <v>78</v>
      </c>
      <c r="G12" s="151" t="s">
        <v>1471</v>
      </c>
      <c r="H12" s="151" t="s">
        <v>89</v>
      </c>
      <c r="I12" s="151" t="s">
        <v>1326</v>
      </c>
      <c r="J12" s="151" t="s">
        <v>1384</v>
      </c>
      <c r="K12" s="151" t="s">
        <v>1060</v>
      </c>
      <c r="L12" s="151" t="s">
        <v>1525</v>
      </c>
      <c r="M12" s="152" t="s">
        <v>1702</v>
      </c>
      <c r="N12" s="150" t="s">
        <v>1497</v>
      </c>
      <c r="O12" s="152" t="s">
        <v>1313</v>
      </c>
      <c r="P12" s="150" t="s">
        <v>1554</v>
      </c>
    </row>
    <row r="13" spans="1:16" s="141" customFormat="1" ht="39.950000000000003" customHeight="1">
      <c r="A13" s="151" t="s">
        <v>43</v>
      </c>
      <c r="B13" s="150" t="s">
        <v>1355</v>
      </c>
      <c r="C13" s="150" t="s">
        <v>8</v>
      </c>
      <c r="D13" s="203">
        <v>5</v>
      </c>
      <c r="E13" s="203" t="s">
        <v>9</v>
      </c>
      <c r="F13" s="150">
        <v>78</v>
      </c>
      <c r="G13" s="151" t="s">
        <v>43</v>
      </c>
      <c r="H13" s="151" t="s">
        <v>77</v>
      </c>
      <c r="I13" s="151" t="s">
        <v>1326</v>
      </c>
      <c r="J13" s="151" t="s">
        <v>1384</v>
      </c>
      <c r="K13" s="151" t="s">
        <v>1060</v>
      </c>
      <c r="L13" s="151" t="s">
        <v>1525</v>
      </c>
      <c r="M13" s="152" t="s">
        <v>1702</v>
      </c>
      <c r="N13" s="150" t="s">
        <v>1310</v>
      </c>
      <c r="O13" s="152" t="s">
        <v>1310</v>
      </c>
      <c r="P13" s="150" t="s">
        <v>1555</v>
      </c>
    </row>
    <row r="14" spans="1:16" s="141" customFormat="1" ht="39.950000000000003" customHeight="1">
      <c r="A14" s="150" t="s">
        <v>1522</v>
      </c>
      <c r="B14" s="150" t="s">
        <v>1355</v>
      </c>
      <c r="C14" s="150" t="s">
        <v>8</v>
      </c>
      <c r="D14" s="203">
        <v>0.1</v>
      </c>
      <c r="E14" s="203" t="s">
        <v>9</v>
      </c>
      <c r="F14" s="150" t="s">
        <v>9</v>
      </c>
      <c r="G14" s="151" t="s">
        <v>1522</v>
      </c>
      <c r="H14" s="151" t="s">
        <v>1523</v>
      </c>
      <c r="I14" s="151" t="s">
        <v>1326</v>
      </c>
      <c r="J14" s="151" t="s">
        <v>1524</v>
      </c>
      <c r="K14" s="151" t="s">
        <v>1060</v>
      </c>
      <c r="L14" s="151" t="s">
        <v>1525</v>
      </c>
      <c r="M14" s="162" t="s">
        <v>1819</v>
      </c>
      <c r="N14" s="150"/>
      <c r="O14" s="152"/>
      <c r="P14" s="150" t="s">
        <v>1556</v>
      </c>
    </row>
    <row r="15" spans="1:16" s="141" customFormat="1" ht="39.950000000000003" customHeight="1">
      <c r="A15" s="151" t="s">
        <v>1470</v>
      </c>
      <c r="B15" s="150" t="s">
        <v>1355</v>
      </c>
      <c r="C15" s="150" t="s">
        <v>8</v>
      </c>
      <c r="D15" s="203">
        <v>50</v>
      </c>
      <c r="E15" s="203">
        <v>150</v>
      </c>
      <c r="F15" s="150" t="s">
        <v>9</v>
      </c>
      <c r="G15" s="151" t="s">
        <v>1470</v>
      </c>
      <c r="H15" s="151" t="s">
        <v>68</v>
      </c>
      <c r="I15" s="151" t="s">
        <v>1326</v>
      </c>
      <c r="J15" s="151" t="s">
        <v>1386</v>
      </c>
      <c r="K15" s="151" t="s">
        <v>1060</v>
      </c>
      <c r="L15" s="151" t="s">
        <v>1525</v>
      </c>
      <c r="M15" s="152" t="s">
        <v>1702</v>
      </c>
      <c r="N15" s="150" t="s">
        <v>1313</v>
      </c>
      <c r="O15" s="152" t="s">
        <v>1313</v>
      </c>
      <c r="P15" s="150" t="s">
        <v>1557</v>
      </c>
    </row>
    <row r="16" spans="1:16" s="141" customFormat="1" ht="39.950000000000003" customHeight="1">
      <c r="A16" s="151" t="s">
        <v>42</v>
      </c>
      <c r="B16" s="150" t="s">
        <v>1355</v>
      </c>
      <c r="C16" s="150" t="s">
        <v>8</v>
      </c>
      <c r="D16" s="203">
        <v>400</v>
      </c>
      <c r="E16" s="203" t="s">
        <v>9</v>
      </c>
      <c r="F16" s="150">
        <v>310</v>
      </c>
      <c r="G16" s="151" t="s">
        <v>42</v>
      </c>
      <c r="H16" s="151" t="s">
        <v>1839</v>
      </c>
      <c r="I16" s="151" t="s">
        <v>1326</v>
      </c>
      <c r="J16" s="151" t="s">
        <v>1385</v>
      </c>
      <c r="K16" s="151" t="s">
        <v>1060</v>
      </c>
      <c r="L16" s="151" t="s">
        <v>1525</v>
      </c>
      <c r="M16" s="152" t="s">
        <v>1702</v>
      </c>
      <c r="N16" s="150" t="s">
        <v>1311</v>
      </c>
      <c r="O16" s="152" t="s">
        <v>1311</v>
      </c>
      <c r="P16" s="150" t="s">
        <v>1554</v>
      </c>
    </row>
    <row r="17" spans="1:17" s="141" customFormat="1" ht="39.950000000000003" customHeight="1">
      <c r="A17" s="150" t="s">
        <v>45</v>
      </c>
      <c r="B17" s="150" t="s">
        <v>1355</v>
      </c>
      <c r="C17" s="150" t="s">
        <v>8</v>
      </c>
      <c r="D17" s="203">
        <v>50</v>
      </c>
      <c r="E17" s="203">
        <v>150</v>
      </c>
      <c r="F17" s="150" t="s">
        <v>9</v>
      </c>
      <c r="G17" s="150" t="s">
        <v>45</v>
      </c>
      <c r="H17" s="151" t="s">
        <v>68</v>
      </c>
      <c r="I17" s="151" t="s">
        <v>1326</v>
      </c>
      <c r="J17" s="151" t="s">
        <v>1386</v>
      </c>
      <c r="K17" s="151" t="s">
        <v>1060</v>
      </c>
      <c r="L17" s="151" t="s">
        <v>1064</v>
      </c>
      <c r="M17" s="152" t="s">
        <v>1702</v>
      </c>
      <c r="N17" s="150" t="s">
        <v>1310</v>
      </c>
      <c r="O17" s="152" t="s">
        <v>1310</v>
      </c>
      <c r="P17" s="150" t="s">
        <v>1628</v>
      </c>
      <c r="Q17" s="149" t="s">
        <v>1536</v>
      </c>
    </row>
    <row r="18" spans="1:17" s="141" customFormat="1" ht="48.75" customHeight="1">
      <c r="A18" s="150" t="s">
        <v>46</v>
      </c>
      <c r="B18" s="150" t="s">
        <v>1355</v>
      </c>
      <c r="C18" s="150" t="s">
        <v>8</v>
      </c>
      <c r="D18" s="203">
        <v>100</v>
      </c>
      <c r="E18" s="203">
        <v>150</v>
      </c>
      <c r="F18" s="150" t="s">
        <v>9</v>
      </c>
      <c r="G18" s="150" t="s">
        <v>46</v>
      </c>
      <c r="H18" s="151" t="s">
        <v>1305</v>
      </c>
      <c r="I18" s="151" t="s">
        <v>1326</v>
      </c>
      <c r="J18" s="151" t="s">
        <v>1387</v>
      </c>
      <c r="K18" s="151" t="s">
        <v>1060</v>
      </c>
      <c r="L18" s="151" t="s">
        <v>1525</v>
      </c>
      <c r="M18" s="152" t="s">
        <v>1821</v>
      </c>
      <c r="N18" s="150" t="s">
        <v>1312</v>
      </c>
      <c r="O18" s="152" t="s">
        <v>1312</v>
      </c>
      <c r="P18" s="150" t="s">
        <v>1555</v>
      </c>
    </row>
    <row r="19" spans="1:17" s="141" customFormat="1" ht="48.75" customHeight="1">
      <c r="A19" s="150" t="s">
        <v>47</v>
      </c>
      <c r="B19" s="150" t="s">
        <v>1355</v>
      </c>
      <c r="C19" s="150" t="s">
        <v>8</v>
      </c>
      <c r="D19" s="203">
        <v>200</v>
      </c>
      <c r="E19" s="203">
        <v>250</v>
      </c>
      <c r="F19" s="150" t="s">
        <v>9</v>
      </c>
      <c r="G19" s="150" t="s">
        <v>47</v>
      </c>
      <c r="H19" s="151" t="s">
        <v>1831</v>
      </c>
      <c r="I19" s="151" t="s">
        <v>1326</v>
      </c>
      <c r="J19" s="151" t="s">
        <v>1388</v>
      </c>
      <c r="K19" s="151" t="s">
        <v>1060</v>
      </c>
      <c r="L19" s="151" t="s">
        <v>1525</v>
      </c>
      <c r="M19" s="162" t="s">
        <v>1820</v>
      </c>
      <c r="N19" s="150" t="s">
        <v>1311</v>
      </c>
      <c r="O19" s="152" t="s">
        <v>1311</v>
      </c>
      <c r="P19" s="150" t="s">
        <v>1629</v>
      </c>
    </row>
    <row r="20" spans="1:17" s="141" customFormat="1" ht="39.950000000000003" customHeight="1">
      <c r="A20" s="151" t="s">
        <v>11</v>
      </c>
      <c r="B20" s="150" t="s">
        <v>1355</v>
      </c>
      <c r="C20" s="150" t="s">
        <v>8</v>
      </c>
      <c r="D20" s="203">
        <v>50</v>
      </c>
      <c r="E20" s="203">
        <v>150</v>
      </c>
      <c r="F20" s="150" t="s">
        <v>9</v>
      </c>
      <c r="G20" s="151" t="s">
        <v>11</v>
      </c>
      <c r="H20" s="151" t="s">
        <v>68</v>
      </c>
      <c r="I20" s="151" t="s">
        <v>1326</v>
      </c>
      <c r="J20" s="151" t="s">
        <v>1386</v>
      </c>
      <c r="K20" s="151" t="s">
        <v>1060</v>
      </c>
      <c r="L20" s="151" t="s">
        <v>1525</v>
      </c>
      <c r="M20" s="152" t="s">
        <v>1702</v>
      </c>
      <c r="N20" s="150"/>
      <c r="O20" s="152"/>
      <c r="P20" s="150" t="s">
        <v>1630</v>
      </c>
    </row>
    <row r="21" spans="1:17" s="141" customFormat="1" ht="39.950000000000003" customHeight="1">
      <c r="A21" s="151" t="s">
        <v>1526</v>
      </c>
      <c r="B21" s="150" t="s">
        <v>1355</v>
      </c>
      <c r="C21" s="150" t="s">
        <v>8</v>
      </c>
      <c r="D21" s="203">
        <v>100</v>
      </c>
      <c r="E21" s="203">
        <v>150</v>
      </c>
      <c r="F21" s="150" t="s">
        <v>9</v>
      </c>
      <c r="G21" s="151" t="s">
        <v>1526</v>
      </c>
      <c r="H21" s="151" t="s">
        <v>1686</v>
      </c>
      <c r="I21" s="151" t="s">
        <v>1326</v>
      </c>
      <c r="J21" s="151" t="s">
        <v>1386</v>
      </c>
      <c r="K21" s="151" t="s">
        <v>1060</v>
      </c>
      <c r="L21" s="151" t="s">
        <v>1064</v>
      </c>
      <c r="M21" s="152" t="s">
        <v>1702</v>
      </c>
      <c r="N21" s="150"/>
      <c r="O21" s="152"/>
      <c r="P21" s="150" t="s">
        <v>1631</v>
      </c>
    </row>
    <row r="22" spans="1:17" s="141" customFormat="1" ht="39.950000000000003" customHeight="1">
      <c r="A22" s="151" t="s">
        <v>4766</v>
      </c>
      <c r="B22" s="150" t="s">
        <v>1355</v>
      </c>
      <c r="C22" s="150" t="s">
        <v>8</v>
      </c>
      <c r="D22" s="203">
        <v>10</v>
      </c>
      <c r="E22" s="203">
        <v>15</v>
      </c>
      <c r="F22" s="150" t="s">
        <v>9</v>
      </c>
      <c r="G22" s="151" t="s">
        <v>4766</v>
      </c>
      <c r="H22" s="151" t="s">
        <v>67</v>
      </c>
      <c r="I22" s="151" t="s">
        <v>1326</v>
      </c>
      <c r="J22" s="151" t="s">
        <v>4767</v>
      </c>
      <c r="K22" s="151" t="s">
        <v>1060</v>
      </c>
      <c r="L22" s="151" t="s">
        <v>1116</v>
      </c>
      <c r="M22" s="152" t="s">
        <v>4768</v>
      </c>
      <c r="N22" s="150"/>
      <c r="O22" s="152"/>
      <c r="P22" s="150" t="s">
        <v>1632</v>
      </c>
    </row>
    <row r="23" spans="1:17" s="141" customFormat="1" ht="39.950000000000003" customHeight="1">
      <c r="A23" s="151" t="s">
        <v>56</v>
      </c>
      <c r="B23" s="150" t="s">
        <v>1355</v>
      </c>
      <c r="C23" s="150" t="s">
        <v>8</v>
      </c>
      <c r="D23" s="203">
        <v>250</v>
      </c>
      <c r="E23" s="203">
        <v>500</v>
      </c>
      <c r="F23" s="150">
        <v>780</v>
      </c>
      <c r="G23" s="151" t="s">
        <v>56</v>
      </c>
      <c r="H23" s="151" t="s">
        <v>1687</v>
      </c>
      <c r="I23" s="151" t="s">
        <v>1326</v>
      </c>
      <c r="J23" s="151" t="s">
        <v>1389</v>
      </c>
      <c r="K23" s="151" t="s">
        <v>1060</v>
      </c>
      <c r="L23" s="151" t="s">
        <v>1525</v>
      </c>
      <c r="M23" s="160" t="s">
        <v>1082</v>
      </c>
      <c r="N23" s="150" t="s">
        <v>1312</v>
      </c>
      <c r="O23" s="152" t="s">
        <v>1312</v>
      </c>
      <c r="P23" s="150" t="s">
        <v>1633</v>
      </c>
    </row>
    <row r="24" spans="1:17" s="141" customFormat="1" ht="39.950000000000003" customHeight="1">
      <c r="A24" s="151" t="s">
        <v>59</v>
      </c>
      <c r="B24" s="150" t="s">
        <v>1355</v>
      </c>
      <c r="C24" s="150" t="s">
        <v>8</v>
      </c>
      <c r="D24" s="203">
        <v>20</v>
      </c>
      <c r="E24" s="203" t="s">
        <v>9</v>
      </c>
      <c r="F24" s="150">
        <v>30</v>
      </c>
      <c r="G24" s="151" t="s">
        <v>59</v>
      </c>
      <c r="H24" s="151" t="s">
        <v>4770</v>
      </c>
      <c r="I24" s="151" t="s">
        <v>1326</v>
      </c>
      <c r="J24" s="151" t="s">
        <v>4771</v>
      </c>
      <c r="K24" s="151" t="s">
        <v>1060</v>
      </c>
      <c r="L24" s="151" t="s">
        <v>1525</v>
      </c>
      <c r="M24" s="152" t="s">
        <v>1703</v>
      </c>
      <c r="N24" s="150"/>
      <c r="O24" s="152"/>
      <c r="P24" s="150" t="s">
        <v>1634</v>
      </c>
    </row>
    <row r="25" spans="1:17" s="141" customFormat="1" ht="39.950000000000003" customHeight="1">
      <c r="A25" s="150" t="s">
        <v>60</v>
      </c>
      <c r="B25" s="150" t="s">
        <v>1355</v>
      </c>
      <c r="C25" s="150" t="s">
        <v>8</v>
      </c>
      <c r="D25" s="203">
        <v>10</v>
      </c>
      <c r="E25" s="203">
        <v>15</v>
      </c>
      <c r="F25" s="150">
        <v>8</v>
      </c>
      <c r="G25" s="150" t="s">
        <v>60</v>
      </c>
      <c r="H25" s="151" t="s">
        <v>1575</v>
      </c>
      <c r="I25" s="151" t="s">
        <v>1326</v>
      </c>
      <c r="J25" s="151" t="s">
        <v>1390</v>
      </c>
      <c r="K25" s="151" t="s">
        <v>1060</v>
      </c>
      <c r="L25" s="162" t="s">
        <v>1668</v>
      </c>
      <c r="M25" s="158" t="s">
        <v>1513</v>
      </c>
      <c r="N25" s="150" t="s">
        <v>1310</v>
      </c>
      <c r="O25" s="152" t="s">
        <v>1310</v>
      </c>
      <c r="P25" s="150" t="s">
        <v>1635</v>
      </c>
    </row>
    <row r="26" spans="1:17" s="141" customFormat="1" ht="39.950000000000003" customHeight="1">
      <c r="A26" s="151" t="s">
        <v>4773</v>
      </c>
      <c r="B26" s="150" t="s">
        <v>1355</v>
      </c>
      <c r="C26" s="156" t="s">
        <v>1597</v>
      </c>
      <c r="D26" s="203">
        <v>2</v>
      </c>
      <c r="E26" s="203">
        <v>6</v>
      </c>
      <c r="F26" s="150" t="s">
        <v>9</v>
      </c>
      <c r="G26" s="151" t="s">
        <v>4773</v>
      </c>
      <c r="H26" s="151" t="s">
        <v>899</v>
      </c>
      <c r="I26" s="151" t="s">
        <v>1353</v>
      </c>
      <c r="J26" s="151" t="s">
        <v>1399</v>
      </c>
      <c r="K26" s="151" t="s">
        <v>1244</v>
      </c>
      <c r="L26" s="159" t="s">
        <v>1707</v>
      </c>
      <c r="M26" s="158" t="s">
        <v>1814</v>
      </c>
      <c r="N26" s="156"/>
      <c r="O26" s="161"/>
      <c r="P26" s="150" t="s">
        <v>1636</v>
      </c>
    </row>
    <row r="27" spans="1:17" s="141" customFormat="1" ht="39.950000000000003" customHeight="1">
      <c r="A27" s="151" t="s">
        <v>4765</v>
      </c>
      <c r="B27" s="150" t="s">
        <v>1355</v>
      </c>
      <c r="C27" s="150" t="s">
        <v>8</v>
      </c>
      <c r="D27" s="203">
        <v>5</v>
      </c>
      <c r="E27" s="203" t="s">
        <v>9</v>
      </c>
      <c r="F27" s="150">
        <v>4</v>
      </c>
      <c r="G27" s="151" t="s">
        <v>4765</v>
      </c>
      <c r="H27" s="151" t="s">
        <v>4755</v>
      </c>
      <c r="I27" s="151" t="s">
        <v>1326</v>
      </c>
      <c r="J27" s="151" t="s">
        <v>1393</v>
      </c>
      <c r="K27" s="151" t="s">
        <v>1060</v>
      </c>
      <c r="L27" s="151" t="s">
        <v>1116</v>
      </c>
      <c r="M27" s="158" t="s">
        <v>1078</v>
      </c>
      <c r="N27" s="150"/>
      <c r="O27" s="152"/>
      <c r="P27" s="150" t="s">
        <v>1637</v>
      </c>
    </row>
    <row r="28" spans="1:17" s="141" customFormat="1" ht="39.950000000000003" customHeight="1">
      <c r="A28" s="151" t="s">
        <v>90</v>
      </c>
      <c r="B28" s="151" t="s">
        <v>1356</v>
      </c>
      <c r="C28" s="150" t="s">
        <v>8</v>
      </c>
      <c r="D28" s="203" t="s">
        <v>9</v>
      </c>
      <c r="E28" s="203">
        <v>2</v>
      </c>
      <c r="F28" s="150">
        <v>4</v>
      </c>
      <c r="G28" s="151" t="s">
        <v>90</v>
      </c>
      <c r="H28" s="151" t="s">
        <v>1496</v>
      </c>
      <c r="I28" s="151" t="s">
        <v>1336</v>
      </c>
      <c r="J28" s="151" t="s">
        <v>1391</v>
      </c>
      <c r="K28" s="151" t="s">
        <v>1060</v>
      </c>
      <c r="L28" s="151">
        <v>2</v>
      </c>
      <c r="M28" s="158" t="s">
        <v>1671</v>
      </c>
      <c r="N28" s="150" t="s">
        <v>1314</v>
      </c>
      <c r="O28" s="152" t="s">
        <v>1314</v>
      </c>
      <c r="P28" s="150" t="s">
        <v>1638</v>
      </c>
    </row>
    <row r="29" spans="1:17" s="141" customFormat="1" ht="39.950000000000003" customHeight="1">
      <c r="A29" s="150" t="s">
        <v>97</v>
      </c>
      <c r="B29" s="150" t="s">
        <v>1355</v>
      </c>
      <c r="C29" s="150" t="s">
        <v>8</v>
      </c>
      <c r="D29" s="203">
        <v>0.5</v>
      </c>
      <c r="E29" s="203">
        <v>2</v>
      </c>
      <c r="F29" s="150" t="s">
        <v>874</v>
      </c>
      <c r="G29" s="150" t="s">
        <v>97</v>
      </c>
      <c r="H29" s="151" t="s">
        <v>1688</v>
      </c>
      <c r="I29" s="151" t="s">
        <v>1353</v>
      </c>
      <c r="J29" s="151" t="s">
        <v>1392</v>
      </c>
      <c r="K29" s="151" t="s">
        <v>1060</v>
      </c>
      <c r="L29" s="163" t="s">
        <v>1090</v>
      </c>
      <c r="M29" s="160" t="s">
        <v>1672</v>
      </c>
      <c r="N29" s="150" t="s">
        <v>1310</v>
      </c>
      <c r="O29" s="152" t="s">
        <v>1310</v>
      </c>
      <c r="P29" s="150" t="s">
        <v>1639</v>
      </c>
    </row>
    <row r="30" spans="1:17" s="141" customFormat="1" ht="39.950000000000003" customHeight="1">
      <c r="A30" s="150" t="s">
        <v>98</v>
      </c>
      <c r="B30" s="150" t="s">
        <v>1355</v>
      </c>
      <c r="C30" s="150" t="s">
        <v>8</v>
      </c>
      <c r="D30" s="203">
        <v>5</v>
      </c>
      <c r="E30" s="203" t="s">
        <v>9</v>
      </c>
      <c r="F30" s="150">
        <v>4</v>
      </c>
      <c r="G30" s="150" t="s">
        <v>98</v>
      </c>
      <c r="H30" s="151" t="s">
        <v>1496</v>
      </c>
      <c r="I30" s="151" t="s">
        <v>1336</v>
      </c>
      <c r="J30" s="151" t="s">
        <v>1393</v>
      </c>
      <c r="K30" s="151" t="s">
        <v>1060</v>
      </c>
      <c r="L30" s="151" t="s">
        <v>1116</v>
      </c>
      <c r="M30" s="158" t="s">
        <v>1078</v>
      </c>
      <c r="N30" s="150" t="s">
        <v>1310</v>
      </c>
      <c r="O30" s="152" t="s">
        <v>1310</v>
      </c>
      <c r="P30" s="150" t="s">
        <v>1640</v>
      </c>
    </row>
    <row r="31" spans="1:17" s="141" customFormat="1" ht="39.950000000000003" customHeight="1">
      <c r="A31" s="151" t="s">
        <v>100</v>
      </c>
      <c r="B31" s="150" t="s">
        <v>1357</v>
      </c>
      <c r="C31" s="150" t="s">
        <v>1597</v>
      </c>
      <c r="D31" s="203">
        <v>1</v>
      </c>
      <c r="E31" s="203">
        <v>3</v>
      </c>
      <c r="F31" s="150" t="s">
        <v>9</v>
      </c>
      <c r="G31" s="151" t="s">
        <v>100</v>
      </c>
      <c r="H31" s="151" t="s">
        <v>1576</v>
      </c>
      <c r="I31" s="151" t="s">
        <v>1336</v>
      </c>
      <c r="J31" s="151" t="s">
        <v>1391</v>
      </c>
      <c r="K31" s="151" t="s">
        <v>1060</v>
      </c>
      <c r="L31" s="163" t="s">
        <v>1719</v>
      </c>
      <c r="M31" s="160" t="s">
        <v>1673</v>
      </c>
      <c r="N31" s="150" t="s">
        <v>1314</v>
      </c>
      <c r="O31" s="152" t="s">
        <v>1314</v>
      </c>
      <c r="P31" s="150" t="s">
        <v>1641</v>
      </c>
    </row>
    <row r="32" spans="1:17" s="141" customFormat="1" ht="39.950000000000003" customHeight="1">
      <c r="A32" s="151" t="s">
        <v>106</v>
      </c>
      <c r="B32" s="150" t="s">
        <v>1355</v>
      </c>
      <c r="C32" s="150" t="s">
        <v>8</v>
      </c>
      <c r="D32" s="203">
        <v>2</v>
      </c>
      <c r="E32" s="203">
        <v>4</v>
      </c>
      <c r="F32" s="150" t="s">
        <v>9</v>
      </c>
      <c r="G32" s="151" t="s">
        <v>106</v>
      </c>
      <c r="H32" s="151" t="s">
        <v>904</v>
      </c>
      <c r="I32" s="151" t="s">
        <v>1336</v>
      </c>
      <c r="J32" s="151" t="s">
        <v>1394</v>
      </c>
      <c r="K32" s="151" t="s">
        <v>1060</v>
      </c>
      <c r="L32" s="151">
        <v>2</v>
      </c>
      <c r="M32" s="160" t="s">
        <v>1671</v>
      </c>
      <c r="N32" s="150" t="s">
        <v>1314</v>
      </c>
      <c r="O32" s="152" t="s">
        <v>1314</v>
      </c>
      <c r="P32" s="150" t="s">
        <v>1642</v>
      </c>
    </row>
    <row r="33" spans="1:16" s="153" customFormat="1" ht="39.950000000000003" customHeight="1">
      <c r="A33" s="150" t="s">
        <v>109</v>
      </c>
      <c r="B33" s="150" t="s">
        <v>1355</v>
      </c>
      <c r="C33" s="150" t="s">
        <v>8</v>
      </c>
      <c r="D33" s="203" t="s">
        <v>9</v>
      </c>
      <c r="E33" s="203">
        <v>0.4</v>
      </c>
      <c r="F33" s="150" t="s">
        <v>9</v>
      </c>
      <c r="G33" s="151" t="s">
        <v>109</v>
      </c>
      <c r="H33" s="151" t="s">
        <v>902</v>
      </c>
      <c r="I33" s="151" t="s">
        <v>1336</v>
      </c>
      <c r="J33" s="151" t="s">
        <v>1395</v>
      </c>
      <c r="K33" s="151" t="s">
        <v>1060</v>
      </c>
      <c r="L33" s="151">
        <v>1</v>
      </c>
      <c r="M33" s="160" t="s">
        <v>1674</v>
      </c>
      <c r="N33" s="150" t="s">
        <v>1314</v>
      </c>
      <c r="O33" s="152" t="s">
        <v>1314</v>
      </c>
      <c r="P33" s="150" t="s">
        <v>1484</v>
      </c>
    </row>
    <row r="34" spans="1:16" s="141" customFormat="1" ht="39.950000000000003" customHeight="1">
      <c r="A34" s="151" t="s">
        <v>113</v>
      </c>
      <c r="B34" s="150" t="s">
        <v>1355</v>
      </c>
      <c r="C34" s="150" t="s">
        <v>1597</v>
      </c>
      <c r="D34" s="203">
        <v>0.2</v>
      </c>
      <c r="E34" s="203" t="s">
        <v>9</v>
      </c>
      <c r="F34" s="150" t="s">
        <v>9</v>
      </c>
      <c r="G34" s="151" t="s">
        <v>113</v>
      </c>
      <c r="H34" s="151" t="s">
        <v>115</v>
      </c>
      <c r="I34" s="151" t="s">
        <v>1353</v>
      </c>
      <c r="J34" s="151" t="s">
        <v>1396</v>
      </c>
      <c r="K34" s="151" t="s">
        <v>1060</v>
      </c>
      <c r="L34" s="151">
        <v>1.6</v>
      </c>
      <c r="M34" s="160" t="s">
        <v>1729</v>
      </c>
      <c r="N34" s="150" t="s">
        <v>1309</v>
      </c>
      <c r="O34" s="152" t="s">
        <v>1309</v>
      </c>
      <c r="P34" s="150" t="s">
        <v>1643</v>
      </c>
    </row>
    <row r="35" spans="1:16" s="141" customFormat="1" ht="39.950000000000003" customHeight="1">
      <c r="A35" s="151" t="s">
        <v>1859</v>
      </c>
      <c r="B35" s="150" t="s">
        <v>1355</v>
      </c>
      <c r="C35" s="150" t="s">
        <v>8</v>
      </c>
      <c r="D35" s="203">
        <v>5</v>
      </c>
      <c r="E35" s="203">
        <v>15</v>
      </c>
      <c r="F35" s="150" t="s">
        <v>9</v>
      </c>
      <c r="G35" s="151" t="s">
        <v>1859</v>
      </c>
      <c r="H35" s="151" t="s">
        <v>1861</v>
      </c>
      <c r="I35" s="151" t="s">
        <v>1326</v>
      </c>
      <c r="J35" s="151" t="s">
        <v>1386</v>
      </c>
      <c r="K35" s="151" t="s">
        <v>1060</v>
      </c>
      <c r="L35" s="151" t="s">
        <v>1525</v>
      </c>
      <c r="M35" s="158" t="s">
        <v>1825</v>
      </c>
      <c r="N35" s="150"/>
      <c r="O35" s="152"/>
      <c r="P35" s="150" t="s">
        <v>1644</v>
      </c>
    </row>
    <row r="36" spans="1:16" s="141" customFormat="1" ht="39.950000000000003" customHeight="1">
      <c r="A36" s="150" t="s">
        <v>1445</v>
      </c>
      <c r="B36" s="150"/>
      <c r="C36" s="150" t="s">
        <v>8</v>
      </c>
      <c r="D36" s="203">
        <v>2</v>
      </c>
      <c r="E36" s="203"/>
      <c r="F36" s="150">
        <v>8</v>
      </c>
      <c r="G36" s="150" t="s">
        <v>1445</v>
      </c>
      <c r="H36" s="151" t="s">
        <v>1577</v>
      </c>
      <c r="I36" s="151" t="s">
        <v>1326</v>
      </c>
      <c r="J36" s="151" t="s">
        <v>1446</v>
      </c>
      <c r="K36" s="151" t="s">
        <v>1244</v>
      </c>
      <c r="L36" s="151" t="s">
        <v>1525</v>
      </c>
      <c r="M36" s="160" t="s">
        <v>1719</v>
      </c>
      <c r="N36" s="150" t="s">
        <v>1447</v>
      </c>
      <c r="O36" s="152" t="s">
        <v>1318</v>
      </c>
      <c r="P36" s="150" t="s">
        <v>1645</v>
      </c>
    </row>
    <row r="37" spans="1:16" s="141" customFormat="1" ht="39.950000000000003" customHeight="1">
      <c r="A37" s="150" t="s">
        <v>127</v>
      </c>
      <c r="B37" s="150" t="s">
        <v>1358</v>
      </c>
      <c r="C37" s="150" t="s">
        <v>8</v>
      </c>
      <c r="D37" s="203">
        <v>2</v>
      </c>
      <c r="E37" s="203" t="s">
        <v>9</v>
      </c>
      <c r="F37" s="150">
        <v>16</v>
      </c>
      <c r="G37" s="150" t="s">
        <v>127</v>
      </c>
      <c r="H37" s="151" t="s">
        <v>1690</v>
      </c>
      <c r="I37" s="151" t="s">
        <v>1326</v>
      </c>
      <c r="J37" s="151" t="s">
        <v>1398</v>
      </c>
      <c r="K37" s="151" t="s">
        <v>1244</v>
      </c>
      <c r="L37" s="151" t="s">
        <v>1525</v>
      </c>
      <c r="M37" s="160" t="s">
        <v>1704</v>
      </c>
      <c r="N37" s="150" t="s">
        <v>1334</v>
      </c>
      <c r="O37" s="152" t="s">
        <v>1310</v>
      </c>
      <c r="P37" s="150" t="s">
        <v>1489</v>
      </c>
    </row>
    <row r="38" spans="1:16" s="141" customFormat="1" ht="39.950000000000003" customHeight="1">
      <c r="A38" s="150" t="s">
        <v>897</v>
      </c>
      <c r="B38" s="150" t="s">
        <v>1355</v>
      </c>
      <c r="C38" s="150" t="s">
        <v>8</v>
      </c>
      <c r="D38" s="203" t="s">
        <v>9</v>
      </c>
      <c r="E38" s="203">
        <v>1000</v>
      </c>
      <c r="F38" s="150">
        <v>780</v>
      </c>
      <c r="G38" s="150" t="s">
        <v>897</v>
      </c>
      <c r="H38" s="151" t="s">
        <v>899</v>
      </c>
      <c r="I38" s="151" t="s">
        <v>1326</v>
      </c>
      <c r="J38" s="151" t="s">
        <v>1397</v>
      </c>
      <c r="K38" s="151" t="s">
        <v>1060</v>
      </c>
      <c r="L38" s="151" t="s">
        <v>1669</v>
      </c>
      <c r="M38" s="160" t="s">
        <v>1675</v>
      </c>
      <c r="N38" s="150" t="s">
        <v>1311</v>
      </c>
      <c r="O38" s="152" t="s">
        <v>1311</v>
      </c>
      <c r="P38" s="150" t="s">
        <v>1558</v>
      </c>
    </row>
    <row r="39" spans="1:16" s="141" customFormat="1" ht="39.950000000000003" customHeight="1">
      <c r="A39" s="151" t="s">
        <v>1051</v>
      </c>
      <c r="B39" s="150" t="s">
        <v>1355</v>
      </c>
      <c r="C39" s="150" t="s">
        <v>8</v>
      </c>
      <c r="D39" s="203">
        <v>200</v>
      </c>
      <c r="E39" s="203">
        <v>400</v>
      </c>
      <c r="F39" s="150">
        <v>310</v>
      </c>
      <c r="G39" s="151" t="s">
        <v>1051</v>
      </c>
      <c r="H39" s="151" t="s">
        <v>1689</v>
      </c>
      <c r="I39" s="151" t="s">
        <v>1326</v>
      </c>
      <c r="J39" s="151" t="s">
        <v>1397</v>
      </c>
      <c r="K39" s="151" t="s">
        <v>1060</v>
      </c>
      <c r="L39" s="151" t="s">
        <v>1525</v>
      </c>
      <c r="M39" s="158" t="s">
        <v>1676</v>
      </c>
      <c r="N39" s="150" t="s">
        <v>1311</v>
      </c>
      <c r="O39" s="152" t="s">
        <v>1311</v>
      </c>
      <c r="P39" s="150" t="s">
        <v>1646</v>
      </c>
    </row>
    <row r="40" spans="1:16" s="141" customFormat="1" ht="39.950000000000003" customHeight="1">
      <c r="A40" s="151" t="s">
        <v>1822</v>
      </c>
      <c r="B40" s="150" t="s">
        <v>1355</v>
      </c>
      <c r="C40" s="150" t="s">
        <v>8</v>
      </c>
      <c r="D40" s="203">
        <v>200</v>
      </c>
      <c r="E40" s="203">
        <v>250</v>
      </c>
      <c r="F40" s="150">
        <v>156</v>
      </c>
      <c r="G40" s="151" t="s">
        <v>1822</v>
      </c>
      <c r="H40" s="151" t="s">
        <v>1826</v>
      </c>
      <c r="I40" s="151" t="s">
        <v>1326</v>
      </c>
      <c r="J40" s="151" t="s">
        <v>1397</v>
      </c>
      <c r="K40" s="151" t="s">
        <v>1060</v>
      </c>
      <c r="L40" s="151" t="s">
        <v>1525</v>
      </c>
      <c r="M40" s="158" t="s">
        <v>1823</v>
      </c>
      <c r="N40" s="150"/>
      <c r="O40" s="152"/>
      <c r="P40" s="150" t="s">
        <v>1647</v>
      </c>
    </row>
    <row r="41" spans="1:16" s="141" customFormat="1" ht="39.950000000000003" customHeight="1">
      <c r="A41" s="150" t="s">
        <v>137</v>
      </c>
      <c r="B41" s="150" t="s">
        <v>1355</v>
      </c>
      <c r="C41" s="150" t="s">
        <v>8</v>
      </c>
      <c r="D41" s="203">
        <v>20</v>
      </c>
      <c r="E41" s="203" t="s">
        <v>9</v>
      </c>
      <c r="F41" s="150">
        <v>40</v>
      </c>
      <c r="G41" s="150" t="s">
        <v>137</v>
      </c>
      <c r="H41" s="151" t="s">
        <v>147</v>
      </c>
      <c r="I41" s="151" t="s">
        <v>1326</v>
      </c>
      <c r="J41" s="151" t="s">
        <v>1454</v>
      </c>
      <c r="K41" s="151" t="s">
        <v>1060</v>
      </c>
      <c r="L41" s="151" t="s">
        <v>1525</v>
      </c>
      <c r="M41" s="160" t="s">
        <v>1818</v>
      </c>
      <c r="N41" s="150"/>
      <c r="O41" s="152"/>
      <c r="P41" s="150" t="s">
        <v>1648</v>
      </c>
    </row>
    <row r="42" spans="1:16" s="141" customFormat="1" ht="39.950000000000003" customHeight="1">
      <c r="A42" s="150" t="s">
        <v>1301</v>
      </c>
      <c r="B42" s="150" t="s">
        <v>1355</v>
      </c>
      <c r="C42" s="150" t="s">
        <v>1597</v>
      </c>
      <c r="D42" s="203">
        <v>1</v>
      </c>
      <c r="E42" s="203" t="s">
        <v>9</v>
      </c>
      <c r="F42" s="150" t="s">
        <v>9</v>
      </c>
      <c r="G42" s="150" t="s">
        <v>1301</v>
      </c>
      <c r="H42" s="151" t="s">
        <v>915</v>
      </c>
      <c r="I42" s="151" t="s">
        <v>1353</v>
      </c>
      <c r="J42" s="151" t="s">
        <v>1399</v>
      </c>
      <c r="K42" s="151" t="s">
        <v>1244</v>
      </c>
      <c r="L42" s="151">
        <v>1.7</v>
      </c>
      <c r="M42" s="160" t="s">
        <v>1677</v>
      </c>
      <c r="N42" s="150" t="s">
        <v>1314</v>
      </c>
      <c r="O42" s="152" t="s">
        <v>1314</v>
      </c>
      <c r="P42" s="150" t="s">
        <v>1559</v>
      </c>
    </row>
    <row r="43" spans="1:16" s="141" customFormat="1" ht="39.950000000000003" customHeight="1">
      <c r="A43" s="150" t="s">
        <v>1584</v>
      </c>
      <c r="B43" s="150" t="s">
        <v>1585</v>
      </c>
      <c r="C43" s="150" t="s">
        <v>186</v>
      </c>
      <c r="D43" s="203">
        <v>0.1</v>
      </c>
      <c r="E43" s="203" t="s">
        <v>9</v>
      </c>
      <c r="F43" s="150" t="s">
        <v>9</v>
      </c>
      <c r="G43" s="150" t="s">
        <v>1584</v>
      </c>
      <c r="H43" s="151" t="s">
        <v>1587</v>
      </c>
      <c r="I43" s="151" t="s">
        <v>1589</v>
      </c>
      <c r="J43" s="151" t="s">
        <v>1588</v>
      </c>
      <c r="K43" s="151" t="s">
        <v>1590</v>
      </c>
      <c r="L43" s="151">
        <v>2</v>
      </c>
      <c r="M43" s="160" t="s">
        <v>1586</v>
      </c>
      <c r="N43" s="150"/>
      <c r="O43" s="152" t="s">
        <v>4782</v>
      </c>
      <c r="P43" s="150"/>
    </row>
    <row r="44" spans="1:16" s="141" customFormat="1" ht="39.950000000000003" customHeight="1">
      <c r="A44" s="151" t="s">
        <v>162</v>
      </c>
      <c r="B44" s="150" t="s">
        <v>1355</v>
      </c>
      <c r="C44" s="150" t="s">
        <v>8</v>
      </c>
      <c r="D44" s="203">
        <v>25</v>
      </c>
      <c r="E44" s="203">
        <v>35</v>
      </c>
      <c r="F44" s="150">
        <v>20</v>
      </c>
      <c r="G44" s="151" t="s">
        <v>162</v>
      </c>
      <c r="H44" s="151" t="s">
        <v>916</v>
      </c>
      <c r="I44" s="151" t="s">
        <v>1353</v>
      </c>
      <c r="J44" s="151" t="s">
        <v>1400</v>
      </c>
      <c r="K44" s="151" t="s">
        <v>1060</v>
      </c>
      <c r="L44" s="151" t="s">
        <v>1808</v>
      </c>
      <c r="M44" s="160" t="s">
        <v>1678</v>
      </c>
      <c r="N44" s="150" t="s">
        <v>1313</v>
      </c>
      <c r="O44" s="152" t="s">
        <v>1313</v>
      </c>
      <c r="P44" s="150" t="s">
        <v>1561</v>
      </c>
    </row>
    <row r="45" spans="1:16" s="141" customFormat="1" ht="39.950000000000003" customHeight="1">
      <c r="A45" s="151" t="s">
        <v>175</v>
      </c>
      <c r="B45" s="150" t="s">
        <v>1355</v>
      </c>
      <c r="C45" s="150" t="s">
        <v>1597</v>
      </c>
      <c r="D45" s="203">
        <v>0.5</v>
      </c>
      <c r="E45" s="203" t="s">
        <v>9</v>
      </c>
      <c r="F45" s="150" t="s">
        <v>9</v>
      </c>
      <c r="G45" s="151" t="s">
        <v>175</v>
      </c>
      <c r="H45" s="151" t="s">
        <v>1490</v>
      </c>
      <c r="I45" s="151" t="s">
        <v>1353</v>
      </c>
      <c r="J45" s="151" t="s">
        <v>1399</v>
      </c>
      <c r="K45" s="151" t="s">
        <v>1244</v>
      </c>
      <c r="L45" s="164" t="s">
        <v>1707</v>
      </c>
      <c r="M45" s="160" t="s">
        <v>1677</v>
      </c>
      <c r="N45" s="150" t="s">
        <v>1314</v>
      </c>
      <c r="O45" s="152" t="s">
        <v>1314</v>
      </c>
      <c r="P45" s="150" t="s">
        <v>1649</v>
      </c>
    </row>
    <row r="46" spans="1:16" s="141" customFormat="1" ht="39.950000000000003" customHeight="1">
      <c r="A46" s="150" t="s">
        <v>181</v>
      </c>
      <c r="B46" s="150" t="s">
        <v>1359</v>
      </c>
      <c r="C46" s="150" t="s">
        <v>1597</v>
      </c>
      <c r="D46" s="203">
        <v>0.01</v>
      </c>
      <c r="E46" s="203" t="s">
        <v>9</v>
      </c>
      <c r="F46" s="150" t="s">
        <v>9</v>
      </c>
      <c r="G46" s="150" t="s">
        <v>181</v>
      </c>
      <c r="H46" s="151" t="s">
        <v>182</v>
      </c>
      <c r="I46" s="151" t="s">
        <v>1353</v>
      </c>
      <c r="J46" s="151" t="s">
        <v>1399</v>
      </c>
      <c r="K46" s="151" t="s">
        <v>1244</v>
      </c>
      <c r="L46" s="164" t="s">
        <v>1707</v>
      </c>
      <c r="M46" s="158" t="s">
        <v>1677</v>
      </c>
      <c r="N46" s="150" t="s">
        <v>1314</v>
      </c>
      <c r="O46" s="152" t="s">
        <v>1314</v>
      </c>
      <c r="P46" s="150" t="s">
        <v>1484</v>
      </c>
    </row>
    <row r="47" spans="1:16" s="154" customFormat="1" ht="39.950000000000003" customHeight="1">
      <c r="A47" s="150" t="s">
        <v>196</v>
      </c>
      <c r="B47" s="150" t="s">
        <v>1355</v>
      </c>
      <c r="C47" s="150" t="s">
        <v>1597</v>
      </c>
      <c r="D47" s="203">
        <v>0.5</v>
      </c>
      <c r="E47" s="203" t="s">
        <v>9</v>
      </c>
      <c r="F47" s="150" t="s">
        <v>9</v>
      </c>
      <c r="G47" s="150" t="s">
        <v>196</v>
      </c>
      <c r="H47" s="151" t="s">
        <v>920</v>
      </c>
      <c r="I47" s="151" t="s">
        <v>1353</v>
      </c>
      <c r="J47" s="151" t="s">
        <v>1399</v>
      </c>
      <c r="K47" s="151" t="s">
        <v>1244</v>
      </c>
      <c r="L47" s="164" t="s">
        <v>1707</v>
      </c>
      <c r="M47" s="160" t="s">
        <v>1677</v>
      </c>
      <c r="N47" s="150" t="s">
        <v>1309</v>
      </c>
      <c r="O47" s="152" t="s">
        <v>1309</v>
      </c>
      <c r="P47" s="156" t="s">
        <v>1650</v>
      </c>
    </row>
    <row r="48" spans="1:16" s="141" customFormat="1" ht="39.950000000000003" customHeight="1">
      <c r="A48" s="151" t="s">
        <v>198</v>
      </c>
      <c r="B48" s="150" t="s">
        <v>1360</v>
      </c>
      <c r="C48" s="150" t="s">
        <v>8</v>
      </c>
      <c r="D48" s="203">
        <v>0.02</v>
      </c>
      <c r="E48" s="203" t="s">
        <v>9</v>
      </c>
      <c r="F48" s="150" t="s">
        <v>9</v>
      </c>
      <c r="G48" s="151" t="s">
        <v>198</v>
      </c>
      <c r="H48" s="151" t="s">
        <v>1830</v>
      </c>
      <c r="I48" s="151" t="s">
        <v>1326</v>
      </c>
      <c r="J48" s="151" t="s">
        <v>1401</v>
      </c>
      <c r="K48" s="151" t="s">
        <v>1060</v>
      </c>
      <c r="L48" s="151" t="s">
        <v>1525</v>
      </c>
      <c r="M48" s="160" t="s">
        <v>1142</v>
      </c>
      <c r="N48" s="150" t="s">
        <v>1315</v>
      </c>
      <c r="O48" s="152" t="s">
        <v>1315</v>
      </c>
      <c r="P48" s="150" t="s">
        <v>1651</v>
      </c>
    </row>
    <row r="49" spans="1:16" s="141" customFormat="1" ht="39.950000000000003" customHeight="1">
      <c r="A49" s="151" t="s">
        <v>207</v>
      </c>
      <c r="B49" s="150" t="s">
        <v>1683</v>
      </c>
      <c r="C49" s="150" t="s">
        <v>1597</v>
      </c>
      <c r="D49" s="203">
        <v>5.0000000000000002E-5</v>
      </c>
      <c r="E49" s="203" t="s">
        <v>9</v>
      </c>
      <c r="F49" s="150"/>
      <c r="G49" s="151" t="s">
        <v>207</v>
      </c>
      <c r="H49" s="151" t="s">
        <v>1548</v>
      </c>
      <c r="I49" s="151" t="s">
        <v>1353</v>
      </c>
      <c r="J49" s="151" t="s">
        <v>1399</v>
      </c>
      <c r="K49" s="151" t="s">
        <v>1244</v>
      </c>
      <c r="L49" s="165" t="s">
        <v>1240</v>
      </c>
      <c r="M49" s="160" t="s">
        <v>1452</v>
      </c>
      <c r="N49" s="150">
        <v>1</v>
      </c>
      <c r="O49" s="152">
        <v>1</v>
      </c>
      <c r="P49" s="151" t="s">
        <v>1711</v>
      </c>
    </row>
    <row r="50" spans="1:16" s="141" customFormat="1" ht="61.15" customHeight="1">
      <c r="A50" s="151" t="s">
        <v>1560</v>
      </c>
      <c r="B50" s="150" t="s">
        <v>1355</v>
      </c>
      <c r="C50" s="156" t="s">
        <v>1597</v>
      </c>
      <c r="D50" s="203">
        <v>2</v>
      </c>
      <c r="E50" s="203">
        <v>6</v>
      </c>
      <c r="F50" s="150" t="s">
        <v>9</v>
      </c>
      <c r="G50" s="151" t="s">
        <v>1560</v>
      </c>
      <c r="H50" s="151" t="s">
        <v>899</v>
      </c>
      <c r="I50" s="151" t="s">
        <v>1353</v>
      </c>
      <c r="J50" s="151" t="s">
        <v>1399</v>
      </c>
      <c r="K50" s="151" t="s">
        <v>1244</v>
      </c>
      <c r="L50" s="151">
        <v>2</v>
      </c>
      <c r="M50" s="160" t="s">
        <v>1452</v>
      </c>
      <c r="N50" s="150">
        <v>5</v>
      </c>
      <c r="O50" s="152">
        <v>5</v>
      </c>
      <c r="P50" s="150" t="s">
        <v>1652</v>
      </c>
    </row>
    <row r="51" spans="1:16" s="154" customFormat="1" ht="39.950000000000003" customHeight="1">
      <c r="A51" s="151" t="s">
        <v>1451</v>
      </c>
      <c r="B51" s="150" t="s">
        <v>1355</v>
      </c>
      <c r="C51" s="156" t="s">
        <v>1597</v>
      </c>
      <c r="D51" s="203">
        <v>1.76</v>
      </c>
      <c r="E51" s="203">
        <v>5.28</v>
      </c>
      <c r="F51" s="150" t="s">
        <v>9</v>
      </c>
      <c r="G51" s="151" t="s">
        <v>1451</v>
      </c>
      <c r="H51" s="151" t="s">
        <v>899</v>
      </c>
      <c r="I51" s="151" t="s">
        <v>1353</v>
      </c>
      <c r="J51" s="151" t="s">
        <v>1399</v>
      </c>
      <c r="K51" s="151" t="s">
        <v>1244</v>
      </c>
      <c r="L51" s="164" t="s">
        <v>1707</v>
      </c>
      <c r="M51" s="160" t="s">
        <v>1814</v>
      </c>
      <c r="N51" s="150">
        <v>5</v>
      </c>
      <c r="O51" s="152">
        <v>5</v>
      </c>
      <c r="P51" s="156" t="s">
        <v>1653</v>
      </c>
    </row>
    <row r="52" spans="1:16" s="154" customFormat="1" ht="39.950000000000003" customHeight="1">
      <c r="A52" s="150" t="s">
        <v>226</v>
      </c>
      <c r="B52" s="150" t="s">
        <v>1361</v>
      </c>
      <c r="C52" s="150" t="s">
        <v>8</v>
      </c>
      <c r="D52" s="203">
        <v>0.1</v>
      </c>
      <c r="E52" s="203">
        <v>0.2</v>
      </c>
      <c r="F52" s="150">
        <v>0.08</v>
      </c>
      <c r="G52" s="150" t="s">
        <v>226</v>
      </c>
      <c r="H52" s="151" t="s">
        <v>1829</v>
      </c>
      <c r="I52" s="151" t="s">
        <v>1373</v>
      </c>
      <c r="J52" s="151" t="s">
        <v>1402</v>
      </c>
      <c r="K52" s="151" t="s">
        <v>1060</v>
      </c>
      <c r="L52" s="166">
        <v>0.5</v>
      </c>
      <c r="M52" s="158" t="s">
        <v>1679</v>
      </c>
      <c r="N52" s="150" t="s">
        <v>1310</v>
      </c>
      <c r="O52" s="152" t="s">
        <v>1310</v>
      </c>
      <c r="P52" s="156" t="s">
        <v>1654</v>
      </c>
    </row>
    <row r="53" spans="1:16" s="141" customFormat="1" ht="39.950000000000003" customHeight="1">
      <c r="A53" s="151" t="s">
        <v>4783</v>
      </c>
      <c r="B53" s="150" t="s">
        <v>1362</v>
      </c>
      <c r="C53" s="150" t="s">
        <v>8</v>
      </c>
      <c r="D53" s="203" t="s">
        <v>9</v>
      </c>
      <c r="E53" s="203">
        <v>1000</v>
      </c>
      <c r="F53" s="150">
        <v>470</v>
      </c>
      <c r="G53" s="151" t="s">
        <v>4783</v>
      </c>
      <c r="H53" s="151" t="s">
        <v>1481</v>
      </c>
      <c r="I53" s="151" t="s">
        <v>1146</v>
      </c>
      <c r="J53" s="151" t="s">
        <v>1403</v>
      </c>
      <c r="K53" s="151" t="s">
        <v>1060</v>
      </c>
      <c r="L53" s="151" t="s">
        <v>1525</v>
      </c>
      <c r="M53" s="160" t="s">
        <v>1705</v>
      </c>
      <c r="N53" s="150" t="s">
        <v>1309</v>
      </c>
      <c r="O53" s="152" t="s">
        <v>1309</v>
      </c>
      <c r="P53" s="150" t="s">
        <v>1655</v>
      </c>
    </row>
    <row r="54" spans="1:16" s="154" customFormat="1" ht="39.950000000000003" customHeight="1">
      <c r="A54" s="151" t="s">
        <v>4780</v>
      </c>
      <c r="B54" s="150" t="s">
        <v>1355</v>
      </c>
      <c r="C54" s="150" t="s">
        <v>8</v>
      </c>
      <c r="D54" s="203" t="s">
        <v>9</v>
      </c>
      <c r="E54" s="203" t="s">
        <v>9</v>
      </c>
      <c r="F54" s="150">
        <v>40</v>
      </c>
      <c r="G54" s="151" t="s">
        <v>4780</v>
      </c>
      <c r="H54" s="151" t="s">
        <v>147</v>
      </c>
      <c r="I54" s="151" t="s">
        <v>4781</v>
      </c>
      <c r="J54" s="151" t="s">
        <v>1454</v>
      </c>
      <c r="K54" s="151" t="s">
        <v>1060</v>
      </c>
      <c r="L54" s="151" t="s">
        <v>1064</v>
      </c>
      <c r="M54" s="160" t="s">
        <v>1763</v>
      </c>
      <c r="N54" s="150"/>
      <c r="O54" s="152"/>
      <c r="P54" s="156" t="s">
        <v>1656</v>
      </c>
    </row>
    <row r="55" spans="1:16" s="154" customFormat="1" ht="39.950000000000003" customHeight="1">
      <c r="A55" s="151" t="s">
        <v>1824</v>
      </c>
      <c r="B55" s="150" t="s">
        <v>1355</v>
      </c>
      <c r="C55" s="150" t="s">
        <v>8</v>
      </c>
      <c r="D55" s="203">
        <v>20</v>
      </c>
      <c r="E55" s="203" t="s">
        <v>9</v>
      </c>
      <c r="F55" s="150">
        <v>39</v>
      </c>
      <c r="G55" s="151" t="s">
        <v>1824</v>
      </c>
      <c r="H55" s="151" t="s">
        <v>1480</v>
      </c>
      <c r="I55" s="151" t="s">
        <v>1326</v>
      </c>
      <c r="J55" s="151" t="s">
        <v>1382</v>
      </c>
      <c r="K55" s="151" t="s">
        <v>1060</v>
      </c>
      <c r="L55" s="151" t="s">
        <v>1525</v>
      </c>
      <c r="M55" s="158" t="s">
        <v>1825</v>
      </c>
      <c r="N55" s="150"/>
      <c r="O55" s="152"/>
      <c r="P55" s="156" t="s">
        <v>1623</v>
      </c>
    </row>
    <row r="56" spans="1:16" s="154" customFormat="1" ht="39.950000000000003" customHeight="1">
      <c r="A56" s="156" t="s">
        <v>238</v>
      </c>
      <c r="B56" s="156" t="s">
        <v>1363</v>
      </c>
      <c r="C56" s="156" t="s">
        <v>1597</v>
      </c>
      <c r="D56" s="189">
        <v>2E-3</v>
      </c>
      <c r="E56" s="189" t="s">
        <v>9</v>
      </c>
      <c r="F56" s="156" t="s">
        <v>9</v>
      </c>
      <c r="G56" s="156" t="s">
        <v>238</v>
      </c>
      <c r="H56" s="165" t="s">
        <v>239</v>
      </c>
      <c r="I56" s="151" t="s">
        <v>1353</v>
      </c>
      <c r="J56" s="151" t="s">
        <v>1399</v>
      </c>
      <c r="K56" s="151" t="s">
        <v>1244</v>
      </c>
      <c r="L56" s="151">
        <v>1.7</v>
      </c>
      <c r="M56" s="160" t="s">
        <v>1677</v>
      </c>
      <c r="N56" s="156" t="s">
        <v>1309</v>
      </c>
      <c r="O56" s="161" t="s">
        <v>1309</v>
      </c>
      <c r="P56" s="156" t="s">
        <v>1657</v>
      </c>
    </row>
    <row r="57" spans="1:16" s="154" customFormat="1" ht="39.950000000000003" customHeight="1">
      <c r="A57" s="151" t="s">
        <v>259</v>
      </c>
      <c r="B57" s="150" t="s">
        <v>1364</v>
      </c>
      <c r="C57" s="156" t="s">
        <v>1597</v>
      </c>
      <c r="D57" s="203">
        <v>0.05</v>
      </c>
      <c r="E57" s="203" t="s">
        <v>9</v>
      </c>
      <c r="F57" s="150">
        <v>0.1</v>
      </c>
      <c r="G57" s="151" t="s">
        <v>259</v>
      </c>
      <c r="H57" s="151" t="s">
        <v>1836</v>
      </c>
      <c r="I57" s="151" t="s">
        <v>1353</v>
      </c>
      <c r="J57" s="151" t="s">
        <v>1399</v>
      </c>
      <c r="K57" s="151" t="s">
        <v>1244</v>
      </c>
      <c r="L57" s="167" t="s">
        <v>1707</v>
      </c>
      <c r="M57" s="160" t="s">
        <v>1677</v>
      </c>
      <c r="N57" s="150" t="s">
        <v>1309</v>
      </c>
      <c r="O57" s="152" t="s">
        <v>1309</v>
      </c>
      <c r="P57" s="156" t="s">
        <v>1658</v>
      </c>
    </row>
    <row r="58" spans="1:16" s="154" customFormat="1" ht="39.950000000000003" customHeight="1">
      <c r="A58" s="151" t="s">
        <v>1602</v>
      </c>
      <c r="B58" s="150" t="s">
        <v>1355</v>
      </c>
      <c r="C58" s="156" t="s">
        <v>8</v>
      </c>
      <c r="D58" s="203" t="s">
        <v>9</v>
      </c>
      <c r="E58" s="203">
        <v>4.7</v>
      </c>
      <c r="F58" s="150">
        <v>8</v>
      </c>
      <c r="G58" s="151" t="s">
        <v>1602</v>
      </c>
      <c r="H58" s="151" t="s">
        <v>1691</v>
      </c>
      <c r="I58" s="151" t="s">
        <v>1353</v>
      </c>
      <c r="J58" s="151" t="s">
        <v>1601</v>
      </c>
      <c r="K58" s="151" t="s">
        <v>1608</v>
      </c>
      <c r="L58" s="151" t="s">
        <v>1721</v>
      </c>
      <c r="M58" s="160" t="s">
        <v>1680</v>
      </c>
      <c r="N58" s="150">
        <v>5.0000000000000001E-4</v>
      </c>
      <c r="O58" s="152"/>
      <c r="P58" s="156" t="s">
        <v>1562</v>
      </c>
    </row>
    <row r="59" spans="1:16" s="154" customFormat="1" ht="39.950000000000003" customHeight="1">
      <c r="A59" s="151" t="s">
        <v>1607</v>
      </c>
      <c r="B59" s="150" t="s">
        <v>1355</v>
      </c>
      <c r="C59" s="156" t="s">
        <v>8</v>
      </c>
      <c r="D59" s="203" t="s">
        <v>9</v>
      </c>
      <c r="E59" s="203">
        <v>4.7</v>
      </c>
      <c r="F59" s="150">
        <v>8</v>
      </c>
      <c r="G59" s="151" t="s">
        <v>1607</v>
      </c>
      <c r="H59" s="151" t="s">
        <v>1609</v>
      </c>
      <c r="I59" s="151" t="s">
        <v>1353</v>
      </c>
      <c r="J59" s="151" t="s">
        <v>1601</v>
      </c>
      <c r="K59" s="151" t="s">
        <v>1608</v>
      </c>
      <c r="L59" s="164" t="s">
        <v>1707</v>
      </c>
      <c r="M59" s="160" t="s">
        <v>1706</v>
      </c>
      <c r="N59" s="150">
        <v>5.0000000000000001E-4</v>
      </c>
      <c r="O59" s="152"/>
      <c r="P59" s="156" t="s">
        <v>1659</v>
      </c>
    </row>
    <row r="60" spans="1:16" s="154" customFormat="1" ht="39.950000000000003" customHeight="1">
      <c r="A60" s="156" t="s">
        <v>269</v>
      </c>
      <c r="B60" s="150" t="s">
        <v>1355</v>
      </c>
      <c r="C60" s="156" t="s">
        <v>8</v>
      </c>
      <c r="D60" s="189">
        <v>100</v>
      </c>
      <c r="E60" s="189" t="s">
        <v>9</v>
      </c>
      <c r="F60" s="156">
        <v>235</v>
      </c>
      <c r="G60" s="156" t="s">
        <v>269</v>
      </c>
      <c r="H60" s="165" t="s">
        <v>1692</v>
      </c>
      <c r="I60" s="151" t="s">
        <v>1326</v>
      </c>
      <c r="J60" s="165" t="s">
        <v>1404</v>
      </c>
      <c r="K60" s="151" t="s">
        <v>1060</v>
      </c>
      <c r="L60" s="151" t="s">
        <v>1525</v>
      </c>
      <c r="M60" s="167" t="s">
        <v>1681</v>
      </c>
      <c r="N60" s="156" t="s">
        <v>1311</v>
      </c>
      <c r="O60" s="161" t="s">
        <v>1311</v>
      </c>
      <c r="P60" s="156" t="s">
        <v>1660</v>
      </c>
    </row>
    <row r="61" spans="1:16" s="141" customFormat="1" ht="39.950000000000003" customHeight="1">
      <c r="A61" s="156" t="s">
        <v>270</v>
      </c>
      <c r="B61" s="150" t="s">
        <v>1355</v>
      </c>
      <c r="C61" s="156" t="s">
        <v>8</v>
      </c>
      <c r="D61" s="189">
        <v>50</v>
      </c>
      <c r="E61" s="189" t="s">
        <v>9</v>
      </c>
      <c r="F61" s="156">
        <v>40</v>
      </c>
      <c r="G61" s="156" t="s">
        <v>270</v>
      </c>
      <c r="H61" s="165" t="s">
        <v>933</v>
      </c>
      <c r="I61" s="151" t="s">
        <v>1326</v>
      </c>
      <c r="J61" s="165" t="s">
        <v>1405</v>
      </c>
      <c r="K61" s="151" t="s">
        <v>1060</v>
      </c>
      <c r="L61" s="151" t="s">
        <v>1525</v>
      </c>
      <c r="M61" s="167" t="s">
        <v>1682</v>
      </c>
      <c r="N61" s="156" t="s">
        <v>1316</v>
      </c>
      <c r="O61" s="161" t="s">
        <v>1316</v>
      </c>
      <c r="P61" s="150" t="s">
        <v>1661</v>
      </c>
    </row>
    <row r="62" spans="1:16" s="154" customFormat="1" ht="39.950000000000003" customHeight="1">
      <c r="A62" s="151" t="s">
        <v>271</v>
      </c>
      <c r="B62" s="150" t="s">
        <v>1355</v>
      </c>
      <c r="C62" s="150" t="s">
        <v>8</v>
      </c>
      <c r="D62" s="203">
        <v>20</v>
      </c>
      <c r="E62" s="203">
        <v>50</v>
      </c>
      <c r="F62" s="150" t="s">
        <v>9</v>
      </c>
      <c r="G62" s="151" t="s">
        <v>271</v>
      </c>
      <c r="H62" s="151" t="s">
        <v>147</v>
      </c>
      <c r="I62" s="151" t="s">
        <v>1326</v>
      </c>
      <c r="J62" s="151" t="s">
        <v>1406</v>
      </c>
      <c r="K62" s="151" t="s">
        <v>1060</v>
      </c>
      <c r="L62" s="151" t="s">
        <v>1525</v>
      </c>
      <c r="M62" s="158" t="s">
        <v>1682</v>
      </c>
      <c r="N62" s="150" t="s">
        <v>1310</v>
      </c>
      <c r="O62" s="152" t="s">
        <v>1310</v>
      </c>
      <c r="P62" s="156" t="s">
        <v>1662</v>
      </c>
    </row>
    <row r="63" spans="1:16" s="154" customFormat="1" ht="39.950000000000003" customHeight="1">
      <c r="A63" s="156" t="s">
        <v>272</v>
      </c>
      <c r="B63" s="150" t="s">
        <v>1355</v>
      </c>
      <c r="C63" s="156" t="s">
        <v>8</v>
      </c>
      <c r="D63" s="189">
        <v>20</v>
      </c>
      <c r="E63" s="189" t="s">
        <v>9</v>
      </c>
      <c r="F63" s="156" t="s">
        <v>9</v>
      </c>
      <c r="G63" s="156" t="s">
        <v>272</v>
      </c>
      <c r="H63" s="165" t="s">
        <v>1549</v>
      </c>
      <c r="I63" s="151" t="s">
        <v>1326</v>
      </c>
      <c r="J63" s="165" t="s">
        <v>1404</v>
      </c>
      <c r="K63" s="151" t="s">
        <v>1060</v>
      </c>
      <c r="L63" s="151" t="s">
        <v>1525</v>
      </c>
      <c r="M63" s="167" t="s">
        <v>1817</v>
      </c>
      <c r="N63" s="156" t="s">
        <v>1311</v>
      </c>
      <c r="O63" s="161" t="s">
        <v>1311</v>
      </c>
      <c r="P63" s="156" t="s">
        <v>1663</v>
      </c>
    </row>
    <row r="64" spans="1:16" s="141" customFormat="1" ht="39.950000000000003" customHeight="1">
      <c r="A64" s="156" t="s">
        <v>273</v>
      </c>
      <c r="B64" s="150" t="s">
        <v>1355</v>
      </c>
      <c r="C64" s="156" t="s">
        <v>8</v>
      </c>
      <c r="D64" s="189">
        <v>10</v>
      </c>
      <c r="E64" s="189" t="s">
        <v>9</v>
      </c>
      <c r="F64" s="156">
        <v>8</v>
      </c>
      <c r="G64" s="156" t="s">
        <v>273</v>
      </c>
      <c r="H64" s="151" t="s">
        <v>147</v>
      </c>
      <c r="I64" s="151" t="s">
        <v>1326</v>
      </c>
      <c r="J64" s="165" t="s">
        <v>4776</v>
      </c>
      <c r="K64" s="151" t="s">
        <v>1060</v>
      </c>
      <c r="L64" s="151" t="s">
        <v>1071</v>
      </c>
      <c r="M64" s="167" t="s">
        <v>4775</v>
      </c>
      <c r="N64" s="156"/>
      <c r="O64" s="161"/>
      <c r="P64" s="150" t="s">
        <v>1664</v>
      </c>
    </row>
    <row r="65" spans="1:16" s="141" customFormat="1" ht="39.950000000000003" customHeight="1">
      <c r="A65" s="156" t="s">
        <v>277</v>
      </c>
      <c r="B65" s="150" t="s">
        <v>1355</v>
      </c>
      <c r="C65" s="156" t="s">
        <v>8</v>
      </c>
      <c r="D65" s="189">
        <v>1000</v>
      </c>
      <c r="E65" s="189" t="s">
        <v>9</v>
      </c>
      <c r="F65" s="156" t="s">
        <v>9</v>
      </c>
      <c r="G65" s="156" t="s">
        <v>277</v>
      </c>
      <c r="H65" s="165" t="s">
        <v>1481</v>
      </c>
      <c r="I65" s="151" t="s">
        <v>1326</v>
      </c>
      <c r="J65" s="165" t="s">
        <v>1404</v>
      </c>
      <c r="K65" s="151" t="s">
        <v>1060</v>
      </c>
      <c r="L65" s="151" t="s">
        <v>1525</v>
      </c>
      <c r="M65" s="167" t="s">
        <v>1681</v>
      </c>
      <c r="N65" s="156" t="s">
        <v>1310</v>
      </c>
      <c r="O65" s="161" t="s">
        <v>1310</v>
      </c>
      <c r="P65" s="150" t="s">
        <v>1665</v>
      </c>
    </row>
    <row r="66" spans="1:16" s="141" customFormat="1" ht="39.950000000000003" customHeight="1">
      <c r="A66" s="156" t="s">
        <v>307</v>
      </c>
      <c r="B66" s="156" t="s">
        <v>1356</v>
      </c>
      <c r="C66" s="156" t="s">
        <v>8</v>
      </c>
      <c r="D66" s="189">
        <v>0.1</v>
      </c>
      <c r="E66" s="189">
        <v>0.4</v>
      </c>
      <c r="F66" s="156">
        <v>0.8</v>
      </c>
      <c r="G66" s="156" t="s">
        <v>307</v>
      </c>
      <c r="H66" s="165" t="s">
        <v>1550</v>
      </c>
      <c r="I66" s="151" t="s">
        <v>1438</v>
      </c>
      <c r="J66" s="165" t="s">
        <v>1407</v>
      </c>
      <c r="K66" s="151" t="s">
        <v>1060</v>
      </c>
      <c r="L66" s="163" t="s">
        <v>1090</v>
      </c>
      <c r="M66" s="168" t="s">
        <v>1672</v>
      </c>
      <c r="N66" s="156" t="s">
        <v>1310</v>
      </c>
      <c r="O66" s="161" t="s">
        <v>1310</v>
      </c>
      <c r="P66" s="177" t="s">
        <v>1666</v>
      </c>
    </row>
    <row r="67" spans="1:16" s="141" customFormat="1" ht="39.950000000000003" customHeight="1">
      <c r="A67" s="156" t="s">
        <v>314</v>
      </c>
      <c r="B67" s="156" t="s">
        <v>1356</v>
      </c>
      <c r="C67" s="156" t="s">
        <v>8</v>
      </c>
      <c r="D67" s="189">
        <v>1000</v>
      </c>
      <c r="E67" s="189" t="s">
        <v>9</v>
      </c>
      <c r="F67" s="156">
        <v>780</v>
      </c>
      <c r="G67" s="156" t="s">
        <v>314</v>
      </c>
      <c r="H67" s="165" t="s">
        <v>1693</v>
      </c>
      <c r="I67" s="151" t="s">
        <v>1326</v>
      </c>
      <c r="J67" s="165" t="s">
        <v>1537</v>
      </c>
      <c r="K67" s="151" t="s">
        <v>1060</v>
      </c>
      <c r="L67" s="165" t="s">
        <v>1669</v>
      </c>
      <c r="M67" s="168" t="s">
        <v>1707</v>
      </c>
      <c r="N67" s="150" t="s">
        <v>1311</v>
      </c>
      <c r="O67" s="152" t="s">
        <v>1311</v>
      </c>
      <c r="P67" s="150" t="s">
        <v>1735</v>
      </c>
    </row>
    <row r="68" spans="1:16" s="141" customFormat="1" ht="39.950000000000003" customHeight="1">
      <c r="A68" s="156" t="s">
        <v>318</v>
      </c>
      <c r="B68" s="156" t="s">
        <v>1356</v>
      </c>
      <c r="C68" s="156" t="s">
        <v>8</v>
      </c>
      <c r="D68" s="189">
        <v>10</v>
      </c>
      <c r="E68" s="189" t="s">
        <v>9</v>
      </c>
      <c r="F68" s="156">
        <v>20</v>
      </c>
      <c r="G68" s="156" t="s">
        <v>318</v>
      </c>
      <c r="H68" s="165" t="s">
        <v>319</v>
      </c>
      <c r="I68" s="151" t="s">
        <v>1326</v>
      </c>
      <c r="J68" s="165" t="s">
        <v>1408</v>
      </c>
      <c r="K68" s="151" t="s">
        <v>1060</v>
      </c>
      <c r="L68" s="151" t="s">
        <v>1525</v>
      </c>
      <c r="M68" s="168" t="s">
        <v>1730</v>
      </c>
      <c r="N68" s="156" t="s">
        <v>1314</v>
      </c>
      <c r="O68" s="161" t="s">
        <v>1314</v>
      </c>
      <c r="P68" s="150" t="s">
        <v>1737</v>
      </c>
    </row>
    <row r="69" spans="1:16" s="141" customFormat="1" ht="39.950000000000003" customHeight="1">
      <c r="A69" s="156" t="s">
        <v>326</v>
      </c>
      <c r="B69" s="150" t="s">
        <v>1355</v>
      </c>
      <c r="C69" s="156" t="s">
        <v>1597</v>
      </c>
      <c r="D69" s="189">
        <v>0.02</v>
      </c>
      <c r="E69" s="189" t="s">
        <v>9</v>
      </c>
      <c r="F69" s="156" t="s">
        <v>9</v>
      </c>
      <c r="G69" s="156" t="s">
        <v>326</v>
      </c>
      <c r="H69" s="165" t="s">
        <v>1684</v>
      </c>
      <c r="I69" s="151" t="s">
        <v>1353</v>
      </c>
      <c r="J69" s="151" t="s">
        <v>1399</v>
      </c>
      <c r="K69" s="151" t="s">
        <v>1244</v>
      </c>
      <c r="L69" s="151">
        <v>2</v>
      </c>
      <c r="M69" s="158" t="s">
        <v>1452</v>
      </c>
      <c r="N69" s="156" t="s">
        <v>1314</v>
      </c>
      <c r="O69" s="161" t="s">
        <v>1314</v>
      </c>
      <c r="P69" s="150" t="s">
        <v>1738</v>
      </c>
    </row>
    <row r="70" spans="1:16" s="141" customFormat="1" ht="39.950000000000003" customHeight="1">
      <c r="A70" s="151" t="s">
        <v>333</v>
      </c>
      <c r="B70" s="150" t="s">
        <v>1355</v>
      </c>
      <c r="C70" s="150" t="s">
        <v>1597</v>
      </c>
      <c r="D70" s="203">
        <v>1</v>
      </c>
      <c r="E70" s="203" t="s">
        <v>9</v>
      </c>
      <c r="F70" s="150" t="s">
        <v>9</v>
      </c>
      <c r="G70" s="151" t="s">
        <v>333</v>
      </c>
      <c r="H70" s="151" t="s">
        <v>943</v>
      </c>
      <c r="I70" s="151" t="s">
        <v>1353</v>
      </c>
      <c r="J70" s="151" t="s">
        <v>1399</v>
      </c>
      <c r="K70" s="151" t="s">
        <v>1244</v>
      </c>
      <c r="L70" s="164" t="s">
        <v>1707</v>
      </c>
      <c r="M70" s="158" t="s">
        <v>1677</v>
      </c>
      <c r="N70" s="150" t="s">
        <v>1314</v>
      </c>
      <c r="O70" s="152" t="s">
        <v>1314</v>
      </c>
      <c r="P70" s="150" t="s">
        <v>1739</v>
      </c>
    </row>
    <row r="71" spans="1:16" s="141" customFormat="1" ht="39.950000000000003" customHeight="1">
      <c r="A71" s="156" t="s">
        <v>335</v>
      </c>
      <c r="B71" s="150" t="s">
        <v>1355</v>
      </c>
      <c r="C71" s="150" t="s">
        <v>1597</v>
      </c>
      <c r="D71" s="189">
        <v>20</v>
      </c>
      <c r="E71" s="189" t="s">
        <v>9</v>
      </c>
      <c r="F71" s="156" t="s">
        <v>9</v>
      </c>
      <c r="G71" s="156" t="s">
        <v>335</v>
      </c>
      <c r="H71" s="165" t="s">
        <v>1496</v>
      </c>
      <c r="I71" s="151" t="s">
        <v>1501</v>
      </c>
      <c r="J71" s="151" t="s">
        <v>1418</v>
      </c>
      <c r="K71" s="151" t="s">
        <v>1060</v>
      </c>
      <c r="L71" s="165" t="s">
        <v>1724</v>
      </c>
      <c r="M71" s="160" t="s">
        <v>1078</v>
      </c>
      <c r="N71" s="165"/>
      <c r="O71" s="161"/>
      <c r="P71" s="178">
        <v>2025884</v>
      </c>
    </row>
    <row r="72" spans="1:16" s="141" customFormat="1" ht="46.5" customHeight="1">
      <c r="A72" s="156" t="s">
        <v>347</v>
      </c>
      <c r="B72" s="156" t="s">
        <v>1365</v>
      </c>
      <c r="C72" s="156" t="s">
        <v>1597</v>
      </c>
      <c r="D72" s="189">
        <v>0.5</v>
      </c>
      <c r="E72" s="189" t="s">
        <v>9</v>
      </c>
      <c r="F72" s="156" t="s">
        <v>9</v>
      </c>
      <c r="G72" s="156" t="s">
        <v>347</v>
      </c>
      <c r="H72" s="165" t="s">
        <v>1496</v>
      </c>
      <c r="I72" s="151" t="s">
        <v>1353</v>
      </c>
      <c r="J72" s="151" t="s">
        <v>1399</v>
      </c>
      <c r="K72" s="151" t="s">
        <v>1244</v>
      </c>
      <c r="L72" s="165" t="s">
        <v>1240</v>
      </c>
      <c r="M72" s="158" t="s">
        <v>1452</v>
      </c>
      <c r="N72" s="156">
        <v>1</v>
      </c>
      <c r="O72" s="161" t="s">
        <v>1591</v>
      </c>
      <c r="P72" s="150" t="s">
        <v>1742</v>
      </c>
    </row>
    <row r="73" spans="1:16" s="141" customFormat="1" ht="41.25" customHeight="1">
      <c r="A73" s="151" t="s">
        <v>1539</v>
      </c>
      <c r="B73" s="150" t="s">
        <v>1365</v>
      </c>
      <c r="C73" s="156" t="s">
        <v>1597</v>
      </c>
      <c r="D73" s="203">
        <v>2.0000000000000001E-4</v>
      </c>
      <c r="E73" s="189">
        <v>5.0000000000000001E-4</v>
      </c>
      <c r="F73" s="150" t="s">
        <v>9</v>
      </c>
      <c r="G73" s="151" t="s">
        <v>1539</v>
      </c>
      <c r="H73" s="151" t="s">
        <v>1542</v>
      </c>
      <c r="I73" s="151" t="s">
        <v>1541</v>
      </c>
      <c r="J73" s="151" t="s">
        <v>1377</v>
      </c>
      <c r="K73" s="151" t="s">
        <v>1244</v>
      </c>
      <c r="L73" s="165">
        <v>2</v>
      </c>
      <c r="M73" s="161" t="s">
        <v>1807</v>
      </c>
      <c r="N73" s="150"/>
      <c r="O73" s="152"/>
      <c r="P73" s="150" t="s">
        <v>1743</v>
      </c>
    </row>
    <row r="74" spans="1:16" s="141" customFormat="1" ht="39.950000000000003" customHeight="1">
      <c r="A74" s="151" t="s">
        <v>350</v>
      </c>
      <c r="B74" s="150" t="s">
        <v>1360</v>
      </c>
      <c r="C74" s="150" t="s">
        <v>8</v>
      </c>
      <c r="D74" s="203">
        <v>5</v>
      </c>
      <c r="E74" s="203" t="s">
        <v>9</v>
      </c>
      <c r="F74" s="150">
        <v>39</v>
      </c>
      <c r="G74" s="151" t="s">
        <v>350</v>
      </c>
      <c r="H74" s="151" t="s">
        <v>1304</v>
      </c>
      <c r="I74" s="151" t="s">
        <v>1326</v>
      </c>
      <c r="J74" s="151" t="s">
        <v>1409</v>
      </c>
      <c r="K74" s="151" t="s">
        <v>1060</v>
      </c>
      <c r="L74" s="151" t="s">
        <v>1525</v>
      </c>
      <c r="M74" s="158" t="s">
        <v>1811</v>
      </c>
      <c r="N74" s="150" t="s">
        <v>1311</v>
      </c>
      <c r="O74" s="152" t="s">
        <v>1311</v>
      </c>
      <c r="P74" s="150" t="s">
        <v>1734</v>
      </c>
    </row>
    <row r="75" spans="1:16" s="141" customFormat="1" ht="39.950000000000003" customHeight="1">
      <c r="A75" s="151" t="s">
        <v>1473</v>
      </c>
      <c r="B75" s="150" t="s">
        <v>1355</v>
      </c>
      <c r="C75" s="150" t="s">
        <v>8</v>
      </c>
      <c r="D75" s="203">
        <v>50</v>
      </c>
      <c r="E75" s="203" t="s">
        <v>9</v>
      </c>
      <c r="F75" s="150" t="s">
        <v>9</v>
      </c>
      <c r="G75" s="151" t="s">
        <v>1473</v>
      </c>
      <c r="H75" s="151" t="s">
        <v>1477</v>
      </c>
      <c r="I75" s="151"/>
      <c r="J75" s="151" t="s">
        <v>1472</v>
      </c>
      <c r="K75" s="151" t="s">
        <v>1060</v>
      </c>
      <c r="L75" s="151" t="s">
        <v>1525</v>
      </c>
      <c r="M75" s="160" t="s">
        <v>1682</v>
      </c>
      <c r="N75" s="150"/>
      <c r="O75" s="152" t="s">
        <v>1318</v>
      </c>
      <c r="P75" s="150" t="s">
        <v>1713</v>
      </c>
    </row>
    <row r="76" spans="1:16" s="141" customFormat="1" ht="39.950000000000003" customHeight="1">
      <c r="A76" s="151" t="s">
        <v>378</v>
      </c>
      <c r="B76" s="156" t="s">
        <v>1356</v>
      </c>
      <c r="C76" s="150" t="s">
        <v>8</v>
      </c>
      <c r="D76" s="203">
        <v>50</v>
      </c>
      <c r="E76" s="203" t="s">
        <v>9</v>
      </c>
      <c r="F76" s="150">
        <v>156</v>
      </c>
      <c r="G76" s="151" t="s">
        <v>378</v>
      </c>
      <c r="H76" s="151" t="s">
        <v>1592</v>
      </c>
      <c r="I76" s="151" t="s">
        <v>1326</v>
      </c>
      <c r="J76" s="151" t="s">
        <v>1594</v>
      </c>
      <c r="K76" s="151" t="s">
        <v>1060</v>
      </c>
      <c r="L76" s="151" t="s">
        <v>1525</v>
      </c>
      <c r="M76" s="168" t="s">
        <v>1736</v>
      </c>
      <c r="N76" s="150"/>
      <c r="O76" s="152"/>
      <c r="P76" s="150" t="s">
        <v>1639</v>
      </c>
    </row>
    <row r="77" spans="1:16" s="141" customFormat="1" ht="39.950000000000003" customHeight="1">
      <c r="A77" s="151" t="s">
        <v>384</v>
      </c>
      <c r="B77" s="156" t="s">
        <v>1356</v>
      </c>
      <c r="C77" s="150" t="s">
        <v>8</v>
      </c>
      <c r="D77" s="203">
        <v>1000</v>
      </c>
      <c r="E77" s="203" t="s">
        <v>9</v>
      </c>
      <c r="F77" s="150">
        <v>780</v>
      </c>
      <c r="G77" s="151" t="s">
        <v>384</v>
      </c>
      <c r="H77" s="151" t="s">
        <v>1538</v>
      </c>
      <c r="I77" s="151" t="s">
        <v>1326</v>
      </c>
      <c r="J77" s="151" t="s">
        <v>1593</v>
      </c>
      <c r="K77" s="151" t="s">
        <v>1060</v>
      </c>
      <c r="L77" s="165" t="s">
        <v>1669</v>
      </c>
      <c r="M77" s="168" t="s">
        <v>1707</v>
      </c>
      <c r="N77" s="150" t="s">
        <v>1311</v>
      </c>
      <c r="O77" s="152" t="s">
        <v>1311</v>
      </c>
      <c r="P77" s="150" t="s">
        <v>1744</v>
      </c>
    </row>
    <row r="78" spans="1:16" s="141" customFormat="1" ht="39.950000000000003" customHeight="1">
      <c r="A78" s="169" t="s">
        <v>389</v>
      </c>
      <c r="B78" s="150" t="s">
        <v>1362</v>
      </c>
      <c r="C78" s="150" t="s">
        <v>1597</v>
      </c>
      <c r="D78" s="203">
        <v>100</v>
      </c>
      <c r="E78" s="203" t="s">
        <v>9</v>
      </c>
      <c r="F78" s="150" t="s">
        <v>9</v>
      </c>
      <c r="G78" s="151" t="s">
        <v>389</v>
      </c>
      <c r="H78" s="151" t="s">
        <v>155</v>
      </c>
      <c r="I78" s="151" t="s">
        <v>1327</v>
      </c>
      <c r="J78" s="151" t="s">
        <v>1410</v>
      </c>
      <c r="K78" s="151" t="s">
        <v>1060</v>
      </c>
      <c r="L78" s="151">
        <v>2</v>
      </c>
      <c r="M78" s="170">
        <v>480</v>
      </c>
      <c r="N78" s="150" t="s">
        <v>9</v>
      </c>
      <c r="O78" s="152" t="s">
        <v>9</v>
      </c>
      <c r="P78" s="150" t="s">
        <v>1564</v>
      </c>
    </row>
    <row r="79" spans="1:16" s="141" customFormat="1" ht="39.950000000000003" customHeight="1">
      <c r="A79" s="151" t="s">
        <v>407</v>
      </c>
      <c r="B79" s="150" t="s">
        <v>1355</v>
      </c>
      <c r="C79" s="150" t="s">
        <v>8</v>
      </c>
      <c r="D79" s="211">
        <v>5</v>
      </c>
      <c r="E79" s="211" t="s">
        <v>9</v>
      </c>
      <c r="F79" s="150">
        <v>8</v>
      </c>
      <c r="G79" s="151" t="s">
        <v>407</v>
      </c>
      <c r="H79" s="151" t="s">
        <v>1335</v>
      </c>
      <c r="I79" s="151" t="s">
        <v>1336</v>
      </c>
      <c r="J79" s="151" t="s">
        <v>1411</v>
      </c>
      <c r="K79" s="151" t="s">
        <v>1060</v>
      </c>
      <c r="L79" s="151" t="s">
        <v>1668</v>
      </c>
      <c r="M79" s="160" t="s">
        <v>1731</v>
      </c>
      <c r="N79" s="150" t="s">
        <v>1308</v>
      </c>
      <c r="O79" s="152" t="s">
        <v>1308</v>
      </c>
      <c r="P79" s="150"/>
    </row>
    <row r="80" spans="1:16" s="141" customFormat="1" ht="49.5" customHeight="1">
      <c r="A80" s="151" t="s">
        <v>421</v>
      </c>
      <c r="B80" s="150" t="s">
        <v>1355</v>
      </c>
      <c r="C80" s="150" t="s">
        <v>8</v>
      </c>
      <c r="D80" s="211">
        <v>5000</v>
      </c>
      <c r="E80" s="211">
        <v>30000</v>
      </c>
      <c r="F80" s="150">
        <v>3900</v>
      </c>
      <c r="G80" s="151" t="s">
        <v>421</v>
      </c>
      <c r="H80" s="151" t="s">
        <v>54</v>
      </c>
      <c r="I80" s="151" t="s">
        <v>4740</v>
      </c>
      <c r="J80" s="151" t="s">
        <v>1412</v>
      </c>
      <c r="K80" s="151" t="s">
        <v>1060</v>
      </c>
      <c r="L80" s="151" t="s">
        <v>1725</v>
      </c>
      <c r="M80" s="160" t="s">
        <v>1331</v>
      </c>
      <c r="N80" s="150" t="s">
        <v>1317</v>
      </c>
      <c r="O80" s="152" t="s">
        <v>1317</v>
      </c>
      <c r="P80" s="150" t="s">
        <v>1565</v>
      </c>
    </row>
    <row r="81" spans="1:16" s="141" customFormat="1" ht="45">
      <c r="A81" s="151" t="s">
        <v>423</v>
      </c>
      <c r="B81" s="150" t="s">
        <v>1355</v>
      </c>
      <c r="C81" s="150" t="s">
        <v>8</v>
      </c>
      <c r="D81" s="203" t="s">
        <v>9</v>
      </c>
      <c r="E81" s="203">
        <v>0.25</v>
      </c>
      <c r="F81" s="150">
        <v>4</v>
      </c>
      <c r="G81" s="151" t="s">
        <v>423</v>
      </c>
      <c r="H81" s="151" t="s">
        <v>1740</v>
      </c>
      <c r="I81" s="151" t="s">
        <v>1353</v>
      </c>
      <c r="J81" s="151" t="s">
        <v>1413</v>
      </c>
      <c r="K81" s="151" t="s">
        <v>1060</v>
      </c>
      <c r="L81" s="151" t="s">
        <v>1063</v>
      </c>
      <c r="M81" s="160" t="s">
        <v>1816</v>
      </c>
      <c r="N81" s="150" t="s">
        <v>1310</v>
      </c>
      <c r="O81" s="152" t="s">
        <v>1310</v>
      </c>
      <c r="P81" s="150" t="s">
        <v>1712</v>
      </c>
    </row>
    <row r="82" spans="1:16" s="154" customFormat="1" ht="42.75" customHeight="1">
      <c r="A82" s="151" t="s">
        <v>426</v>
      </c>
      <c r="B82" s="150" t="s">
        <v>1355</v>
      </c>
      <c r="C82" s="150" t="s">
        <v>8</v>
      </c>
      <c r="D82" s="203">
        <v>0.2</v>
      </c>
      <c r="E82" s="203" t="s">
        <v>9</v>
      </c>
      <c r="F82" s="150">
        <v>4</v>
      </c>
      <c r="G82" s="151" t="s">
        <v>426</v>
      </c>
      <c r="H82" s="151" t="s">
        <v>919</v>
      </c>
      <c r="I82" s="151" t="s">
        <v>1326</v>
      </c>
      <c r="J82" s="151" t="s">
        <v>1414</v>
      </c>
      <c r="K82" s="151" t="s">
        <v>1244</v>
      </c>
      <c r="L82" s="151">
        <v>2.5000000000000001E-2</v>
      </c>
      <c r="M82" s="160" t="s">
        <v>1815</v>
      </c>
      <c r="N82" s="150" t="s">
        <v>1309</v>
      </c>
      <c r="O82" s="152" t="s">
        <v>1309</v>
      </c>
      <c r="P82" s="156" t="s">
        <v>1746</v>
      </c>
    </row>
    <row r="83" spans="1:16" s="141" customFormat="1" ht="42.75" customHeight="1">
      <c r="A83" s="151" t="s">
        <v>1342</v>
      </c>
      <c r="B83" s="150" t="s">
        <v>1355</v>
      </c>
      <c r="C83" s="150" t="s">
        <v>1597</v>
      </c>
      <c r="D83" s="203">
        <v>2.5</v>
      </c>
      <c r="E83" s="203" t="s">
        <v>9</v>
      </c>
      <c r="F83" s="150" t="s">
        <v>9</v>
      </c>
      <c r="G83" s="151" t="s">
        <v>1342</v>
      </c>
      <c r="H83" s="151" t="s">
        <v>1343</v>
      </c>
      <c r="I83" s="151" t="s">
        <v>1353</v>
      </c>
      <c r="J83" s="151" t="s">
        <v>1399</v>
      </c>
      <c r="K83" s="151" t="s">
        <v>1244</v>
      </c>
      <c r="L83" s="163" t="s">
        <v>1707</v>
      </c>
      <c r="M83" s="158" t="s">
        <v>1677</v>
      </c>
      <c r="N83" s="150" t="s">
        <v>1344</v>
      </c>
      <c r="O83" s="152" t="s">
        <v>1344</v>
      </c>
      <c r="P83" s="150" t="s">
        <v>4746</v>
      </c>
    </row>
    <row r="84" spans="1:16" s="141" customFormat="1" ht="39.950000000000003" customHeight="1">
      <c r="A84" s="151" t="s">
        <v>449</v>
      </c>
      <c r="B84" s="150" t="s">
        <v>1355</v>
      </c>
      <c r="C84" s="150" t="s">
        <v>1597</v>
      </c>
      <c r="D84" s="203">
        <v>2</v>
      </c>
      <c r="E84" s="203" t="s">
        <v>9</v>
      </c>
      <c r="F84" s="150" t="s">
        <v>9</v>
      </c>
      <c r="G84" s="151" t="s">
        <v>449</v>
      </c>
      <c r="H84" s="151" t="s">
        <v>244</v>
      </c>
      <c r="I84" s="151" t="s">
        <v>1353</v>
      </c>
      <c r="J84" s="151" t="s">
        <v>1399</v>
      </c>
      <c r="K84" s="151" t="s">
        <v>1244</v>
      </c>
      <c r="L84" s="151">
        <v>2</v>
      </c>
      <c r="M84" s="160" t="s">
        <v>1452</v>
      </c>
      <c r="N84" s="150" t="s">
        <v>1309</v>
      </c>
      <c r="O84" s="152" t="s">
        <v>1309</v>
      </c>
      <c r="P84" s="150" t="s">
        <v>1747</v>
      </c>
    </row>
    <row r="85" spans="1:16" s="141" customFormat="1" ht="39.950000000000003" customHeight="1">
      <c r="A85" s="165" t="s">
        <v>1733</v>
      </c>
      <c r="B85" s="150" t="s">
        <v>1355</v>
      </c>
      <c r="C85" s="150" t="s">
        <v>1597</v>
      </c>
      <c r="D85" s="203">
        <v>0.1</v>
      </c>
      <c r="E85" s="189">
        <v>0.2</v>
      </c>
      <c r="F85" s="150" t="s">
        <v>9</v>
      </c>
      <c r="G85" s="165" t="s">
        <v>1733</v>
      </c>
      <c r="H85" s="151" t="s">
        <v>1827</v>
      </c>
      <c r="I85" s="151" t="s">
        <v>1353</v>
      </c>
      <c r="J85" s="195" t="s">
        <v>1399</v>
      </c>
      <c r="K85" s="151" t="s">
        <v>1244</v>
      </c>
      <c r="L85" s="165">
        <v>2</v>
      </c>
      <c r="M85" s="161">
        <v>480</v>
      </c>
      <c r="N85" s="156"/>
      <c r="O85" s="161"/>
      <c r="P85" s="150" t="s">
        <v>1566</v>
      </c>
    </row>
    <row r="86" spans="1:16" s="154" customFormat="1" ht="39.950000000000003" customHeight="1">
      <c r="A86" s="151" t="s">
        <v>452</v>
      </c>
      <c r="B86" s="150" t="s">
        <v>1366</v>
      </c>
      <c r="C86" s="150" t="s">
        <v>8</v>
      </c>
      <c r="D86" s="203">
        <v>10</v>
      </c>
      <c r="E86" s="203">
        <v>20</v>
      </c>
      <c r="F86" s="150">
        <v>78</v>
      </c>
      <c r="G86" s="151" t="s">
        <v>452</v>
      </c>
      <c r="H86" s="151" t="s">
        <v>1694</v>
      </c>
      <c r="I86" s="151" t="s">
        <v>1326</v>
      </c>
      <c r="J86" s="151" t="s">
        <v>1409</v>
      </c>
      <c r="K86" s="151" t="s">
        <v>1060</v>
      </c>
      <c r="L86" s="151" t="s">
        <v>1668</v>
      </c>
      <c r="M86" s="160" t="s">
        <v>1708</v>
      </c>
      <c r="N86" s="150" t="s">
        <v>1318</v>
      </c>
      <c r="O86" s="152" t="s">
        <v>1318</v>
      </c>
      <c r="P86" s="156" t="s">
        <v>1748</v>
      </c>
    </row>
    <row r="87" spans="1:16" s="141" customFormat="1" ht="39.950000000000003" customHeight="1">
      <c r="A87" s="151" t="s">
        <v>455</v>
      </c>
      <c r="B87" s="150" t="s">
        <v>1355</v>
      </c>
      <c r="C87" s="150" t="s">
        <v>8</v>
      </c>
      <c r="D87" s="203" t="s">
        <v>9</v>
      </c>
      <c r="E87" s="203">
        <v>1000</v>
      </c>
      <c r="F87" s="150">
        <v>780</v>
      </c>
      <c r="G87" s="151" t="s">
        <v>455</v>
      </c>
      <c r="H87" s="151" t="s">
        <v>899</v>
      </c>
      <c r="I87" s="151" t="s">
        <v>1326</v>
      </c>
      <c r="J87" s="151" t="s">
        <v>1397</v>
      </c>
      <c r="K87" s="151" t="s">
        <v>1060</v>
      </c>
      <c r="L87" s="151" t="s">
        <v>1669</v>
      </c>
      <c r="M87" s="160" t="s">
        <v>1675</v>
      </c>
      <c r="N87" s="150" t="s">
        <v>1311</v>
      </c>
      <c r="O87" s="152" t="s">
        <v>1311</v>
      </c>
      <c r="P87" s="150" t="s">
        <v>1749</v>
      </c>
    </row>
    <row r="88" spans="1:16" s="154" customFormat="1" ht="42" customHeight="1">
      <c r="A88" s="151" t="s">
        <v>456</v>
      </c>
      <c r="B88" s="150" t="s">
        <v>1355</v>
      </c>
      <c r="C88" s="150" t="s">
        <v>8</v>
      </c>
      <c r="D88" s="203">
        <v>3</v>
      </c>
      <c r="E88" s="203">
        <v>6</v>
      </c>
      <c r="F88" s="150" t="s">
        <v>9</v>
      </c>
      <c r="G88" s="151" t="s">
        <v>456</v>
      </c>
      <c r="H88" s="151" t="s">
        <v>1305</v>
      </c>
      <c r="I88" s="151" t="s">
        <v>1505</v>
      </c>
      <c r="J88" s="151" t="s">
        <v>1506</v>
      </c>
      <c r="K88" s="151" t="s">
        <v>1060</v>
      </c>
      <c r="L88" s="151" t="s">
        <v>1724</v>
      </c>
      <c r="M88" s="160" t="s">
        <v>1745</v>
      </c>
      <c r="N88" s="150"/>
      <c r="O88" s="152"/>
      <c r="P88" s="156" t="s">
        <v>1751</v>
      </c>
    </row>
    <row r="89" spans="1:16" s="154" customFormat="1" ht="39.950000000000003" customHeight="1">
      <c r="A89" s="179" t="s">
        <v>1563</v>
      </c>
      <c r="B89" s="150" t="s">
        <v>1355</v>
      </c>
      <c r="C89" s="150" t="s">
        <v>8</v>
      </c>
      <c r="D89" s="203">
        <v>50</v>
      </c>
      <c r="E89" s="203" t="s">
        <v>9</v>
      </c>
      <c r="F89" s="150" t="s">
        <v>9</v>
      </c>
      <c r="G89" s="151" t="s">
        <v>1563</v>
      </c>
      <c r="H89" s="151" t="s">
        <v>1337</v>
      </c>
      <c r="I89" s="151" t="s">
        <v>1439</v>
      </c>
      <c r="J89" s="151" t="s">
        <v>1415</v>
      </c>
      <c r="K89" s="151" t="s">
        <v>1060</v>
      </c>
      <c r="L89" s="151" t="s">
        <v>1726</v>
      </c>
      <c r="M89" s="160" t="s">
        <v>1675</v>
      </c>
      <c r="N89" s="150" t="s">
        <v>1311</v>
      </c>
      <c r="O89" s="152" t="s">
        <v>1311</v>
      </c>
      <c r="P89" s="156" t="s">
        <v>1752</v>
      </c>
    </row>
    <row r="90" spans="1:16" s="154" customFormat="1" ht="39.950000000000003" customHeight="1">
      <c r="A90" s="151" t="s">
        <v>1380</v>
      </c>
      <c r="B90" s="150" t="s">
        <v>1355</v>
      </c>
      <c r="C90" s="150" t="s">
        <v>8</v>
      </c>
      <c r="D90" s="203">
        <v>44</v>
      </c>
      <c r="E90" s="203">
        <v>88</v>
      </c>
      <c r="F90" s="150" t="s">
        <v>9</v>
      </c>
      <c r="G90" s="151" t="s">
        <v>1380</v>
      </c>
      <c r="H90" s="151" t="s">
        <v>1338</v>
      </c>
      <c r="I90" s="151" t="s">
        <v>1326</v>
      </c>
      <c r="J90" s="151" t="s">
        <v>1416</v>
      </c>
      <c r="K90" s="151" t="s">
        <v>1060</v>
      </c>
      <c r="L90" s="151" t="s">
        <v>1726</v>
      </c>
      <c r="M90" s="160" t="s">
        <v>1675</v>
      </c>
      <c r="N90" s="150" t="s">
        <v>1311</v>
      </c>
      <c r="O90" s="152" t="s">
        <v>1311</v>
      </c>
      <c r="P90" s="156" t="s">
        <v>1753</v>
      </c>
    </row>
    <row r="91" spans="1:16" s="154" customFormat="1" ht="39.950000000000003" customHeight="1">
      <c r="A91" s="151" t="s">
        <v>478</v>
      </c>
      <c r="B91" s="150" t="s">
        <v>1355</v>
      </c>
      <c r="C91" s="150" t="s">
        <v>8</v>
      </c>
      <c r="D91" s="203">
        <v>10</v>
      </c>
      <c r="E91" s="203" t="s">
        <v>9</v>
      </c>
      <c r="F91" s="150" t="s">
        <v>9</v>
      </c>
      <c r="G91" s="151" t="s">
        <v>478</v>
      </c>
      <c r="H91" s="151" t="s">
        <v>1511</v>
      </c>
      <c r="I91" s="151" t="s">
        <v>1326</v>
      </c>
      <c r="J91" s="151" t="s">
        <v>1512</v>
      </c>
      <c r="K91" s="151" t="s">
        <v>1060</v>
      </c>
      <c r="L91" s="151">
        <v>2</v>
      </c>
      <c r="M91" s="160" t="s">
        <v>1452</v>
      </c>
      <c r="N91" s="150"/>
      <c r="O91" s="152"/>
      <c r="P91" s="156" t="s">
        <v>1849</v>
      </c>
    </row>
    <row r="92" spans="1:16" s="141" customFormat="1" ht="39.950000000000003" customHeight="1">
      <c r="A92" s="151" t="s">
        <v>486</v>
      </c>
      <c r="B92" s="150" t="s">
        <v>1367</v>
      </c>
      <c r="C92" s="150" t="s">
        <v>8</v>
      </c>
      <c r="D92" s="203">
        <v>20</v>
      </c>
      <c r="E92" s="203" t="s">
        <v>9</v>
      </c>
      <c r="F92" s="150">
        <v>78</v>
      </c>
      <c r="G92" s="151" t="s">
        <v>486</v>
      </c>
      <c r="H92" s="151" t="s">
        <v>1695</v>
      </c>
      <c r="I92" s="151" t="s">
        <v>1326</v>
      </c>
      <c r="J92" s="151" t="s">
        <v>1409</v>
      </c>
      <c r="K92" s="151" t="s">
        <v>1060</v>
      </c>
      <c r="L92" s="151" t="s">
        <v>1525</v>
      </c>
      <c r="M92" s="158" t="s">
        <v>1078</v>
      </c>
      <c r="N92" s="150" t="s">
        <v>1309</v>
      </c>
      <c r="O92" s="152" t="s">
        <v>1309</v>
      </c>
      <c r="P92" s="150" t="s">
        <v>1754</v>
      </c>
    </row>
    <row r="93" spans="1:16" s="208" customFormat="1" ht="39.950000000000003" customHeight="1">
      <c r="A93" s="189" t="s">
        <v>487</v>
      </c>
      <c r="B93" s="203" t="s">
        <v>1355</v>
      </c>
      <c r="C93" s="189" t="s">
        <v>8</v>
      </c>
      <c r="D93" s="189">
        <v>200</v>
      </c>
      <c r="E93" s="189" t="s">
        <v>9</v>
      </c>
      <c r="F93" s="189" t="s">
        <v>9</v>
      </c>
      <c r="G93" s="189" t="s">
        <v>487</v>
      </c>
      <c r="H93" s="204" t="s">
        <v>54</v>
      </c>
      <c r="I93" s="204" t="s">
        <v>1350</v>
      </c>
      <c r="J93" s="204" t="s">
        <v>1417</v>
      </c>
      <c r="K93" s="205" t="s">
        <v>1060</v>
      </c>
      <c r="L93" s="204" t="s">
        <v>1750</v>
      </c>
      <c r="M93" s="206" t="s">
        <v>1078</v>
      </c>
      <c r="N93" s="189" t="s">
        <v>9</v>
      </c>
      <c r="O93" s="207" t="s">
        <v>9</v>
      </c>
      <c r="P93" s="189" t="s">
        <v>1755</v>
      </c>
    </row>
    <row r="94" spans="1:16" s="141" customFormat="1" ht="39.950000000000003" customHeight="1">
      <c r="A94" s="151" t="s">
        <v>4754</v>
      </c>
      <c r="B94" s="150" t="s">
        <v>1355</v>
      </c>
      <c r="C94" s="150" t="s">
        <v>8</v>
      </c>
      <c r="D94" s="203">
        <v>25</v>
      </c>
      <c r="E94" s="203">
        <v>50</v>
      </c>
      <c r="F94" s="150" t="s">
        <v>9</v>
      </c>
      <c r="G94" s="151" t="s">
        <v>4754</v>
      </c>
      <c r="H94" s="151" t="s">
        <v>4755</v>
      </c>
      <c r="I94" s="151" t="s">
        <v>1326</v>
      </c>
      <c r="J94" s="151" t="s">
        <v>4749</v>
      </c>
      <c r="K94" s="151" t="s">
        <v>1060</v>
      </c>
      <c r="L94" s="151" t="s">
        <v>4747</v>
      </c>
      <c r="M94" s="158" t="s">
        <v>4748</v>
      </c>
      <c r="N94" s="150"/>
      <c r="O94" s="152"/>
      <c r="P94" s="150" t="s">
        <v>1757</v>
      </c>
    </row>
    <row r="95" spans="1:16" s="141" customFormat="1" ht="39.950000000000003" customHeight="1">
      <c r="A95" s="151" t="s">
        <v>508</v>
      </c>
      <c r="B95" s="151" t="s">
        <v>1360</v>
      </c>
      <c r="C95" s="150" t="s">
        <v>8</v>
      </c>
      <c r="D95" s="203">
        <v>5</v>
      </c>
      <c r="E95" s="203" t="s">
        <v>9</v>
      </c>
      <c r="F95" s="150">
        <v>4</v>
      </c>
      <c r="G95" s="151" t="s">
        <v>508</v>
      </c>
      <c r="H95" s="151" t="s">
        <v>1551</v>
      </c>
      <c r="I95" s="151" t="s">
        <v>1440</v>
      </c>
      <c r="J95" s="151" t="s">
        <v>1418</v>
      </c>
      <c r="K95" s="151" t="s">
        <v>1060</v>
      </c>
      <c r="L95" s="165" t="s">
        <v>1725</v>
      </c>
      <c r="M95" s="160" t="s">
        <v>1732</v>
      </c>
      <c r="N95" s="150" t="s">
        <v>1313</v>
      </c>
      <c r="O95" s="152" t="s">
        <v>1313</v>
      </c>
      <c r="P95" s="150" t="s">
        <v>1758</v>
      </c>
    </row>
    <row r="96" spans="1:16" s="141" customFormat="1" ht="39.950000000000003" customHeight="1">
      <c r="A96" s="179" t="s">
        <v>514</v>
      </c>
      <c r="B96" s="150" t="s">
        <v>1355</v>
      </c>
      <c r="C96" s="150" t="s">
        <v>1597</v>
      </c>
      <c r="D96" s="203">
        <v>5</v>
      </c>
      <c r="E96" s="203" t="s">
        <v>9</v>
      </c>
      <c r="F96" s="150" t="s">
        <v>9</v>
      </c>
      <c r="G96" s="151" t="s">
        <v>514</v>
      </c>
      <c r="H96" s="151" t="s">
        <v>244</v>
      </c>
      <c r="I96" s="151" t="s">
        <v>1353</v>
      </c>
      <c r="J96" s="151" t="s">
        <v>1399</v>
      </c>
      <c r="K96" s="151" t="s">
        <v>1244</v>
      </c>
      <c r="L96" s="163" t="s">
        <v>1707</v>
      </c>
      <c r="M96" s="198" t="s">
        <v>1814</v>
      </c>
      <c r="N96" s="150" t="s">
        <v>1314</v>
      </c>
      <c r="O96" s="152" t="s">
        <v>1314</v>
      </c>
      <c r="P96" s="150" t="s">
        <v>1759</v>
      </c>
    </row>
    <row r="97" spans="1:16" s="141" customFormat="1" ht="39.950000000000003" customHeight="1">
      <c r="A97" s="156" t="s">
        <v>529</v>
      </c>
      <c r="B97" s="150" t="s">
        <v>1355</v>
      </c>
      <c r="C97" s="156" t="s">
        <v>1597</v>
      </c>
      <c r="D97" s="189">
        <v>2.5</v>
      </c>
      <c r="E97" s="189" t="s">
        <v>9</v>
      </c>
      <c r="F97" s="156" t="s">
        <v>9</v>
      </c>
      <c r="G97" s="156" t="s">
        <v>529</v>
      </c>
      <c r="H97" s="165" t="s">
        <v>530</v>
      </c>
      <c r="I97" s="151" t="s">
        <v>1353</v>
      </c>
      <c r="J97" s="165" t="s">
        <v>1392</v>
      </c>
      <c r="K97" s="151" t="s">
        <v>1060</v>
      </c>
      <c r="L97" s="180" t="s">
        <v>1090</v>
      </c>
      <c r="M97" s="156" t="s">
        <v>1514</v>
      </c>
      <c r="N97" s="156" t="s">
        <v>1310</v>
      </c>
      <c r="O97" s="156" t="s">
        <v>1310</v>
      </c>
      <c r="P97" s="150" t="s">
        <v>1567</v>
      </c>
    </row>
    <row r="98" spans="1:16" s="141" customFormat="1" ht="39.950000000000003" customHeight="1">
      <c r="A98" s="219" t="s">
        <v>540</v>
      </c>
      <c r="B98" s="150" t="s">
        <v>1355</v>
      </c>
      <c r="C98" s="150" t="s">
        <v>8</v>
      </c>
      <c r="D98" s="203">
        <v>0.1</v>
      </c>
      <c r="E98" s="203">
        <v>0.3</v>
      </c>
      <c r="F98" s="150">
        <v>1.6</v>
      </c>
      <c r="G98" s="151" t="s">
        <v>540</v>
      </c>
      <c r="H98" s="151" t="s">
        <v>1306</v>
      </c>
      <c r="I98" s="151" t="s">
        <v>1336</v>
      </c>
      <c r="J98" s="151" t="s">
        <v>1419</v>
      </c>
      <c r="K98" s="151" t="s">
        <v>1060</v>
      </c>
      <c r="L98" s="151" t="s">
        <v>1809</v>
      </c>
      <c r="M98" s="150" t="s">
        <v>1195</v>
      </c>
      <c r="N98" s="150" t="s">
        <v>1309</v>
      </c>
      <c r="O98" s="152" t="s">
        <v>1309</v>
      </c>
      <c r="P98" s="150" t="s">
        <v>1762</v>
      </c>
    </row>
    <row r="99" spans="1:16" s="141" customFormat="1" ht="39.950000000000003" customHeight="1">
      <c r="A99" s="192" t="s">
        <v>549</v>
      </c>
      <c r="B99" s="192" t="s">
        <v>1357</v>
      </c>
      <c r="C99" s="192" t="s">
        <v>8</v>
      </c>
      <c r="D99" s="189">
        <v>0.05</v>
      </c>
      <c r="E99" s="189">
        <v>0.15</v>
      </c>
      <c r="F99" s="192">
        <v>0.23</v>
      </c>
      <c r="G99" s="192" t="s">
        <v>549</v>
      </c>
      <c r="H99" s="192" t="s">
        <v>4760</v>
      </c>
      <c r="I99" s="193" t="s">
        <v>1545</v>
      </c>
      <c r="J99" s="193" t="s">
        <v>1399</v>
      </c>
      <c r="K99" s="193" t="s">
        <v>1244</v>
      </c>
      <c r="L99" s="193">
        <v>1</v>
      </c>
      <c r="M99" s="199">
        <v>240</v>
      </c>
      <c r="N99" s="193"/>
      <c r="O99" s="199"/>
      <c r="P99" s="150" t="s">
        <v>1640</v>
      </c>
    </row>
    <row r="100" spans="1:16" s="141" customFormat="1" ht="39.950000000000003" customHeight="1">
      <c r="A100" s="156" t="s">
        <v>551</v>
      </c>
      <c r="B100" s="150" t="s">
        <v>1357</v>
      </c>
      <c r="C100" s="156" t="s">
        <v>1597</v>
      </c>
      <c r="D100" s="189">
        <v>0.1</v>
      </c>
      <c r="E100" s="189" t="s">
        <v>9</v>
      </c>
      <c r="F100" s="156" t="s">
        <v>9</v>
      </c>
      <c r="G100" s="156" t="s">
        <v>551</v>
      </c>
      <c r="H100" s="165" t="s">
        <v>996</v>
      </c>
      <c r="I100" s="165" t="s">
        <v>1441</v>
      </c>
      <c r="J100" s="165" t="s">
        <v>1420</v>
      </c>
      <c r="K100" s="151" t="s">
        <v>1060</v>
      </c>
      <c r="L100" s="163" t="s">
        <v>1707</v>
      </c>
      <c r="M100" s="170" t="s">
        <v>1677</v>
      </c>
      <c r="N100" s="156" t="s">
        <v>1309</v>
      </c>
      <c r="O100" s="161" t="s">
        <v>1309</v>
      </c>
      <c r="P100" s="150" t="s">
        <v>1483</v>
      </c>
    </row>
    <row r="101" spans="1:16" s="141" customFormat="1" ht="39.950000000000003" customHeight="1">
      <c r="A101" s="156" t="s">
        <v>1595</v>
      </c>
      <c r="B101" s="150" t="s">
        <v>1355</v>
      </c>
      <c r="C101" s="156" t="s">
        <v>1603</v>
      </c>
      <c r="D101" s="189">
        <v>1.76</v>
      </c>
      <c r="E101" s="189" t="s">
        <v>9</v>
      </c>
      <c r="F101" s="156" t="s">
        <v>9</v>
      </c>
      <c r="G101" s="165" t="s">
        <v>1595</v>
      </c>
      <c r="H101" s="165" t="s">
        <v>1604</v>
      </c>
      <c r="I101" s="165" t="s">
        <v>1545</v>
      </c>
      <c r="J101" s="165" t="s">
        <v>1596</v>
      </c>
      <c r="K101" s="151" t="s">
        <v>1060</v>
      </c>
      <c r="L101" s="165">
        <v>1</v>
      </c>
      <c r="M101" s="170">
        <v>100</v>
      </c>
      <c r="N101" s="156">
        <v>0.01</v>
      </c>
      <c r="O101" s="161"/>
      <c r="P101" s="150" t="s">
        <v>1764</v>
      </c>
    </row>
    <row r="102" spans="1:16" s="154" customFormat="1" ht="39.950000000000003" customHeight="1">
      <c r="A102" s="156" t="s">
        <v>558</v>
      </c>
      <c r="B102" s="150" t="s">
        <v>1362</v>
      </c>
      <c r="C102" s="156" t="s">
        <v>8</v>
      </c>
      <c r="D102" s="189">
        <v>300</v>
      </c>
      <c r="E102" s="189">
        <v>500</v>
      </c>
      <c r="F102" s="156" t="s">
        <v>9</v>
      </c>
      <c r="G102" s="156" t="s">
        <v>558</v>
      </c>
      <c r="H102" s="165" t="s">
        <v>975</v>
      </c>
      <c r="I102" s="151" t="s">
        <v>1326</v>
      </c>
      <c r="J102" s="196" t="s">
        <v>1421</v>
      </c>
      <c r="K102" s="151" t="s">
        <v>1060</v>
      </c>
      <c r="L102" s="151" t="s">
        <v>1525</v>
      </c>
      <c r="M102" s="165" t="s">
        <v>1727</v>
      </c>
      <c r="N102" s="200" t="s">
        <v>1320</v>
      </c>
      <c r="O102" s="156" t="s">
        <v>1320</v>
      </c>
      <c r="P102" s="156" t="s">
        <v>1765</v>
      </c>
    </row>
    <row r="103" spans="1:16" s="141" customFormat="1" ht="39.950000000000003" customHeight="1">
      <c r="A103" s="151" t="s">
        <v>568</v>
      </c>
      <c r="B103" s="150" t="s">
        <v>1355</v>
      </c>
      <c r="C103" s="150" t="s">
        <v>8</v>
      </c>
      <c r="D103" s="203">
        <v>400</v>
      </c>
      <c r="E103" s="203">
        <v>500</v>
      </c>
      <c r="F103" s="150" t="s">
        <v>9</v>
      </c>
      <c r="G103" s="151" t="s">
        <v>568</v>
      </c>
      <c r="H103" s="151" t="s">
        <v>973</v>
      </c>
      <c r="I103" s="151" t="s">
        <v>1326</v>
      </c>
      <c r="J103" s="151" t="s">
        <v>1404</v>
      </c>
      <c r="K103" s="151" t="s">
        <v>1060</v>
      </c>
      <c r="L103" s="151" t="s">
        <v>1525</v>
      </c>
      <c r="M103" s="160" t="s">
        <v>1681</v>
      </c>
      <c r="N103" s="150" t="s">
        <v>1319</v>
      </c>
      <c r="O103" s="152" t="s">
        <v>1319</v>
      </c>
      <c r="P103" s="150" t="s">
        <v>1768</v>
      </c>
    </row>
    <row r="104" spans="1:16" s="141" customFormat="1" ht="39.950000000000003" customHeight="1">
      <c r="A104" s="156" t="s">
        <v>587</v>
      </c>
      <c r="B104" s="150" t="s">
        <v>1355</v>
      </c>
      <c r="C104" s="156" t="s">
        <v>8</v>
      </c>
      <c r="D104" s="189">
        <v>100</v>
      </c>
      <c r="E104" s="189" t="s">
        <v>9</v>
      </c>
      <c r="F104" s="156" t="s">
        <v>9</v>
      </c>
      <c r="G104" s="156" t="s">
        <v>587</v>
      </c>
      <c r="H104" s="165" t="s">
        <v>1847</v>
      </c>
      <c r="I104" s="151" t="s">
        <v>1326</v>
      </c>
      <c r="J104" s="165" t="s">
        <v>1404</v>
      </c>
      <c r="K104" s="151" t="s">
        <v>1060</v>
      </c>
      <c r="L104" s="151" t="s">
        <v>1525</v>
      </c>
      <c r="M104" s="170" t="s">
        <v>1848</v>
      </c>
      <c r="N104" s="189"/>
      <c r="O104" s="161" t="s">
        <v>1310</v>
      </c>
      <c r="P104" s="150" t="s">
        <v>1769</v>
      </c>
    </row>
    <row r="105" spans="1:16" s="141" customFormat="1" ht="39.950000000000003" customHeight="1">
      <c r="A105" s="156" t="s">
        <v>594</v>
      </c>
      <c r="B105" s="150" t="s">
        <v>1355</v>
      </c>
      <c r="C105" s="156" t="s">
        <v>1597</v>
      </c>
      <c r="D105" s="189">
        <v>1</v>
      </c>
      <c r="E105" s="189" t="s">
        <v>9</v>
      </c>
      <c r="F105" s="156" t="s">
        <v>9</v>
      </c>
      <c r="G105" s="156" t="s">
        <v>594</v>
      </c>
      <c r="H105" s="165" t="s">
        <v>1003</v>
      </c>
      <c r="I105" s="151" t="s">
        <v>1353</v>
      </c>
      <c r="J105" s="165" t="s">
        <v>1422</v>
      </c>
      <c r="K105" s="151" t="s">
        <v>1060</v>
      </c>
      <c r="L105" s="165">
        <v>0.2</v>
      </c>
      <c r="M105" s="161">
        <v>20</v>
      </c>
      <c r="N105" s="156" t="s">
        <v>1310</v>
      </c>
      <c r="O105" s="161" t="s">
        <v>1310</v>
      </c>
      <c r="P105" s="150" t="s">
        <v>1770</v>
      </c>
    </row>
    <row r="106" spans="1:16" s="154" customFormat="1" ht="39.950000000000003" customHeight="1">
      <c r="A106" s="151" t="s">
        <v>1502</v>
      </c>
      <c r="B106" s="150" t="s">
        <v>1355</v>
      </c>
      <c r="C106" s="150" t="s">
        <v>1597</v>
      </c>
      <c r="D106" s="203">
        <v>5</v>
      </c>
      <c r="E106" s="203" t="s">
        <v>9</v>
      </c>
      <c r="F106" s="150" t="s">
        <v>9</v>
      </c>
      <c r="G106" s="151" t="s">
        <v>1502</v>
      </c>
      <c r="H106" s="151" t="s">
        <v>1503</v>
      </c>
      <c r="I106" s="151" t="s">
        <v>1353</v>
      </c>
      <c r="J106" s="151" t="s">
        <v>1507</v>
      </c>
      <c r="K106" s="151" t="s">
        <v>1244</v>
      </c>
      <c r="L106" s="163" t="s">
        <v>1707</v>
      </c>
      <c r="M106" s="162" t="s">
        <v>1756</v>
      </c>
      <c r="N106" s="150"/>
      <c r="O106" s="152"/>
      <c r="P106" s="156" t="s">
        <v>1714</v>
      </c>
    </row>
    <row r="107" spans="1:16" s="141" customFormat="1" ht="39.950000000000003" customHeight="1">
      <c r="A107" s="151" t="s">
        <v>597</v>
      </c>
      <c r="B107" s="150" t="s">
        <v>1355</v>
      </c>
      <c r="C107" s="150" t="s">
        <v>1597</v>
      </c>
      <c r="D107" s="203" t="s">
        <v>9</v>
      </c>
      <c r="E107" s="203">
        <v>2</v>
      </c>
      <c r="F107" s="150" t="s">
        <v>9</v>
      </c>
      <c r="G107" s="151" t="s">
        <v>597</v>
      </c>
      <c r="H107" s="151" t="s">
        <v>902</v>
      </c>
      <c r="I107" s="151" t="s">
        <v>1353</v>
      </c>
      <c r="J107" s="151" t="s">
        <v>1399</v>
      </c>
      <c r="K107" s="151" t="s">
        <v>1244</v>
      </c>
      <c r="L107" s="163" t="s">
        <v>1707</v>
      </c>
      <c r="M107" s="162" t="s">
        <v>1756</v>
      </c>
      <c r="N107" s="150" t="s">
        <v>1311</v>
      </c>
      <c r="O107" s="152" t="s">
        <v>1311</v>
      </c>
      <c r="P107" s="150" t="s">
        <v>1771</v>
      </c>
    </row>
    <row r="108" spans="1:16" s="141" customFormat="1" ht="39.950000000000003" customHeight="1">
      <c r="A108" s="151" t="s">
        <v>598</v>
      </c>
      <c r="B108" s="150" t="s">
        <v>1355</v>
      </c>
      <c r="C108" s="150" t="s">
        <v>1597</v>
      </c>
      <c r="D108" s="203" t="s">
        <v>9</v>
      </c>
      <c r="E108" s="203">
        <v>2</v>
      </c>
      <c r="F108" s="150" t="s">
        <v>9</v>
      </c>
      <c r="G108" s="151" t="s">
        <v>598</v>
      </c>
      <c r="H108" s="151" t="s">
        <v>902</v>
      </c>
      <c r="I108" s="151" t="s">
        <v>1353</v>
      </c>
      <c r="J108" s="151" t="s">
        <v>1399</v>
      </c>
      <c r="K108" s="151" t="s">
        <v>1244</v>
      </c>
      <c r="L108" s="163" t="s">
        <v>1707</v>
      </c>
      <c r="M108" s="162" t="s">
        <v>1756</v>
      </c>
      <c r="N108" s="150" t="s">
        <v>1312</v>
      </c>
      <c r="O108" s="152" t="s">
        <v>1312</v>
      </c>
      <c r="P108" s="150" t="s">
        <v>1568</v>
      </c>
    </row>
    <row r="109" spans="1:16" s="141" customFormat="1" ht="48" customHeight="1">
      <c r="A109" s="151" t="s">
        <v>1510</v>
      </c>
      <c r="B109" s="150" t="s">
        <v>1355</v>
      </c>
      <c r="C109" s="150" t="s">
        <v>1597</v>
      </c>
      <c r="D109" s="203">
        <v>2</v>
      </c>
      <c r="E109" s="203" t="s">
        <v>9</v>
      </c>
      <c r="F109" s="150" t="s">
        <v>9</v>
      </c>
      <c r="G109" s="151" t="s">
        <v>1510</v>
      </c>
      <c r="H109" s="151" t="s">
        <v>1504</v>
      </c>
      <c r="I109" s="151" t="s">
        <v>1509</v>
      </c>
      <c r="J109" s="151" t="s">
        <v>1508</v>
      </c>
      <c r="K109" s="151" t="s">
        <v>1060</v>
      </c>
      <c r="L109" s="151">
        <v>2</v>
      </c>
      <c r="M109" s="162">
        <v>480</v>
      </c>
      <c r="N109" s="150"/>
      <c r="O109" s="152"/>
      <c r="P109" s="150" t="s">
        <v>1772</v>
      </c>
    </row>
    <row r="110" spans="1:16" s="141" customFormat="1" ht="39.950000000000003" customHeight="1">
      <c r="A110" s="151" t="s">
        <v>1612</v>
      </c>
      <c r="B110" s="150" t="s">
        <v>1616</v>
      </c>
      <c r="C110" s="150" t="s">
        <v>1617</v>
      </c>
      <c r="D110" s="203">
        <v>1E-3</v>
      </c>
      <c r="E110" s="203" t="s">
        <v>9</v>
      </c>
      <c r="F110" s="150" t="s">
        <v>9</v>
      </c>
      <c r="G110" s="151" t="s">
        <v>1612</v>
      </c>
      <c r="H110" s="151" t="s">
        <v>1618</v>
      </c>
      <c r="I110" s="151" t="s">
        <v>1326</v>
      </c>
      <c r="J110" s="151" t="s">
        <v>1619</v>
      </c>
      <c r="K110" s="151" t="s">
        <v>1060</v>
      </c>
      <c r="L110" s="151">
        <v>2</v>
      </c>
      <c r="M110" s="162">
        <v>480</v>
      </c>
      <c r="N110" s="150" t="s">
        <v>1498</v>
      </c>
      <c r="O110" s="152" t="s">
        <v>1314</v>
      </c>
      <c r="P110" s="150" t="s">
        <v>1773</v>
      </c>
    </row>
    <row r="111" spans="1:16" s="141" customFormat="1" ht="39.950000000000003" customHeight="1">
      <c r="A111" s="151" t="s">
        <v>1499</v>
      </c>
      <c r="B111" s="150" t="s">
        <v>1355</v>
      </c>
      <c r="C111" s="150" t="s">
        <v>8</v>
      </c>
      <c r="D111" s="203">
        <v>50</v>
      </c>
      <c r="E111" s="203" t="s">
        <v>9</v>
      </c>
      <c r="F111" s="150">
        <v>40</v>
      </c>
      <c r="G111" s="151" t="s">
        <v>1499</v>
      </c>
      <c r="H111" s="151" t="s">
        <v>1479</v>
      </c>
      <c r="I111" s="151" t="s">
        <v>1326</v>
      </c>
      <c r="J111" s="151" t="s">
        <v>1454</v>
      </c>
      <c r="K111" s="151" t="s">
        <v>1060</v>
      </c>
      <c r="L111" s="151" t="s">
        <v>1525</v>
      </c>
      <c r="M111" s="168" t="s">
        <v>1763</v>
      </c>
      <c r="N111" s="150" t="s">
        <v>1448</v>
      </c>
      <c r="O111" s="152" t="s">
        <v>1311</v>
      </c>
      <c r="P111" s="150" t="s">
        <v>1715</v>
      </c>
    </row>
    <row r="112" spans="1:16" s="141" customFormat="1" ht="39.950000000000003" customHeight="1">
      <c r="A112" s="151" t="s">
        <v>1106</v>
      </c>
      <c r="B112" s="150" t="s">
        <v>1355</v>
      </c>
      <c r="C112" s="150" t="s">
        <v>8</v>
      </c>
      <c r="D112" s="203" t="s">
        <v>9</v>
      </c>
      <c r="E112" s="203">
        <v>5</v>
      </c>
      <c r="F112" s="150" t="s">
        <v>9</v>
      </c>
      <c r="G112" s="151" t="s">
        <v>1106</v>
      </c>
      <c r="H112" s="151" t="s">
        <v>1005</v>
      </c>
      <c r="I112" s="151" t="s">
        <v>1326</v>
      </c>
      <c r="J112" s="151" t="s">
        <v>1423</v>
      </c>
      <c r="K112" s="151" t="s">
        <v>1060</v>
      </c>
      <c r="L112" s="151" t="s">
        <v>1760</v>
      </c>
      <c r="M112" s="158" t="s">
        <v>1761</v>
      </c>
      <c r="N112" s="150" t="s">
        <v>1321</v>
      </c>
      <c r="O112" s="152" t="s">
        <v>1834</v>
      </c>
      <c r="P112" s="150" t="s">
        <v>1484</v>
      </c>
    </row>
    <row r="113" spans="1:16" s="141" customFormat="1" ht="39.950000000000003" customHeight="1">
      <c r="A113" s="151" t="s">
        <v>1110</v>
      </c>
      <c r="B113" s="150" t="s">
        <v>1355</v>
      </c>
      <c r="C113" s="150" t="s">
        <v>8</v>
      </c>
      <c r="D113" s="203">
        <v>200</v>
      </c>
      <c r="E113" s="203">
        <v>400</v>
      </c>
      <c r="F113" s="150">
        <v>310</v>
      </c>
      <c r="G113" s="151" t="s">
        <v>1110</v>
      </c>
      <c r="H113" s="151" t="s">
        <v>975</v>
      </c>
      <c r="I113" s="151" t="s">
        <v>1326</v>
      </c>
      <c r="J113" s="151" t="s">
        <v>1397</v>
      </c>
      <c r="K113" s="151" t="s">
        <v>1060</v>
      </c>
      <c r="L113" s="151" t="s">
        <v>1525</v>
      </c>
      <c r="M113" s="158" t="s">
        <v>1676</v>
      </c>
      <c r="N113" s="150" t="s">
        <v>1311</v>
      </c>
      <c r="O113" s="152" t="s">
        <v>1311</v>
      </c>
      <c r="P113" s="150" t="s">
        <v>1716</v>
      </c>
    </row>
    <row r="114" spans="1:16" s="141" customFormat="1" ht="39.950000000000003" customHeight="1">
      <c r="A114" s="192" t="s">
        <v>618</v>
      </c>
      <c r="B114" s="192"/>
      <c r="C114" s="150" t="s">
        <v>1597</v>
      </c>
      <c r="D114" s="189">
        <v>1</v>
      </c>
      <c r="E114" s="189" t="s">
        <v>9</v>
      </c>
      <c r="F114" s="192" t="s">
        <v>9</v>
      </c>
      <c r="G114" s="192" t="s">
        <v>618</v>
      </c>
      <c r="H114" s="192" t="s">
        <v>195</v>
      </c>
      <c r="I114" s="192"/>
      <c r="J114" s="193"/>
      <c r="K114" s="192"/>
      <c r="L114" s="193"/>
      <c r="M114" s="197"/>
      <c r="N114" s="192"/>
      <c r="O114" s="197"/>
      <c r="P114" s="150" t="s">
        <v>1717</v>
      </c>
    </row>
    <row r="115" spans="1:16" s="141" customFormat="1" ht="39.950000000000003" customHeight="1">
      <c r="A115" s="179" t="s">
        <v>619</v>
      </c>
      <c r="B115" s="150" t="s">
        <v>1369</v>
      </c>
      <c r="C115" s="150" t="s">
        <v>1597</v>
      </c>
      <c r="D115" s="203">
        <v>0.1</v>
      </c>
      <c r="E115" s="203" t="s">
        <v>9</v>
      </c>
      <c r="F115" s="171">
        <v>1</v>
      </c>
      <c r="G115" s="151" t="s">
        <v>619</v>
      </c>
      <c r="H115" s="151" t="s">
        <v>140</v>
      </c>
      <c r="I115" s="151" t="s">
        <v>1353</v>
      </c>
      <c r="J115" s="151" t="s">
        <v>1399</v>
      </c>
      <c r="K115" s="151" t="s">
        <v>1244</v>
      </c>
      <c r="L115" s="151" t="s">
        <v>1240</v>
      </c>
      <c r="M115" s="160" t="s">
        <v>1677</v>
      </c>
      <c r="N115" s="150" t="s">
        <v>1498</v>
      </c>
      <c r="O115" s="152" t="s">
        <v>1314</v>
      </c>
      <c r="P115" s="150" t="s">
        <v>1775</v>
      </c>
    </row>
    <row r="116" spans="1:16" s="141" customFormat="1" ht="39.950000000000003" customHeight="1">
      <c r="A116" s="172" t="s">
        <v>621</v>
      </c>
      <c r="B116" s="156" t="s">
        <v>1370</v>
      </c>
      <c r="C116" s="156" t="s">
        <v>1597</v>
      </c>
      <c r="D116" s="189">
        <v>2.5000000000000001E-2</v>
      </c>
      <c r="E116" s="189" t="s">
        <v>9</v>
      </c>
      <c r="F116" s="156">
        <v>0.04</v>
      </c>
      <c r="G116" s="172" t="s">
        <v>621</v>
      </c>
      <c r="H116" s="165" t="s">
        <v>1323</v>
      </c>
      <c r="I116" s="151" t="s">
        <v>1442</v>
      </c>
      <c r="J116" s="151" t="s">
        <v>1424</v>
      </c>
      <c r="K116" s="151" t="s">
        <v>1244</v>
      </c>
      <c r="L116" s="151" t="s">
        <v>1767</v>
      </c>
      <c r="M116" s="162" t="s">
        <v>1766</v>
      </c>
      <c r="N116" s="156" t="s">
        <v>1310</v>
      </c>
      <c r="O116" s="161" t="s">
        <v>1310</v>
      </c>
      <c r="P116" s="150" t="s">
        <v>1776</v>
      </c>
    </row>
    <row r="117" spans="1:16" s="141" customFormat="1" ht="39.950000000000003" customHeight="1">
      <c r="A117" s="156" t="s">
        <v>1599</v>
      </c>
      <c r="B117" s="150" t="s">
        <v>1355</v>
      </c>
      <c r="C117" s="156" t="s">
        <v>8</v>
      </c>
      <c r="D117" s="189">
        <v>50</v>
      </c>
      <c r="E117" s="189">
        <v>100</v>
      </c>
      <c r="F117" s="156">
        <v>78</v>
      </c>
      <c r="G117" s="165" t="s">
        <v>1599</v>
      </c>
      <c r="H117" s="165" t="s">
        <v>1606</v>
      </c>
      <c r="I117" s="151" t="s">
        <v>1605</v>
      </c>
      <c r="J117" s="165" t="s">
        <v>1600</v>
      </c>
      <c r="K117" s="151" t="s">
        <v>1060</v>
      </c>
      <c r="L117" s="165">
        <v>0.05</v>
      </c>
      <c r="M117" s="168" t="s">
        <v>1140</v>
      </c>
      <c r="N117" s="156">
        <v>8.0000000000000002E-3</v>
      </c>
      <c r="O117" s="161"/>
      <c r="P117" s="150" t="s">
        <v>1777</v>
      </c>
    </row>
    <row r="118" spans="1:16" s="141" customFormat="1" ht="39.950000000000003" customHeight="1">
      <c r="A118" s="156" t="s">
        <v>1329</v>
      </c>
      <c r="B118" s="150" t="s">
        <v>1355</v>
      </c>
      <c r="C118" s="156" t="s">
        <v>8</v>
      </c>
      <c r="D118" s="189" t="s">
        <v>9</v>
      </c>
      <c r="E118" s="189" t="s">
        <v>9</v>
      </c>
      <c r="F118" s="156" t="s">
        <v>9</v>
      </c>
      <c r="G118" s="156" t="s">
        <v>1329</v>
      </c>
      <c r="H118" s="165" t="s">
        <v>54</v>
      </c>
      <c r="I118" s="151" t="s">
        <v>1146</v>
      </c>
      <c r="J118" s="151" t="s">
        <v>1403</v>
      </c>
      <c r="K118" s="151" t="s">
        <v>1060</v>
      </c>
      <c r="L118" s="151">
        <v>0.02</v>
      </c>
      <c r="M118" s="160" t="s">
        <v>1331</v>
      </c>
      <c r="N118" s="156" t="s">
        <v>1318</v>
      </c>
      <c r="O118" s="161" t="s">
        <v>1318</v>
      </c>
      <c r="P118" s="150" t="s">
        <v>1778</v>
      </c>
    </row>
    <row r="119" spans="1:16" s="141" customFormat="1" ht="39.950000000000003" customHeight="1">
      <c r="A119" s="156" t="s">
        <v>625</v>
      </c>
      <c r="B119" s="150" t="s">
        <v>1355</v>
      </c>
      <c r="C119" s="156" t="s">
        <v>8</v>
      </c>
      <c r="D119" s="189">
        <v>200</v>
      </c>
      <c r="E119" s="189">
        <v>250</v>
      </c>
      <c r="F119" s="156">
        <v>156</v>
      </c>
      <c r="G119" s="156" t="s">
        <v>625</v>
      </c>
      <c r="H119" s="165" t="s">
        <v>626</v>
      </c>
      <c r="I119" s="151" t="s">
        <v>1326</v>
      </c>
      <c r="J119" s="165" t="s">
        <v>1425</v>
      </c>
      <c r="K119" s="151" t="s">
        <v>1060</v>
      </c>
      <c r="L119" s="165">
        <v>0.02</v>
      </c>
      <c r="M119" s="168" t="s">
        <v>1331</v>
      </c>
      <c r="N119" s="156" t="s">
        <v>1318</v>
      </c>
      <c r="O119" s="161" t="s">
        <v>1318</v>
      </c>
      <c r="P119" s="150" t="s">
        <v>1780</v>
      </c>
    </row>
    <row r="120" spans="1:16" s="141" customFormat="1" ht="39.950000000000003" customHeight="1">
      <c r="A120" s="151" t="s">
        <v>643</v>
      </c>
      <c r="B120" s="150" t="s">
        <v>1355</v>
      </c>
      <c r="C120" s="150" t="s">
        <v>8</v>
      </c>
      <c r="D120" s="203">
        <v>75</v>
      </c>
      <c r="E120" s="203">
        <v>150</v>
      </c>
      <c r="F120" s="150">
        <v>155</v>
      </c>
      <c r="G120" s="151" t="s">
        <v>643</v>
      </c>
      <c r="H120" s="151" t="s">
        <v>1696</v>
      </c>
      <c r="I120" s="165" t="s">
        <v>1350</v>
      </c>
      <c r="J120" s="151" t="s">
        <v>1426</v>
      </c>
      <c r="K120" s="151" t="s">
        <v>1060</v>
      </c>
      <c r="L120" s="151" t="s">
        <v>1525</v>
      </c>
      <c r="M120" s="160" t="s">
        <v>1709</v>
      </c>
      <c r="N120" s="150" t="s">
        <v>1318</v>
      </c>
      <c r="O120" s="152" t="s">
        <v>1318</v>
      </c>
      <c r="P120" s="150" t="s">
        <v>1783</v>
      </c>
    </row>
    <row r="121" spans="1:16" s="141" customFormat="1" ht="39.950000000000003" customHeight="1">
      <c r="A121" s="151" t="s">
        <v>648</v>
      </c>
      <c r="B121" s="150" t="s">
        <v>1355</v>
      </c>
      <c r="C121" s="150" t="s">
        <v>8</v>
      </c>
      <c r="D121" s="203">
        <v>20</v>
      </c>
      <c r="E121" s="203">
        <v>75</v>
      </c>
      <c r="F121" s="150" t="s">
        <v>9</v>
      </c>
      <c r="G121" s="151" t="s">
        <v>648</v>
      </c>
      <c r="H121" s="151" t="s">
        <v>1013</v>
      </c>
      <c r="I121" s="151" t="s">
        <v>1326</v>
      </c>
      <c r="J121" s="151" t="s">
        <v>1389</v>
      </c>
      <c r="K121" s="151" t="s">
        <v>1060</v>
      </c>
      <c r="L121" s="151" t="s">
        <v>1525</v>
      </c>
      <c r="M121" s="168" t="s">
        <v>1682</v>
      </c>
      <c r="N121" s="150" t="s">
        <v>1318</v>
      </c>
      <c r="O121" s="152" t="s">
        <v>1318</v>
      </c>
      <c r="P121" s="150" t="s">
        <v>1785</v>
      </c>
    </row>
    <row r="122" spans="1:16" s="141" customFormat="1" ht="39.950000000000003" customHeight="1">
      <c r="A122" s="151" t="s">
        <v>637</v>
      </c>
      <c r="B122" s="150" t="s">
        <v>1355</v>
      </c>
      <c r="C122" s="150" t="s">
        <v>8</v>
      </c>
      <c r="D122" s="203">
        <v>100</v>
      </c>
      <c r="E122" s="203" t="s">
        <v>9</v>
      </c>
      <c r="F122" s="150" t="s">
        <v>9</v>
      </c>
      <c r="G122" s="151" t="s">
        <v>637</v>
      </c>
      <c r="H122" s="151" t="s">
        <v>1837</v>
      </c>
      <c r="I122" s="151" t="s">
        <v>1326</v>
      </c>
      <c r="J122" s="151" t="s">
        <v>1404</v>
      </c>
      <c r="K122" s="151" t="s">
        <v>1060</v>
      </c>
      <c r="L122" s="151" t="s">
        <v>1525</v>
      </c>
      <c r="M122" s="152">
        <v>4</v>
      </c>
      <c r="N122" s="150" t="s">
        <v>1448</v>
      </c>
      <c r="O122" s="152" t="s">
        <v>1311</v>
      </c>
      <c r="P122" s="150" t="s">
        <v>1209</v>
      </c>
    </row>
    <row r="123" spans="1:16" s="141" customFormat="1" ht="39.950000000000003" customHeight="1">
      <c r="A123" s="151" t="s">
        <v>671</v>
      </c>
      <c r="B123" s="150" t="s">
        <v>1355</v>
      </c>
      <c r="C123" s="156" t="s">
        <v>1597</v>
      </c>
      <c r="D123" s="203">
        <v>10</v>
      </c>
      <c r="E123" s="203" t="s">
        <v>9</v>
      </c>
      <c r="F123" s="150" t="s">
        <v>9</v>
      </c>
      <c r="G123" s="151" t="s">
        <v>671</v>
      </c>
      <c r="H123" s="151" t="s">
        <v>1697</v>
      </c>
      <c r="I123" s="151" t="s">
        <v>1353</v>
      </c>
      <c r="J123" s="151" t="s">
        <v>1429</v>
      </c>
      <c r="K123" s="151" t="s">
        <v>1244</v>
      </c>
      <c r="L123" s="151" t="s">
        <v>1240</v>
      </c>
      <c r="M123" s="160" t="s">
        <v>1710</v>
      </c>
      <c r="N123" s="150">
        <v>1</v>
      </c>
      <c r="O123" s="152">
        <v>1</v>
      </c>
      <c r="P123" s="150" t="s">
        <v>1495</v>
      </c>
    </row>
    <row r="124" spans="1:16" s="141" customFormat="1" ht="39.950000000000003" customHeight="1">
      <c r="A124" s="151" t="s">
        <v>4756</v>
      </c>
      <c r="B124" s="150" t="s">
        <v>1355</v>
      </c>
      <c r="C124" s="150" t="s">
        <v>8</v>
      </c>
      <c r="D124" s="203">
        <v>3</v>
      </c>
      <c r="E124" s="203">
        <v>6</v>
      </c>
      <c r="F124" s="150" t="s">
        <v>9</v>
      </c>
      <c r="G124" s="151" t="s">
        <v>4756</v>
      </c>
      <c r="H124" s="151" t="s">
        <v>4757</v>
      </c>
      <c r="I124" s="151" t="s">
        <v>4758</v>
      </c>
      <c r="J124" s="151" t="s">
        <v>4759</v>
      </c>
      <c r="K124" s="151" t="s">
        <v>1060</v>
      </c>
      <c r="L124" s="151" t="s">
        <v>1724</v>
      </c>
      <c r="M124" s="158" t="s">
        <v>1745</v>
      </c>
      <c r="N124" s="150"/>
      <c r="O124" s="152"/>
      <c r="P124" s="150" t="s">
        <v>1786</v>
      </c>
    </row>
    <row r="125" spans="1:16" s="141" customFormat="1" ht="39.950000000000003" customHeight="1">
      <c r="A125" s="151" t="s">
        <v>673</v>
      </c>
      <c r="B125" s="150" t="s">
        <v>1355</v>
      </c>
      <c r="C125" s="150" t="s">
        <v>8</v>
      </c>
      <c r="D125" s="203">
        <v>25</v>
      </c>
      <c r="E125" s="203" t="s">
        <v>9</v>
      </c>
      <c r="F125" s="150">
        <v>39</v>
      </c>
      <c r="G125" s="151" t="s">
        <v>673</v>
      </c>
      <c r="H125" s="151" t="s">
        <v>1578</v>
      </c>
      <c r="I125" s="151" t="s">
        <v>4740</v>
      </c>
      <c r="J125" s="151" t="s">
        <v>1427</v>
      </c>
      <c r="K125" s="151" t="s">
        <v>1060</v>
      </c>
      <c r="L125" s="151" t="s">
        <v>1724</v>
      </c>
      <c r="M125" s="160" t="s">
        <v>1331</v>
      </c>
      <c r="N125" s="150" t="s">
        <v>1310</v>
      </c>
      <c r="O125" s="152" t="s">
        <v>1310</v>
      </c>
      <c r="P125" s="150" t="s">
        <v>1208</v>
      </c>
    </row>
    <row r="126" spans="1:16" s="141" customFormat="1" ht="39.950000000000003" customHeight="1">
      <c r="A126" s="179" t="s">
        <v>886</v>
      </c>
      <c r="B126" s="150" t="s">
        <v>1355</v>
      </c>
      <c r="C126" s="156" t="s">
        <v>1597</v>
      </c>
      <c r="D126" s="203" t="s">
        <v>9</v>
      </c>
      <c r="E126" s="203" t="s">
        <v>9</v>
      </c>
      <c r="F126" s="150" t="s">
        <v>9</v>
      </c>
      <c r="G126" s="151" t="s">
        <v>886</v>
      </c>
      <c r="H126" s="151" t="s">
        <v>9</v>
      </c>
      <c r="I126" s="151" t="s">
        <v>1326</v>
      </c>
      <c r="J126" s="151" t="s">
        <v>1421</v>
      </c>
      <c r="K126" s="151" t="s">
        <v>1060</v>
      </c>
      <c r="L126" s="151" t="s">
        <v>1531</v>
      </c>
      <c r="M126" s="160" t="s">
        <v>1532</v>
      </c>
      <c r="N126" s="150">
        <v>0.02</v>
      </c>
      <c r="O126" s="152">
        <v>0.02</v>
      </c>
      <c r="P126" s="150" t="s">
        <v>1787</v>
      </c>
    </row>
    <row r="127" spans="1:16" s="154" customFormat="1" ht="39.950000000000003" customHeight="1">
      <c r="A127" s="151" t="s">
        <v>1453</v>
      </c>
      <c r="B127" s="150" t="s">
        <v>1355</v>
      </c>
      <c r="C127" s="150" t="s">
        <v>8</v>
      </c>
      <c r="D127" s="203">
        <v>20</v>
      </c>
      <c r="E127" s="203" t="s">
        <v>9</v>
      </c>
      <c r="F127" s="150">
        <v>40</v>
      </c>
      <c r="G127" s="151" t="s">
        <v>1453</v>
      </c>
      <c r="H127" s="151" t="s">
        <v>1480</v>
      </c>
      <c r="I127" s="151" t="s">
        <v>1326</v>
      </c>
      <c r="J127" s="151" t="s">
        <v>1454</v>
      </c>
      <c r="K127" s="151" t="s">
        <v>1060</v>
      </c>
      <c r="L127" s="151" t="s">
        <v>1774</v>
      </c>
      <c r="M127" s="160" t="s">
        <v>1763</v>
      </c>
      <c r="N127" s="150" t="s">
        <v>1311</v>
      </c>
      <c r="O127" s="152" t="s">
        <v>1311</v>
      </c>
      <c r="P127" s="156" t="s">
        <v>1788</v>
      </c>
    </row>
    <row r="128" spans="1:16" s="141" customFormat="1" ht="76.5" customHeight="1">
      <c r="A128" s="172" t="s">
        <v>679</v>
      </c>
      <c r="B128" s="150" t="s">
        <v>1779</v>
      </c>
      <c r="C128" s="156" t="s">
        <v>1597</v>
      </c>
      <c r="D128" s="212">
        <v>3</v>
      </c>
      <c r="E128" s="212" t="s">
        <v>9</v>
      </c>
      <c r="F128" s="188" t="s">
        <v>882</v>
      </c>
      <c r="G128" s="172" t="s">
        <v>679</v>
      </c>
      <c r="H128" s="187" t="s">
        <v>680</v>
      </c>
      <c r="I128" s="165" t="s">
        <v>1375</v>
      </c>
      <c r="J128" s="165" t="s">
        <v>1428</v>
      </c>
      <c r="K128" s="165" t="s">
        <v>1088</v>
      </c>
      <c r="L128" s="196">
        <v>2</v>
      </c>
      <c r="M128" s="168" t="s">
        <v>1452</v>
      </c>
      <c r="N128" s="156" t="s">
        <v>1322</v>
      </c>
      <c r="O128" s="161" t="s">
        <v>1322</v>
      </c>
      <c r="P128" s="150" t="s">
        <v>1570</v>
      </c>
    </row>
    <row r="129" spans="1:16" s="141" customFormat="1" ht="78.75" customHeight="1">
      <c r="A129" s="151" t="s">
        <v>1374</v>
      </c>
      <c r="B129" s="150" t="s">
        <v>1355</v>
      </c>
      <c r="C129" s="150" t="s">
        <v>8</v>
      </c>
      <c r="D129" s="203">
        <v>400</v>
      </c>
      <c r="E129" s="203">
        <v>500</v>
      </c>
      <c r="F129" s="150" t="s">
        <v>9</v>
      </c>
      <c r="G129" s="151" t="s">
        <v>1374</v>
      </c>
      <c r="H129" s="151" t="s">
        <v>973</v>
      </c>
      <c r="I129" s="151" t="s">
        <v>1326</v>
      </c>
      <c r="J129" s="151" t="s">
        <v>1404</v>
      </c>
      <c r="K129" s="151" t="s">
        <v>1060</v>
      </c>
      <c r="L129" s="151" t="s">
        <v>1525</v>
      </c>
      <c r="M129" s="160" t="s">
        <v>1681</v>
      </c>
      <c r="N129" s="150" t="s">
        <v>1319</v>
      </c>
      <c r="O129" s="152" t="s">
        <v>1319</v>
      </c>
      <c r="P129" s="150" t="s">
        <v>1570</v>
      </c>
    </row>
    <row r="130" spans="1:16" s="141" customFormat="1" ht="66.75" customHeight="1">
      <c r="A130" s="151" t="s">
        <v>586</v>
      </c>
      <c r="B130" s="150" t="s">
        <v>1368</v>
      </c>
      <c r="C130" s="150" t="s">
        <v>8</v>
      </c>
      <c r="D130" s="213">
        <v>50</v>
      </c>
      <c r="E130" s="203" t="s">
        <v>9</v>
      </c>
      <c r="F130" s="150" t="s">
        <v>9</v>
      </c>
      <c r="G130" s="151" t="s">
        <v>586</v>
      </c>
      <c r="H130" s="151" t="s">
        <v>1698</v>
      </c>
      <c r="I130" s="151" t="s">
        <v>1326</v>
      </c>
      <c r="J130" s="151" t="s">
        <v>1404</v>
      </c>
      <c r="K130" s="151" t="s">
        <v>1060</v>
      </c>
      <c r="L130" s="165" t="s">
        <v>1525</v>
      </c>
      <c r="M130" s="152">
        <v>1.5</v>
      </c>
      <c r="N130" s="150" t="s">
        <v>1319</v>
      </c>
      <c r="O130" s="152" t="s">
        <v>1319</v>
      </c>
      <c r="P130" s="150"/>
    </row>
    <row r="131" spans="1:16" s="141" customFormat="1" ht="66.75" customHeight="1">
      <c r="A131" s="151" t="s">
        <v>683</v>
      </c>
      <c r="B131" s="150" t="s">
        <v>1371</v>
      </c>
      <c r="C131" s="150" t="s">
        <v>1597</v>
      </c>
      <c r="D131" s="203">
        <v>1.5</v>
      </c>
      <c r="E131" s="203" t="s">
        <v>9</v>
      </c>
      <c r="F131" s="150" t="s">
        <v>9</v>
      </c>
      <c r="G131" s="151" t="s">
        <v>683</v>
      </c>
      <c r="H131" s="151" t="s">
        <v>684</v>
      </c>
      <c r="I131" s="151" t="s">
        <v>1353</v>
      </c>
      <c r="J131" s="151" t="s">
        <v>1429</v>
      </c>
      <c r="K131" s="151" t="s">
        <v>1244</v>
      </c>
      <c r="L131" s="151" t="s">
        <v>1240</v>
      </c>
      <c r="M131" s="160" t="s">
        <v>1452</v>
      </c>
      <c r="N131" s="150" t="s">
        <v>1314</v>
      </c>
      <c r="O131" s="152" t="s">
        <v>1314</v>
      </c>
      <c r="P131" s="150"/>
    </row>
    <row r="132" spans="1:16" s="141" customFormat="1" ht="66.75" customHeight="1">
      <c r="A132" s="151" t="s">
        <v>1781</v>
      </c>
      <c r="B132" s="150" t="s">
        <v>1355</v>
      </c>
      <c r="C132" s="150" t="s">
        <v>9</v>
      </c>
      <c r="D132" s="203" t="s">
        <v>9</v>
      </c>
      <c r="E132" s="203" t="s">
        <v>9</v>
      </c>
      <c r="F132" s="150" t="s">
        <v>9</v>
      </c>
      <c r="G132" s="151" t="s">
        <v>1521</v>
      </c>
      <c r="H132" s="151" t="s">
        <v>54</v>
      </c>
      <c r="I132" s="151"/>
      <c r="J132" s="151"/>
      <c r="K132" s="151"/>
      <c r="L132" s="195">
        <v>0.1</v>
      </c>
      <c r="M132" s="160" t="s">
        <v>1782</v>
      </c>
      <c r="N132" s="150"/>
      <c r="O132" s="152"/>
      <c r="P132" s="150"/>
    </row>
    <row r="133" spans="1:16" s="154" customFormat="1" ht="39.950000000000003" customHeight="1">
      <c r="A133" s="151" t="s">
        <v>1456</v>
      </c>
      <c r="B133" s="150" t="s">
        <v>1355</v>
      </c>
      <c r="C133" s="150" t="s">
        <v>8</v>
      </c>
      <c r="D133" s="203">
        <v>300</v>
      </c>
      <c r="E133" s="203" t="s">
        <v>9</v>
      </c>
      <c r="F133" s="150" t="s">
        <v>9</v>
      </c>
      <c r="G133" s="151" t="s">
        <v>1456</v>
      </c>
      <c r="H133" s="151" t="s">
        <v>1467</v>
      </c>
      <c r="I133" s="151" t="s">
        <v>1326</v>
      </c>
      <c r="J133" s="151" t="s">
        <v>1404</v>
      </c>
      <c r="K133" s="151" t="s">
        <v>1060</v>
      </c>
      <c r="L133" s="165" t="s">
        <v>1525</v>
      </c>
      <c r="M133" s="152">
        <v>4</v>
      </c>
      <c r="N133" s="150">
        <v>7</v>
      </c>
      <c r="O133" s="152">
        <v>7</v>
      </c>
      <c r="P133" s="156" t="s">
        <v>1572</v>
      </c>
    </row>
    <row r="134" spans="1:16" s="154" customFormat="1" ht="39.950000000000003" customHeight="1">
      <c r="A134" s="151" t="s">
        <v>1378</v>
      </c>
      <c r="B134" s="150" t="s">
        <v>1355</v>
      </c>
      <c r="C134" s="150" t="s">
        <v>8</v>
      </c>
      <c r="D134" s="203">
        <v>1000</v>
      </c>
      <c r="E134" s="203" t="s">
        <v>9</v>
      </c>
      <c r="F134" s="150">
        <v>470</v>
      </c>
      <c r="G134" s="151" t="s">
        <v>1378</v>
      </c>
      <c r="H134" s="151" t="s">
        <v>1027</v>
      </c>
      <c r="I134" s="151" t="s">
        <v>1326</v>
      </c>
      <c r="J134" s="151" t="s">
        <v>1404</v>
      </c>
      <c r="K134" s="151" t="s">
        <v>1060</v>
      </c>
      <c r="L134" s="165">
        <v>0.2</v>
      </c>
      <c r="M134" s="152">
        <v>4</v>
      </c>
      <c r="N134" s="150" t="s">
        <v>1313</v>
      </c>
      <c r="O134" s="152" t="s">
        <v>1313</v>
      </c>
      <c r="P134" s="156" t="s">
        <v>1790</v>
      </c>
    </row>
    <row r="135" spans="1:16" s="154" customFormat="1" ht="39.950000000000003" customHeight="1">
      <c r="A135" s="157" t="s">
        <v>896</v>
      </c>
      <c r="B135" s="150" t="s">
        <v>1355</v>
      </c>
      <c r="C135" s="156" t="s">
        <v>8</v>
      </c>
      <c r="D135" s="189">
        <v>100</v>
      </c>
      <c r="E135" s="214" t="s">
        <v>9</v>
      </c>
      <c r="F135" s="156">
        <v>156</v>
      </c>
      <c r="G135" s="156" t="s">
        <v>896</v>
      </c>
      <c r="H135" s="165" t="s">
        <v>147</v>
      </c>
      <c r="I135" s="151" t="s">
        <v>1326</v>
      </c>
      <c r="J135" s="165" t="s">
        <v>1454</v>
      </c>
      <c r="K135" s="151" t="s">
        <v>1060</v>
      </c>
      <c r="L135" s="151" t="s">
        <v>1722</v>
      </c>
      <c r="M135" s="168" t="s">
        <v>1682</v>
      </c>
      <c r="N135" s="156" t="s">
        <v>1312</v>
      </c>
      <c r="O135" s="161" t="s">
        <v>1312</v>
      </c>
      <c r="P135" s="156" t="s">
        <v>1846</v>
      </c>
    </row>
    <row r="136" spans="1:16" ht="39.950000000000003" customHeight="1">
      <c r="A136" s="194" t="s">
        <v>1458</v>
      </c>
      <c r="B136" s="150" t="s">
        <v>1362</v>
      </c>
      <c r="C136" s="150" t="s">
        <v>1597</v>
      </c>
      <c r="D136" s="215">
        <v>5</v>
      </c>
      <c r="E136" s="216" t="s">
        <v>9</v>
      </c>
      <c r="F136" s="175" t="s">
        <v>9</v>
      </c>
      <c r="G136" s="174" t="s">
        <v>706</v>
      </c>
      <c r="H136" s="174" t="s">
        <v>899</v>
      </c>
      <c r="I136" s="174" t="s">
        <v>1376</v>
      </c>
      <c r="J136" s="174" t="s">
        <v>1430</v>
      </c>
      <c r="K136" s="174" t="s">
        <v>1244</v>
      </c>
      <c r="L136" s="174">
        <v>2</v>
      </c>
      <c r="M136" s="173" t="s">
        <v>1784</v>
      </c>
      <c r="N136" s="173" t="s">
        <v>1313</v>
      </c>
      <c r="O136" s="201" t="s">
        <v>1313</v>
      </c>
      <c r="P136" s="188" t="s">
        <v>1791</v>
      </c>
    </row>
    <row r="137" spans="1:16" s="154" customFormat="1" ht="39.950000000000003" customHeight="1">
      <c r="A137" s="151" t="s">
        <v>1443</v>
      </c>
      <c r="B137" s="150" t="s">
        <v>1355</v>
      </c>
      <c r="C137" s="156" t="s">
        <v>1597</v>
      </c>
      <c r="D137" s="203">
        <v>2</v>
      </c>
      <c r="E137" s="203" t="s">
        <v>9</v>
      </c>
      <c r="F137" s="150" t="s">
        <v>9</v>
      </c>
      <c r="G137" s="151" t="s">
        <v>1443</v>
      </c>
      <c r="H137" s="151" t="s">
        <v>1496</v>
      </c>
      <c r="I137" s="151" t="s">
        <v>1353</v>
      </c>
      <c r="J137" s="151" t="s">
        <v>1399</v>
      </c>
      <c r="K137" s="151" t="s">
        <v>1244</v>
      </c>
      <c r="L137" s="163" t="s">
        <v>1707</v>
      </c>
      <c r="M137" s="152" t="s">
        <v>1677</v>
      </c>
      <c r="N137" s="150"/>
      <c r="O137" s="152" t="s">
        <v>1340</v>
      </c>
      <c r="P137" s="156" t="s">
        <v>1792</v>
      </c>
    </row>
    <row r="138" spans="1:16" s="154" customFormat="1" ht="39.950000000000003" customHeight="1">
      <c r="A138" s="151" t="s">
        <v>1529</v>
      </c>
      <c r="B138" s="150" t="s">
        <v>1530</v>
      </c>
      <c r="C138" s="150" t="s">
        <v>8</v>
      </c>
      <c r="D138" s="203">
        <v>1</v>
      </c>
      <c r="E138" s="203" t="s">
        <v>9</v>
      </c>
      <c r="F138" s="150">
        <v>39</v>
      </c>
      <c r="G138" s="151" t="s">
        <v>1529</v>
      </c>
      <c r="H138" s="151" t="s">
        <v>1552</v>
      </c>
      <c r="I138" s="151" t="s">
        <v>1326</v>
      </c>
      <c r="J138" s="151" t="s">
        <v>1417</v>
      </c>
      <c r="K138" s="151" t="s">
        <v>1060</v>
      </c>
      <c r="L138" s="151">
        <v>0.15</v>
      </c>
      <c r="M138" s="158" t="s">
        <v>1078</v>
      </c>
      <c r="N138" s="150"/>
      <c r="O138" s="152"/>
      <c r="P138" s="156" t="s">
        <v>1211</v>
      </c>
    </row>
    <row r="139" spans="1:16" s="154" customFormat="1" ht="39.950000000000003" customHeight="1">
      <c r="A139" s="151" t="s">
        <v>1444</v>
      </c>
      <c r="B139" s="150" t="s">
        <v>1355</v>
      </c>
      <c r="C139" s="156" t="s">
        <v>1597</v>
      </c>
      <c r="D139" s="203">
        <v>10</v>
      </c>
      <c r="E139" s="203" t="s">
        <v>9</v>
      </c>
      <c r="F139" s="150" t="s">
        <v>9</v>
      </c>
      <c r="G139" s="151" t="s">
        <v>1444</v>
      </c>
      <c r="H139" s="151" t="s">
        <v>1500</v>
      </c>
      <c r="I139" s="151" t="s">
        <v>1353</v>
      </c>
      <c r="J139" s="151" t="s">
        <v>1399</v>
      </c>
      <c r="K139" s="151" t="s">
        <v>1244</v>
      </c>
      <c r="L139" s="151" t="s">
        <v>1240</v>
      </c>
      <c r="M139" s="160" t="s">
        <v>1452</v>
      </c>
      <c r="N139" s="150">
        <v>8.3000000000000007</v>
      </c>
      <c r="O139" s="152">
        <v>8.3000000000000007</v>
      </c>
      <c r="P139" s="156" t="s">
        <v>1793</v>
      </c>
    </row>
    <row r="140" spans="1:16" s="141" customFormat="1" ht="39.950000000000003" customHeight="1">
      <c r="A140" s="156" t="s">
        <v>1339</v>
      </c>
      <c r="B140" s="150" t="s">
        <v>1355</v>
      </c>
      <c r="C140" s="156" t="s">
        <v>1597</v>
      </c>
      <c r="D140" s="189">
        <v>2</v>
      </c>
      <c r="E140" s="189">
        <v>10</v>
      </c>
      <c r="F140" s="156" t="s">
        <v>9</v>
      </c>
      <c r="G140" s="156" t="s">
        <v>1339</v>
      </c>
      <c r="H140" s="165" t="s">
        <v>1341</v>
      </c>
      <c r="I140" s="151" t="s">
        <v>1353</v>
      </c>
      <c r="J140" s="151" t="s">
        <v>1399</v>
      </c>
      <c r="K140" s="151" t="s">
        <v>1244</v>
      </c>
      <c r="L140" s="151">
        <v>1.7</v>
      </c>
      <c r="M140" s="162" t="s">
        <v>1677</v>
      </c>
      <c r="N140" s="156" t="s">
        <v>1311</v>
      </c>
      <c r="O140" s="161" t="s">
        <v>1340</v>
      </c>
      <c r="P140" s="150" t="s">
        <v>1794</v>
      </c>
    </row>
    <row r="141" spans="1:16" s="141" customFormat="1" ht="39.950000000000003" customHeight="1">
      <c r="A141" s="151" t="s">
        <v>1459</v>
      </c>
      <c r="B141" s="150" t="s">
        <v>1355</v>
      </c>
      <c r="C141" s="150" t="s">
        <v>8</v>
      </c>
      <c r="D141" s="203">
        <v>25</v>
      </c>
      <c r="E141" s="203" t="s">
        <v>9</v>
      </c>
      <c r="F141" s="150">
        <v>20</v>
      </c>
      <c r="G141" s="151" t="s">
        <v>721</v>
      </c>
      <c r="H141" s="151" t="s">
        <v>1022</v>
      </c>
      <c r="I141" s="151" t="s">
        <v>1326</v>
      </c>
      <c r="J141" s="151" t="s">
        <v>1431</v>
      </c>
      <c r="K141" s="151" t="s">
        <v>1244</v>
      </c>
      <c r="L141" s="151">
        <v>2.5000000000000001E-2</v>
      </c>
      <c r="M141" s="152" t="s">
        <v>1741</v>
      </c>
      <c r="N141" s="150" t="s">
        <v>1309</v>
      </c>
      <c r="O141" s="152" t="s">
        <v>1309</v>
      </c>
      <c r="P141" s="150" t="s">
        <v>1485</v>
      </c>
    </row>
    <row r="142" spans="1:16" ht="39.950000000000003" customHeight="1">
      <c r="A142" s="194" t="s">
        <v>1457</v>
      </c>
      <c r="B142" s="150" t="s">
        <v>1355</v>
      </c>
      <c r="C142" s="150" t="s">
        <v>8</v>
      </c>
      <c r="D142" s="215">
        <v>50</v>
      </c>
      <c r="E142" s="216" t="s">
        <v>9</v>
      </c>
      <c r="F142" s="175" t="s">
        <v>9</v>
      </c>
      <c r="G142" s="151" t="s">
        <v>722</v>
      </c>
      <c r="H142" s="151" t="s">
        <v>1553</v>
      </c>
      <c r="I142" s="151" t="s">
        <v>1326</v>
      </c>
      <c r="J142" s="151" t="s">
        <v>1431</v>
      </c>
      <c r="K142" s="151" t="s">
        <v>1244</v>
      </c>
      <c r="L142" s="151" t="s">
        <v>1725</v>
      </c>
      <c r="M142" s="150">
        <v>4</v>
      </c>
      <c r="N142" s="150" t="s">
        <v>1309</v>
      </c>
      <c r="O142" s="152" t="s">
        <v>1309</v>
      </c>
      <c r="P142" s="156" t="s">
        <v>1718</v>
      </c>
    </row>
    <row r="143" spans="1:16" s="154" customFormat="1" ht="39.950000000000003" customHeight="1">
      <c r="A143" s="151" t="s">
        <v>724</v>
      </c>
      <c r="B143" s="150" t="s">
        <v>1355</v>
      </c>
      <c r="C143" s="150" t="s">
        <v>8</v>
      </c>
      <c r="D143" s="203">
        <v>0.1</v>
      </c>
      <c r="E143" s="203" t="s">
        <v>9</v>
      </c>
      <c r="F143" s="150">
        <v>0.08</v>
      </c>
      <c r="G143" s="151" t="s">
        <v>724</v>
      </c>
      <c r="H143" s="151" t="s">
        <v>1854</v>
      </c>
      <c r="I143" s="151" t="s">
        <v>1326</v>
      </c>
      <c r="J143" s="151" t="s">
        <v>1855</v>
      </c>
      <c r="K143" s="151" t="s">
        <v>1060</v>
      </c>
      <c r="L143" s="151" t="s">
        <v>1856</v>
      </c>
      <c r="M143" s="159" t="s">
        <v>1857</v>
      </c>
      <c r="N143" s="150"/>
      <c r="O143" s="152"/>
      <c r="P143" s="156" t="s">
        <v>1796</v>
      </c>
    </row>
    <row r="144" spans="1:16" s="141" customFormat="1" ht="39.950000000000003" customHeight="1">
      <c r="A144" s="151" t="s">
        <v>1569</v>
      </c>
      <c r="B144" s="150" t="s">
        <v>1355</v>
      </c>
      <c r="C144" s="150" t="s">
        <v>1597</v>
      </c>
      <c r="D144" s="203">
        <v>10</v>
      </c>
      <c r="E144" s="203" t="s">
        <v>9</v>
      </c>
      <c r="F144" s="150" t="s">
        <v>9</v>
      </c>
      <c r="G144" s="151" t="s">
        <v>1569</v>
      </c>
      <c r="H144" s="151" t="s">
        <v>887</v>
      </c>
      <c r="I144" s="151" t="s">
        <v>1571</v>
      </c>
      <c r="J144" s="151" t="s">
        <v>1433</v>
      </c>
      <c r="K144" s="165" t="s">
        <v>1088</v>
      </c>
      <c r="L144" s="163" t="s">
        <v>1090</v>
      </c>
      <c r="M144" s="152">
        <v>480</v>
      </c>
      <c r="N144" s="150" t="s">
        <v>1322</v>
      </c>
      <c r="O144" s="152" t="s">
        <v>1322</v>
      </c>
      <c r="P144" s="159" t="s">
        <v>1797</v>
      </c>
    </row>
    <row r="145" spans="1:16" s="141" customFormat="1" ht="39.950000000000003" customHeight="1">
      <c r="A145" s="151" t="s">
        <v>885</v>
      </c>
      <c r="B145" s="150" t="s">
        <v>1355</v>
      </c>
      <c r="C145" s="150" t="s">
        <v>1597</v>
      </c>
      <c r="D145" s="203">
        <v>3</v>
      </c>
      <c r="E145" s="203" t="s">
        <v>9</v>
      </c>
      <c r="F145" s="150" t="s">
        <v>9</v>
      </c>
      <c r="G145" s="151" t="s">
        <v>885</v>
      </c>
      <c r="H145" s="151" t="s">
        <v>887</v>
      </c>
      <c r="I145" s="151" t="s">
        <v>1375</v>
      </c>
      <c r="J145" s="151" t="s">
        <v>1432</v>
      </c>
      <c r="K145" s="165" t="s">
        <v>1088</v>
      </c>
      <c r="L145" s="151">
        <v>1.7</v>
      </c>
      <c r="M145" s="152" t="s">
        <v>1813</v>
      </c>
      <c r="N145" s="150" t="s">
        <v>1322</v>
      </c>
      <c r="O145" s="152" t="s">
        <v>1322</v>
      </c>
      <c r="P145" s="159" t="s">
        <v>4778</v>
      </c>
    </row>
    <row r="146" spans="1:16" s="141" customFormat="1" ht="39.950000000000003" customHeight="1">
      <c r="A146" s="151" t="s">
        <v>1468</v>
      </c>
      <c r="B146" s="150" t="s">
        <v>1355</v>
      </c>
      <c r="C146" s="150" t="s">
        <v>1598</v>
      </c>
      <c r="D146" s="203">
        <v>2.64</v>
      </c>
      <c r="E146" s="203" t="s">
        <v>9</v>
      </c>
      <c r="F146" s="150" t="s">
        <v>9</v>
      </c>
      <c r="G146" s="151" t="s">
        <v>1468</v>
      </c>
      <c r="H146" s="151" t="s">
        <v>887</v>
      </c>
      <c r="I146" s="151" t="s">
        <v>1353</v>
      </c>
      <c r="J146" s="151" t="s">
        <v>1108</v>
      </c>
      <c r="K146" s="165" t="s">
        <v>1088</v>
      </c>
      <c r="L146" s="163" t="s">
        <v>1090</v>
      </c>
      <c r="M146" s="152">
        <v>400</v>
      </c>
      <c r="N146" s="150" t="s">
        <v>1469</v>
      </c>
      <c r="O146" s="152" t="s">
        <v>1469</v>
      </c>
      <c r="P146" s="150" t="s">
        <v>1798</v>
      </c>
    </row>
    <row r="147" spans="1:16" s="141" customFormat="1" ht="39.950000000000003" customHeight="1">
      <c r="A147" s="156" t="s">
        <v>736</v>
      </c>
      <c r="B147" s="150" t="s">
        <v>1355</v>
      </c>
      <c r="C147" s="156" t="s">
        <v>8</v>
      </c>
      <c r="D147" s="217">
        <v>1000</v>
      </c>
      <c r="E147" s="189" t="s">
        <v>9</v>
      </c>
      <c r="F147" s="156" t="s">
        <v>9</v>
      </c>
      <c r="G147" s="156" t="s">
        <v>736</v>
      </c>
      <c r="H147" s="165" t="s">
        <v>1845</v>
      </c>
      <c r="I147" s="151" t="s">
        <v>1326</v>
      </c>
      <c r="J147" s="165" t="s">
        <v>1404</v>
      </c>
      <c r="K147" s="151" t="s">
        <v>1060</v>
      </c>
      <c r="L147" s="151" t="s">
        <v>1525</v>
      </c>
      <c r="M147" s="156">
        <v>4</v>
      </c>
      <c r="N147" s="189"/>
      <c r="O147" s="152" t="s">
        <v>1319</v>
      </c>
      <c r="P147" s="150" t="s">
        <v>1216</v>
      </c>
    </row>
    <row r="148" spans="1:16" s="141" customFormat="1" ht="39.950000000000003" customHeight="1">
      <c r="A148" s="156" t="s">
        <v>1515</v>
      </c>
      <c r="B148" s="150" t="s">
        <v>1355</v>
      </c>
      <c r="C148" s="150" t="s">
        <v>1597</v>
      </c>
      <c r="D148" s="203">
        <v>0.05</v>
      </c>
      <c r="E148" s="203" t="s">
        <v>9</v>
      </c>
      <c r="F148" s="150" t="s">
        <v>9</v>
      </c>
      <c r="G148" s="165" t="s">
        <v>1515</v>
      </c>
      <c r="H148" s="165" t="s">
        <v>1516</v>
      </c>
      <c r="I148" s="151" t="s">
        <v>1353</v>
      </c>
      <c r="J148" s="151" t="s">
        <v>1399</v>
      </c>
      <c r="K148" s="151" t="s">
        <v>1244</v>
      </c>
      <c r="L148" s="165" t="s">
        <v>1519</v>
      </c>
      <c r="M148" s="161">
        <v>480</v>
      </c>
      <c r="N148" s="156"/>
      <c r="O148" s="161"/>
      <c r="P148" s="150" t="s">
        <v>1535</v>
      </c>
    </row>
    <row r="149" spans="1:16" s="141" customFormat="1" ht="39.950000000000003" customHeight="1">
      <c r="A149" s="151" t="s">
        <v>1832</v>
      </c>
      <c r="B149" s="150" t="s">
        <v>1356</v>
      </c>
      <c r="C149" s="150" t="s">
        <v>8</v>
      </c>
      <c r="D149" s="203">
        <v>25</v>
      </c>
      <c r="E149" s="203">
        <v>100</v>
      </c>
      <c r="F149" s="150">
        <v>78</v>
      </c>
      <c r="G149" s="151" t="s">
        <v>1832</v>
      </c>
      <c r="H149" s="151" t="s">
        <v>140</v>
      </c>
      <c r="I149" s="151" t="s">
        <v>1326</v>
      </c>
      <c r="J149" s="151" t="s">
        <v>1408</v>
      </c>
      <c r="K149" s="151" t="s">
        <v>1060</v>
      </c>
      <c r="L149" s="151" t="s">
        <v>1525</v>
      </c>
      <c r="M149" s="158" t="s">
        <v>1789</v>
      </c>
      <c r="N149" s="150" t="s">
        <v>1322</v>
      </c>
      <c r="O149" s="152" t="s">
        <v>1322</v>
      </c>
      <c r="P149" s="150" t="s">
        <v>1487</v>
      </c>
    </row>
    <row r="150" spans="1:16" s="141" customFormat="1" ht="39.950000000000003" customHeight="1">
      <c r="A150" s="156" t="s">
        <v>746</v>
      </c>
      <c r="B150" s="150" t="s">
        <v>1355</v>
      </c>
      <c r="C150" s="156" t="s">
        <v>8</v>
      </c>
      <c r="D150" s="189">
        <v>1</v>
      </c>
      <c r="E150" s="189" t="s">
        <v>9</v>
      </c>
      <c r="F150" s="156" t="s">
        <v>9</v>
      </c>
      <c r="G150" s="165" t="s">
        <v>746</v>
      </c>
      <c r="H150" s="165" t="s">
        <v>902</v>
      </c>
      <c r="I150" s="151" t="s">
        <v>1376</v>
      </c>
      <c r="J150" s="165" t="s">
        <v>1434</v>
      </c>
      <c r="K150" s="151" t="s">
        <v>1244</v>
      </c>
      <c r="L150" s="165">
        <v>1</v>
      </c>
      <c r="M150" s="161">
        <v>240</v>
      </c>
      <c r="N150" s="156" t="s">
        <v>1311</v>
      </c>
      <c r="O150" s="161" t="s">
        <v>1311</v>
      </c>
      <c r="P150" s="150" t="s">
        <v>1218</v>
      </c>
    </row>
    <row r="151" spans="1:16" s="141" customFormat="1" ht="41.25" customHeight="1">
      <c r="A151" s="156" t="s">
        <v>755</v>
      </c>
      <c r="B151" s="150" t="s">
        <v>1355</v>
      </c>
      <c r="C151" s="156" t="s">
        <v>8</v>
      </c>
      <c r="D151" s="189">
        <v>1</v>
      </c>
      <c r="E151" s="189" t="s">
        <v>9</v>
      </c>
      <c r="F151" s="156">
        <v>4</v>
      </c>
      <c r="G151" s="156" t="s">
        <v>755</v>
      </c>
      <c r="H151" s="165" t="s">
        <v>1031</v>
      </c>
      <c r="I151" s="151" t="s">
        <v>1326</v>
      </c>
      <c r="J151" s="165" t="s">
        <v>1435</v>
      </c>
      <c r="K151" s="151" t="s">
        <v>1060</v>
      </c>
      <c r="L151" s="165" t="s">
        <v>1668</v>
      </c>
      <c r="M151" s="161" t="s">
        <v>1332</v>
      </c>
      <c r="N151" s="156" t="s">
        <v>1311</v>
      </c>
      <c r="O151" s="161" t="s">
        <v>1311</v>
      </c>
      <c r="P151" s="150" t="s">
        <v>1799</v>
      </c>
    </row>
    <row r="152" spans="1:16" s="141" customFormat="1" ht="41.25" customHeight="1">
      <c r="A152" s="151" t="s">
        <v>1853</v>
      </c>
      <c r="B152" s="150" t="s">
        <v>1372</v>
      </c>
      <c r="C152" s="150" t="s">
        <v>1597</v>
      </c>
      <c r="D152" s="203" t="s">
        <v>9</v>
      </c>
      <c r="E152" s="203" t="s">
        <v>9</v>
      </c>
      <c r="F152" s="150" t="s">
        <v>9</v>
      </c>
      <c r="G152" s="151" t="s">
        <v>1853</v>
      </c>
      <c r="H152" s="151" t="s">
        <v>887</v>
      </c>
      <c r="I152" s="151" t="s">
        <v>1375</v>
      </c>
      <c r="J152" s="151" t="s">
        <v>1432</v>
      </c>
      <c r="K152" s="165" t="s">
        <v>1088</v>
      </c>
      <c r="L152" s="151">
        <v>1.7</v>
      </c>
      <c r="M152" s="152" t="s">
        <v>1813</v>
      </c>
      <c r="N152" s="150" t="s">
        <v>1322</v>
      </c>
      <c r="O152" s="152" t="s">
        <v>1322</v>
      </c>
      <c r="P152" s="150" t="s">
        <v>4745</v>
      </c>
    </row>
    <row r="153" spans="1:16" s="141" customFormat="1" ht="40.5" customHeight="1">
      <c r="A153" s="151" t="s">
        <v>1852</v>
      </c>
      <c r="B153" s="150" t="s">
        <v>1372</v>
      </c>
      <c r="C153" s="150" t="s">
        <v>1597</v>
      </c>
      <c r="D153" s="203" t="s">
        <v>9</v>
      </c>
      <c r="E153" s="203" t="s">
        <v>9</v>
      </c>
      <c r="F153" s="150" t="s">
        <v>9</v>
      </c>
      <c r="G153" s="151" t="s">
        <v>1852</v>
      </c>
      <c r="H153" s="151" t="s">
        <v>887</v>
      </c>
      <c r="I153" s="151" t="s">
        <v>1571</v>
      </c>
      <c r="J153" s="151" t="s">
        <v>1433</v>
      </c>
      <c r="K153" s="165" t="s">
        <v>1088</v>
      </c>
      <c r="L153" s="163" t="s">
        <v>1090</v>
      </c>
      <c r="M153" s="152">
        <v>480</v>
      </c>
      <c r="N153" s="150" t="s">
        <v>1322</v>
      </c>
      <c r="O153" s="152" t="s">
        <v>1322</v>
      </c>
      <c r="P153" s="150" t="s">
        <v>1493</v>
      </c>
    </row>
    <row r="154" spans="1:16" s="141" customFormat="1" ht="45.6" customHeight="1">
      <c r="A154" s="151" t="s">
        <v>758</v>
      </c>
      <c r="B154" s="150" t="s">
        <v>1355</v>
      </c>
      <c r="C154" s="150" t="s">
        <v>1597</v>
      </c>
      <c r="D154" s="203">
        <v>0.1</v>
      </c>
      <c r="E154" s="203" t="s">
        <v>9</v>
      </c>
      <c r="F154" s="150" t="s">
        <v>9</v>
      </c>
      <c r="G154" s="151" t="s">
        <v>758</v>
      </c>
      <c r="H154" s="151" t="s">
        <v>759</v>
      </c>
      <c r="I154" s="151" t="s">
        <v>1353</v>
      </c>
      <c r="J154" s="151" t="s">
        <v>1399</v>
      </c>
      <c r="K154" s="151" t="s">
        <v>1244</v>
      </c>
      <c r="L154" s="181" t="s">
        <v>1707</v>
      </c>
      <c r="M154" s="152" t="s">
        <v>1212</v>
      </c>
      <c r="N154" s="150" t="s">
        <v>1309</v>
      </c>
      <c r="O154" s="152" t="s">
        <v>1309</v>
      </c>
      <c r="P154" s="150" t="s">
        <v>1574</v>
      </c>
    </row>
    <row r="155" spans="1:16" s="141" customFormat="1" ht="39.950000000000003" customHeight="1">
      <c r="A155" s="151" t="s">
        <v>1330</v>
      </c>
      <c r="B155" s="150" t="s">
        <v>1362</v>
      </c>
      <c r="C155" s="150" t="s">
        <v>8</v>
      </c>
      <c r="D155" s="203" t="s">
        <v>9</v>
      </c>
      <c r="E155" s="203" t="s">
        <v>9</v>
      </c>
      <c r="F155" s="150" t="s">
        <v>9</v>
      </c>
      <c r="G155" s="151" t="s">
        <v>1330</v>
      </c>
      <c r="H155" s="151" t="s">
        <v>54</v>
      </c>
      <c r="I155" s="151" t="s">
        <v>1146</v>
      </c>
      <c r="J155" s="151" t="s">
        <v>1403</v>
      </c>
      <c r="K155" s="151" t="s">
        <v>1060</v>
      </c>
      <c r="L155" s="151" t="s">
        <v>1525</v>
      </c>
      <c r="M155" s="160" t="s">
        <v>1331</v>
      </c>
      <c r="N155" s="150" t="s">
        <v>1309</v>
      </c>
      <c r="O155" s="152" t="s">
        <v>1309</v>
      </c>
      <c r="P155" s="150" t="s">
        <v>1802</v>
      </c>
    </row>
    <row r="156" spans="1:16" s="141" customFormat="1" ht="45">
      <c r="A156" s="156" t="s">
        <v>768</v>
      </c>
      <c r="B156" s="150" t="s">
        <v>1362</v>
      </c>
      <c r="C156" s="156" t="s">
        <v>1597</v>
      </c>
      <c r="D156" s="189">
        <v>200</v>
      </c>
      <c r="E156" s="189" t="s">
        <v>9</v>
      </c>
      <c r="F156" s="156" t="s">
        <v>9</v>
      </c>
      <c r="G156" s="156" t="s">
        <v>768</v>
      </c>
      <c r="H156" s="165" t="s">
        <v>1036</v>
      </c>
      <c r="I156" s="151" t="s">
        <v>1326</v>
      </c>
      <c r="J156" s="165" t="s">
        <v>1421</v>
      </c>
      <c r="K156" s="151" t="s">
        <v>1060</v>
      </c>
      <c r="L156" s="151" t="s">
        <v>1525</v>
      </c>
      <c r="M156" s="168" t="s">
        <v>1727</v>
      </c>
      <c r="N156" s="156" t="s">
        <v>1314</v>
      </c>
      <c r="O156" s="161" t="s">
        <v>1314</v>
      </c>
      <c r="P156" s="150" t="s">
        <v>1219</v>
      </c>
    </row>
    <row r="157" spans="1:16" s="141" customFormat="1" ht="45">
      <c r="A157" s="156" t="s">
        <v>1455</v>
      </c>
      <c r="B157" s="150" t="s">
        <v>1355</v>
      </c>
      <c r="C157" s="156" t="s">
        <v>8</v>
      </c>
      <c r="D157" s="189">
        <v>100</v>
      </c>
      <c r="E157" s="189" t="s">
        <v>9</v>
      </c>
      <c r="F157" s="156">
        <v>115</v>
      </c>
      <c r="G157" s="156" t="s">
        <v>1455</v>
      </c>
      <c r="H157" s="165" t="s">
        <v>1486</v>
      </c>
      <c r="I157" s="151" t="s">
        <v>1326</v>
      </c>
      <c r="J157" s="165" t="s">
        <v>1454</v>
      </c>
      <c r="K157" s="151" t="s">
        <v>1060</v>
      </c>
      <c r="L157" s="151" t="s">
        <v>1525</v>
      </c>
      <c r="M157" s="168" t="s">
        <v>1763</v>
      </c>
      <c r="N157" s="156">
        <v>8</v>
      </c>
      <c r="O157" s="161">
        <v>8</v>
      </c>
      <c r="P157" s="150"/>
    </row>
    <row r="158" spans="1:16" ht="39.950000000000003" customHeight="1">
      <c r="A158" s="156" t="s">
        <v>779</v>
      </c>
      <c r="B158" s="150" t="s">
        <v>1355</v>
      </c>
      <c r="C158" s="150" t="s">
        <v>1597</v>
      </c>
      <c r="D158" s="203">
        <v>0.2</v>
      </c>
      <c r="E158" s="203" t="s">
        <v>9</v>
      </c>
      <c r="F158" s="150" t="s">
        <v>9</v>
      </c>
      <c r="G158" s="156" t="s">
        <v>779</v>
      </c>
      <c r="H158" s="165" t="s">
        <v>1517</v>
      </c>
      <c r="I158" s="151" t="s">
        <v>1353</v>
      </c>
      <c r="J158" s="151" t="s">
        <v>1399</v>
      </c>
      <c r="K158" s="151" t="s">
        <v>1244</v>
      </c>
      <c r="L158" s="164" t="s">
        <v>1707</v>
      </c>
      <c r="M158" s="156" t="s">
        <v>1677</v>
      </c>
      <c r="N158" s="156"/>
      <c r="O158" s="161"/>
      <c r="P158" s="156" t="s">
        <v>1805</v>
      </c>
    </row>
    <row r="159" spans="1:16" s="141" customFormat="1" ht="60" customHeight="1">
      <c r="A159" s="151" t="s">
        <v>1851</v>
      </c>
      <c r="B159" s="150" t="s">
        <v>1372</v>
      </c>
      <c r="C159" s="150" t="s">
        <v>1597</v>
      </c>
      <c r="D159" s="203">
        <v>2.5000000000000001E-2</v>
      </c>
      <c r="E159" s="203" t="s">
        <v>9</v>
      </c>
      <c r="F159" s="150" t="s">
        <v>9</v>
      </c>
      <c r="G159" s="151" t="s">
        <v>1851</v>
      </c>
      <c r="H159" s="151" t="s">
        <v>1795</v>
      </c>
      <c r="I159" s="151" t="s">
        <v>1375</v>
      </c>
      <c r="J159" s="151" t="s">
        <v>1436</v>
      </c>
      <c r="K159" s="151" t="s">
        <v>1244</v>
      </c>
      <c r="L159" s="151">
        <v>1.7</v>
      </c>
      <c r="M159" s="156" t="s">
        <v>1812</v>
      </c>
      <c r="N159" s="150" t="s">
        <v>1314</v>
      </c>
      <c r="O159" s="152" t="s">
        <v>1314</v>
      </c>
      <c r="P159" s="150" t="s">
        <v>1806</v>
      </c>
    </row>
    <row r="160" spans="1:16" ht="57.6" customHeight="1">
      <c r="A160" s="151" t="s">
        <v>1540</v>
      </c>
      <c r="B160" s="150" t="s">
        <v>1355</v>
      </c>
      <c r="C160" s="150" t="s">
        <v>8</v>
      </c>
      <c r="D160" s="203" t="s">
        <v>9</v>
      </c>
      <c r="E160" s="203" t="s">
        <v>9</v>
      </c>
      <c r="F160" s="150" t="s">
        <v>9</v>
      </c>
      <c r="G160" s="151" t="s">
        <v>1540</v>
      </c>
      <c r="H160" s="151" t="s">
        <v>9</v>
      </c>
      <c r="I160" s="151" t="s">
        <v>1326</v>
      </c>
      <c r="J160" s="151" t="s">
        <v>1397</v>
      </c>
      <c r="K160" s="151" t="s">
        <v>1060</v>
      </c>
      <c r="L160" s="159" t="s">
        <v>1707</v>
      </c>
      <c r="M160" s="159" t="s">
        <v>1807</v>
      </c>
      <c r="N160" s="150"/>
      <c r="O160" s="152"/>
      <c r="P160" s="156" t="s">
        <v>1734</v>
      </c>
    </row>
    <row r="161" spans="1:17" s="141" customFormat="1" ht="39.950000000000003" customHeight="1">
      <c r="A161" s="165" t="s">
        <v>4777</v>
      </c>
      <c r="B161" s="150" t="s">
        <v>1355</v>
      </c>
      <c r="C161" s="150" t="s">
        <v>1597</v>
      </c>
      <c r="D161" s="189">
        <v>5</v>
      </c>
      <c r="E161" s="203" t="s">
        <v>9</v>
      </c>
      <c r="F161" s="150" t="s">
        <v>9</v>
      </c>
      <c r="G161" s="165" t="s">
        <v>4777</v>
      </c>
      <c r="H161" s="165" t="s">
        <v>244</v>
      </c>
      <c r="I161" s="151" t="s">
        <v>1375</v>
      </c>
      <c r="J161" s="165" t="s">
        <v>4779</v>
      </c>
      <c r="K161" s="151" t="s">
        <v>1088</v>
      </c>
      <c r="L161" s="151">
        <v>2</v>
      </c>
      <c r="M161" s="161">
        <v>480</v>
      </c>
      <c r="N161" s="156"/>
      <c r="O161" s="161"/>
      <c r="P161" s="150" t="s">
        <v>1769</v>
      </c>
    </row>
    <row r="162" spans="1:17" s="141" customFormat="1" ht="39.950000000000003" customHeight="1">
      <c r="A162" s="156" t="s">
        <v>1379</v>
      </c>
      <c r="B162" s="150" t="s">
        <v>1355</v>
      </c>
      <c r="C162" s="156" t="s">
        <v>8</v>
      </c>
      <c r="D162" s="189">
        <v>1</v>
      </c>
      <c r="E162" s="189">
        <v>5</v>
      </c>
      <c r="F162" s="156">
        <v>8</v>
      </c>
      <c r="G162" s="165" t="s">
        <v>1379</v>
      </c>
      <c r="H162" s="165" t="s">
        <v>913</v>
      </c>
      <c r="I162" s="151" t="s">
        <v>1326</v>
      </c>
      <c r="J162" s="165" t="s">
        <v>1437</v>
      </c>
      <c r="K162" s="151" t="s">
        <v>1060</v>
      </c>
      <c r="L162" s="162" t="s">
        <v>1667</v>
      </c>
      <c r="M162" s="161" t="s">
        <v>1333</v>
      </c>
      <c r="N162" s="156" t="s">
        <v>1310</v>
      </c>
      <c r="O162" s="161" t="s">
        <v>1310</v>
      </c>
      <c r="P162" s="150"/>
    </row>
    <row r="163" spans="1:17" s="141" customFormat="1" ht="39.950000000000003" customHeight="1">
      <c r="A163" s="156" t="s">
        <v>800</v>
      </c>
      <c r="B163" s="150" t="s">
        <v>1355</v>
      </c>
      <c r="C163" s="150" t="s">
        <v>1597</v>
      </c>
      <c r="D163" s="189">
        <v>0.02</v>
      </c>
      <c r="E163" s="203" t="s">
        <v>9</v>
      </c>
      <c r="F163" s="150" t="s">
        <v>9</v>
      </c>
      <c r="G163" s="156" t="s">
        <v>800</v>
      </c>
      <c r="H163" s="165" t="s">
        <v>1520</v>
      </c>
      <c r="I163" s="151" t="s">
        <v>1353</v>
      </c>
      <c r="J163" s="151" t="s">
        <v>1399</v>
      </c>
      <c r="K163" s="151" t="s">
        <v>1244</v>
      </c>
      <c r="L163" s="165" t="s">
        <v>1240</v>
      </c>
      <c r="M163" s="160" t="s">
        <v>1452</v>
      </c>
      <c r="N163" s="156">
        <v>0.5</v>
      </c>
      <c r="O163" s="161">
        <v>0.5</v>
      </c>
      <c r="P163" s="150" t="s">
        <v>1623</v>
      </c>
    </row>
    <row r="164" spans="1:17" s="141" customFormat="1" ht="39.950000000000003" customHeight="1">
      <c r="A164" s="151" t="s">
        <v>1488</v>
      </c>
      <c r="B164" s="150" t="s">
        <v>1355</v>
      </c>
      <c r="C164" s="150" t="s">
        <v>8</v>
      </c>
      <c r="D164" s="203">
        <v>100</v>
      </c>
      <c r="E164" s="203" t="s">
        <v>9</v>
      </c>
      <c r="F164" s="150">
        <v>78</v>
      </c>
      <c r="G164" s="151" t="s">
        <v>1488</v>
      </c>
      <c r="H164" s="151" t="s">
        <v>1481</v>
      </c>
      <c r="I164" s="151" t="s">
        <v>1326</v>
      </c>
      <c r="J164" s="151" t="s">
        <v>1397</v>
      </c>
      <c r="K164" s="151" t="s">
        <v>1060</v>
      </c>
      <c r="L164" s="151" t="s">
        <v>1525</v>
      </c>
      <c r="M164" s="158" t="s">
        <v>1682</v>
      </c>
      <c r="N164" s="150" t="s">
        <v>1448</v>
      </c>
      <c r="O164" s="152" t="s">
        <v>1311</v>
      </c>
      <c r="P164" s="150" t="s">
        <v>1858</v>
      </c>
    </row>
    <row r="165" spans="1:17" s="141" customFormat="1" ht="85.15" customHeight="1">
      <c r="A165" s="151" t="s">
        <v>823</v>
      </c>
      <c r="B165" s="150" t="s">
        <v>1355</v>
      </c>
      <c r="C165" s="150" t="s">
        <v>8</v>
      </c>
      <c r="D165" s="203">
        <v>50</v>
      </c>
      <c r="E165" s="203">
        <v>100</v>
      </c>
      <c r="F165" s="150">
        <v>156</v>
      </c>
      <c r="G165" s="151" t="s">
        <v>823</v>
      </c>
      <c r="H165" s="151" t="s">
        <v>1699</v>
      </c>
      <c r="I165" s="151" t="s">
        <v>1326</v>
      </c>
      <c r="J165" s="151" t="s">
        <v>1248</v>
      </c>
      <c r="K165" s="151" t="s">
        <v>1060</v>
      </c>
      <c r="L165" s="151" t="s">
        <v>1525</v>
      </c>
      <c r="M165" s="167" t="s">
        <v>1720</v>
      </c>
      <c r="N165" s="150" t="s">
        <v>1314</v>
      </c>
      <c r="O165" s="152" t="s">
        <v>1314</v>
      </c>
      <c r="P165" s="150" t="s">
        <v>1860</v>
      </c>
    </row>
    <row r="166" spans="1:17" s="141" customFormat="1" ht="85.15" customHeight="1">
      <c r="A166" s="151" t="s">
        <v>836</v>
      </c>
      <c r="B166" s="150" t="s">
        <v>1360</v>
      </c>
      <c r="C166" s="150" t="s">
        <v>8</v>
      </c>
      <c r="D166" s="203">
        <v>20</v>
      </c>
      <c r="E166" s="203" t="s">
        <v>9</v>
      </c>
      <c r="F166" s="150">
        <v>78</v>
      </c>
      <c r="G166" s="151" t="s">
        <v>836</v>
      </c>
      <c r="H166" s="151" t="s">
        <v>1579</v>
      </c>
      <c r="I166" s="151" t="s">
        <v>1326</v>
      </c>
      <c r="J166" s="151" t="s">
        <v>1401</v>
      </c>
      <c r="K166" s="151" t="s">
        <v>1060</v>
      </c>
      <c r="L166" s="151">
        <v>0.02</v>
      </c>
      <c r="M166" s="160" t="s">
        <v>1331</v>
      </c>
      <c r="N166" s="150" t="s">
        <v>1316</v>
      </c>
      <c r="O166" s="152" t="s">
        <v>1316</v>
      </c>
      <c r="P166" s="150" t="s">
        <v>1744</v>
      </c>
    </row>
    <row r="167" spans="1:17" ht="39.950000000000003" customHeight="1">
      <c r="A167" s="151" t="s">
        <v>1838</v>
      </c>
      <c r="B167" s="150" t="s">
        <v>1356</v>
      </c>
      <c r="C167" s="150" t="s">
        <v>8</v>
      </c>
      <c r="D167" s="203">
        <v>10</v>
      </c>
      <c r="E167" s="203">
        <v>25</v>
      </c>
      <c r="F167" s="150">
        <v>78</v>
      </c>
      <c r="G167" s="151" t="s">
        <v>1838</v>
      </c>
      <c r="H167" s="151" t="s">
        <v>1828</v>
      </c>
      <c r="I167" s="151" t="s">
        <v>1326</v>
      </c>
      <c r="J167" s="151" t="s">
        <v>1408</v>
      </c>
      <c r="K167" s="151" t="s">
        <v>1060</v>
      </c>
      <c r="L167" s="151" t="s">
        <v>1525</v>
      </c>
      <c r="M167" s="159" t="s">
        <v>1803</v>
      </c>
      <c r="N167" s="150" t="s">
        <v>1322</v>
      </c>
      <c r="O167" s="150" t="s">
        <v>1322</v>
      </c>
      <c r="P167" s="192" t="s">
        <v>4761</v>
      </c>
    </row>
    <row r="168" spans="1:17" ht="39.950000000000003" customHeight="1">
      <c r="A168" s="151" t="s">
        <v>849</v>
      </c>
      <c r="B168" s="150" t="s">
        <v>1355</v>
      </c>
      <c r="C168" s="150" t="s">
        <v>1597</v>
      </c>
      <c r="D168" s="203">
        <v>5</v>
      </c>
      <c r="E168" s="203" t="s">
        <v>9</v>
      </c>
      <c r="F168" s="150" t="s">
        <v>9</v>
      </c>
      <c r="G168" s="151" t="s">
        <v>849</v>
      </c>
      <c r="H168" s="151" t="s">
        <v>1544</v>
      </c>
      <c r="I168" s="151" t="s">
        <v>1545</v>
      </c>
      <c r="J168" s="151" t="s">
        <v>1546</v>
      </c>
      <c r="K168" s="151" t="s">
        <v>1060</v>
      </c>
      <c r="L168" s="151" t="s">
        <v>1721</v>
      </c>
      <c r="M168" s="163" t="s">
        <v>1800</v>
      </c>
      <c r="N168" s="150"/>
      <c r="O168" s="150"/>
      <c r="P168" s="192" t="s">
        <v>4762</v>
      </c>
    </row>
    <row r="169" spans="1:17" s="141" customFormat="1" ht="85.15" customHeight="1">
      <c r="A169" s="151" t="s">
        <v>4741</v>
      </c>
      <c r="B169" s="150" t="s">
        <v>1355</v>
      </c>
      <c r="C169" s="150" t="s">
        <v>8</v>
      </c>
      <c r="D169" s="203">
        <v>10</v>
      </c>
      <c r="E169" s="203" t="s">
        <v>9</v>
      </c>
      <c r="F169" s="150" t="s">
        <v>9</v>
      </c>
      <c r="G169" s="151" t="s">
        <v>4741</v>
      </c>
      <c r="H169" s="151" t="s">
        <v>4742</v>
      </c>
      <c r="I169" s="151" t="s">
        <v>1326</v>
      </c>
      <c r="J169" s="151" t="s">
        <v>4743</v>
      </c>
      <c r="K169" s="151" t="s">
        <v>1060</v>
      </c>
      <c r="L169" s="151">
        <v>0.1</v>
      </c>
      <c r="M169" s="158" t="s">
        <v>4744</v>
      </c>
      <c r="N169" s="150"/>
      <c r="O169" s="152"/>
      <c r="P169" s="150" t="s">
        <v>1640</v>
      </c>
    </row>
    <row r="170" spans="1:17" s="141" customFormat="1" ht="85.15" customHeight="1">
      <c r="A170" s="151" t="s">
        <v>864</v>
      </c>
      <c r="B170" s="150" t="s">
        <v>1355</v>
      </c>
      <c r="C170" s="150" t="s">
        <v>1597</v>
      </c>
      <c r="D170" s="203">
        <v>3</v>
      </c>
      <c r="E170" s="203" t="s">
        <v>9</v>
      </c>
      <c r="F170" s="150" t="s">
        <v>9</v>
      </c>
      <c r="G170" s="151" t="s">
        <v>864</v>
      </c>
      <c r="H170" s="151" t="s">
        <v>1494</v>
      </c>
      <c r="I170" s="151" t="s">
        <v>1353</v>
      </c>
      <c r="J170" s="151" t="s">
        <v>1399</v>
      </c>
      <c r="K170" s="151" t="s">
        <v>1244</v>
      </c>
      <c r="L170" s="151">
        <v>1.7</v>
      </c>
      <c r="M170" s="160" t="s">
        <v>1677</v>
      </c>
      <c r="N170" s="150">
        <v>5</v>
      </c>
      <c r="O170" s="152">
        <v>5</v>
      </c>
      <c r="P170" s="150" t="s">
        <v>1634</v>
      </c>
    </row>
    <row r="171" spans="1:17" s="141" customFormat="1" ht="39.950000000000003" customHeight="1">
      <c r="A171" s="151" t="s">
        <v>1450</v>
      </c>
      <c r="B171" s="150" t="s">
        <v>1355</v>
      </c>
      <c r="C171" s="150" t="s">
        <v>8</v>
      </c>
      <c r="D171" s="203">
        <v>10</v>
      </c>
      <c r="E171" s="203" t="s">
        <v>9</v>
      </c>
      <c r="F171" s="150" t="s">
        <v>9</v>
      </c>
      <c r="G171" s="151" t="s">
        <v>1450</v>
      </c>
      <c r="H171" s="151" t="s">
        <v>1801</v>
      </c>
      <c r="I171" s="151" t="s">
        <v>1326</v>
      </c>
      <c r="J171" s="151" t="s">
        <v>1409</v>
      </c>
      <c r="K171" s="151" t="s">
        <v>1060</v>
      </c>
      <c r="L171" s="151" t="s">
        <v>1525</v>
      </c>
      <c r="M171" s="160" t="s">
        <v>1810</v>
      </c>
      <c r="N171" s="150" t="s">
        <v>1449</v>
      </c>
      <c r="O171" s="152" t="s">
        <v>1316</v>
      </c>
      <c r="P171" s="150" t="s">
        <v>4769</v>
      </c>
      <c r="Q171" s="149"/>
    </row>
    <row r="172" spans="1:17" s="141" customFormat="1" ht="39.950000000000003" customHeight="1">
      <c r="A172" s="151" t="s">
        <v>870</v>
      </c>
      <c r="B172" s="150" t="s">
        <v>1360</v>
      </c>
      <c r="C172" s="150" t="s">
        <v>8</v>
      </c>
      <c r="D172" s="203">
        <v>20</v>
      </c>
      <c r="E172" s="203" t="s">
        <v>9</v>
      </c>
      <c r="F172" s="150">
        <v>78</v>
      </c>
      <c r="G172" s="151" t="s">
        <v>870</v>
      </c>
      <c r="H172" s="151" t="s">
        <v>1700</v>
      </c>
      <c r="I172" s="151" t="s">
        <v>1326</v>
      </c>
      <c r="J172" s="151" t="s">
        <v>1401</v>
      </c>
      <c r="K172" s="151" t="s">
        <v>1060</v>
      </c>
      <c r="L172" s="151" t="s">
        <v>1525</v>
      </c>
      <c r="M172" s="160" t="s">
        <v>1811</v>
      </c>
      <c r="N172" s="150" t="s">
        <v>1316</v>
      </c>
      <c r="O172" s="152" t="s">
        <v>1316</v>
      </c>
      <c r="P172" s="150" t="s">
        <v>4772</v>
      </c>
      <c r="Q172" s="149"/>
    </row>
    <row r="173" spans="1:17" s="141" customFormat="1" ht="39.950000000000003" customHeight="1">
      <c r="A173" s="156" t="s">
        <v>873</v>
      </c>
      <c r="B173" s="150" t="s">
        <v>1355</v>
      </c>
      <c r="C173" s="150" t="s">
        <v>1597</v>
      </c>
      <c r="D173" s="203">
        <v>5</v>
      </c>
      <c r="E173" s="189">
        <v>10</v>
      </c>
      <c r="F173" s="150" t="s">
        <v>9</v>
      </c>
      <c r="G173" s="156" t="s">
        <v>873</v>
      </c>
      <c r="H173" s="151" t="s">
        <v>1518</v>
      </c>
      <c r="I173" s="151" t="s">
        <v>1353</v>
      </c>
      <c r="J173" s="151" t="s">
        <v>1399</v>
      </c>
      <c r="K173" s="151" t="s">
        <v>1244</v>
      </c>
      <c r="L173" s="163" t="s">
        <v>1707</v>
      </c>
      <c r="M173" s="161" t="s">
        <v>1804</v>
      </c>
      <c r="N173" s="156"/>
      <c r="O173" s="161"/>
      <c r="P173" s="150" t="s">
        <v>1716</v>
      </c>
    </row>
    <row r="174" spans="1:17" s="141" customFormat="1" ht="39.950000000000003" customHeight="1">
      <c r="A174" s="156" t="s">
        <v>4811</v>
      </c>
      <c r="B174" s="150" t="s">
        <v>1356</v>
      </c>
      <c r="C174" s="150" t="s">
        <v>8</v>
      </c>
      <c r="D174" s="203">
        <v>50</v>
      </c>
      <c r="E174" s="189" t="s">
        <v>9</v>
      </c>
      <c r="F174" s="150">
        <v>560</v>
      </c>
      <c r="G174" s="156" t="s">
        <v>4811</v>
      </c>
      <c r="H174" s="151" t="s">
        <v>4812</v>
      </c>
      <c r="I174" s="151" t="s">
        <v>1326</v>
      </c>
      <c r="J174" s="151" t="s">
        <v>4813</v>
      </c>
      <c r="K174" s="151" t="s">
        <v>1060</v>
      </c>
      <c r="L174" s="160" t="s">
        <v>1064</v>
      </c>
      <c r="M174" s="161" t="s">
        <v>4814</v>
      </c>
      <c r="N174" s="156"/>
      <c r="O174" s="161"/>
      <c r="P174" s="150"/>
    </row>
    <row r="175" spans="1:17" s="141" customFormat="1" ht="39.950000000000003" customHeight="1">
      <c r="A175" s="151" t="s">
        <v>1460</v>
      </c>
      <c r="B175" s="150" t="s">
        <v>1360</v>
      </c>
      <c r="C175" s="150" t="s">
        <v>8</v>
      </c>
      <c r="D175" s="203">
        <v>10</v>
      </c>
      <c r="E175" s="203" t="s">
        <v>9</v>
      </c>
      <c r="F175" s="150" t="s">
        <v>9</v>
      </c>
      <c r="G175" s="151" t="s">
        <v>1460</v>
      </c>
      <c r="H175" s="151" t="s">
        <v>1482</v>
      </c>
      <c r="I175" s="151" t="s">
        <v>1326</v>
      </c>
      <c r="J175" s="151" t="s">
        <v>1409</v>
      </c>
      <c r="K175" s="151" t="s">
        <v>1060</v>
      </c>
      <c r="L175" s="162">
        <v>0.2</v>
      </c>
      <c r="M175" s="152" t="s">
        <v>1161</v>
      </c>
      <c r="N175" s="150" t="s">
        <v>1449</v>
      </c>
      <c r="O175" s="152" t="s">
        <v>1316</v>
      </c>
      <c r="P175" s="156"/>
    </row>
    <row r="176" spans="1:17" s="141" customFormat="1" ht="39.950000000000003" customHeight="1">
      <c r="A176" s="151" t="s">
        <v>1840</v>
      </c>
      <c r="B176" s="150" t="s">
        <v>1360</v>
      </c>
      <c r="C176" s="150" t="s">
        <v>8</v>
      </c>
      <c r="D176" s="203">
        <v>10</v>
      </c>
      <c r="E176" s="203" t="s">
        <v>9</v>
      </c>
      <c r="F176" s="150" t="s">
        <v>9</v>
      </c>
      <c r="G176" s="151" t="s">
        <v>1840</v>
      </c>
      <c r="H176" s="151" t="s">
        <v>1482</v>
      </c>
      <c r="I176" s="151" t="s">
        <v>1326</v>
      </c>
      <c r="J176" s="151" t="s">
        <v>1409</v>
      </c>
      <c r="K176" s="151" t="s">
        <v>1060</v>
      </c>
      <c r="L176" s="162">
        <v>0.2</v>
      </c>
      <c r="M176" s="152" t="s">
        <v>1161</v>
      </c>
      <c r="N176" s="150" t="s">
        <v>1449</v>
      </c>
      <c r="O176" s="152" t="s">
        <v>1316</v>
      </c>
      <c r="P176" s="156"/>
    </row>
    <row r="177" spans="1:16" s="141" customFormat="1" ht="39.950000000000003" customHeight="1">
      <c r="A177" s="151" t="s">
        <v>227</v>
      </c>
      <c r="B177" s="150" t="s">
        <v>1360</v>
      </c>
      <c r="C177" s="150" t="s">
        <v>8</v>
      </c>
      <c r="D177" s="203">
        <v>10</v>
      </c>
      <c r="E177" s="203" t="s">
        <v>9</v>
      </c>
      <c r="F177" s="150" t="s">
        <v>9</v>
      </c>
      <c r="G177" s="151" t="s">
        <v>227</v>
      </c>
      <c r="H177" s="151" t="s">
        <v>1482</v>
      </c>
      <c r="I177" s="151" t="s">
        <v>1326</v>
      </c>
      <c r="J177" s="151" t="s">
        <v>1409</v>
      </c>
      <c r="K177" s="151" t="s">
        <v>1060</v>
      </c>
      <c r="L177" s="162">
        <v>0.2</v>
      </c>
      <c r="M177" s="152" t="s">
        <v>1161</v>
      </c>
      <c r="N177" s="150" t="s">
        <v>1449</v>
      </c>
      <c r="O177" s="152" t="s">
        <v>1316</v>
      </c>
      <c r="P177" s="156"/>
    </row>
    <row r="178" spans="1:16" s="141" customFormat="1" ht="39.950000000000003" customHeight="1">
      <c r="A178" s="151" t="s">
        <v>1841</v>
      </c>
      <c r="B178" s="150" t="s">
        <v>1360</v>
      </c>
      <c r="C178" s="150" t="s">
        <v>8</v>
      </c>
      <c r="D178" s="203">
        <v>10</v>
      </c>
      <c r="E178" s="203" t="s">
        <v>9</v>
      </c>
      <c r="F178" s="150" t="s">
        <v>9</v>
      </c>
      <c r="G178" s="151" t="s">
        <v>1841</v>
      </c>
      <c r="H178" s="151" t="s">
        <v>1482</v>
      </c>
      <c r="I178" s="151" t="s">
        <v>1326</v>
      </c>
      <c r="J178" s="151" t="s">
        <v>1409</v>
      </c>
      <c r="K178" s="151" t="s">
        <v>1060</v>
      </c>
      <c r="L178" s="162">
        <v>0.2</v>
      </c>
      <c r="M178" s="152" t="s">
        <v>1161</v>
      </c>
      <c r="N178" s="150" t="s">
        <v>1449</v>
      </c>
      <c r="O178" s="152" t="s">
        <v>1316</v>
      </c>
      <c r="P178" s="156"/>
    </row>
    <row r="179" spans="1:16" s="141" customFormat="1" ht="39.950000000000003" customHeight="1">
      <c r="A179" s="151" t="s">
        <v>311</v>
      </c>
      <c r="B179" s="150" t="s">
        <v>1360</v>
      </c>
      <c r="C179" s="150" t="s">
        <v>8</v>
      </c>
      <c r="D179" s="203">
        <v>10</v>
      </c>
      <c r="E179" s="203" t="s">
        <v>9</v>
      </c>
      <c r="F179" s="150" t="s">
        <v>9</v>
      </c>
      <c r="G179" s="151" t="s">
        <v>311</v>
      </c>
      <c r="H179" s="151" t="s">
        <v>1482</v>
      </c>
      <c r="I179" s="151" t="s">
        <v>1326</v>
      </c>
      <c r="J179" s="151" t="s">
        <v>1409</v>
      </c>
      <c r="K179" s="151" t="s">
        <v>1060</v>
      </c>
      <c r="L179" s="162">
        <v>0.2</v>
      </c>
      <c r="M179" s="152" t="s">
        <v>1161</v>
      </c>
      <c r="N179" s="150" t="s">
        <v>1449</v>
      </c>
      <c r="O179" s="152" t="s">
        <v>1316</v>
      </c>
      <c r="P179" s="156"/>
    </row>
    <row r="180" spans="1:16" s="141" customFormat="1" ht="39.950000000000003" customHeight="1">
      <c r="A180" s="151" t="s">
        <v>4807</v>
      </c>
      <c r="B180" s="150" t="s">
        <v>1360</v>
      </c>
      <c r="C180" s="150" t="s">
        <v>8</v>
      </c>
      <c r="D180" s="203">
        <v>10</v>
      </c>
      <c r="E180" s="203" t="s">
        <v>9</v>
      </c>
      <c r="F180" s="150" t="s">
        <v>9</v>
      </c>
      <c r="G180" s="151" t="s">
        <v>4807</v>
      </c>
      <c r="H180" s="151" t="s">
        <v>1482</v>
      </c>
      <c r="I180" s="151" t="s">
        <v>1326</v>
      </c>
      <c r="J180" s="151" t="s">
        <v>1409</v>
      </c>
      <c r="K180" s="151" t="s">
        <v>1060</v>
      </c>
      <c r="L180" s="162">
        <v>0.2</v>
      </c>
      <c r="M180" s="152" t="s">
        <v>1161</v>
      </c>
      <c r="N180" s="150" t="s">
        <v>1449</v>
      </c>
      <c r="O180" s="152" t="s">
        <v>1316</v>
      </c>
      <c r="P180" s="156"/>
    </row>
    <row r="181" spans="1:16" s="141" customFormat="1" ht="39.950000000000003" customHeight="1">
      <c r="A181" s="151" t="s">
        <v>4808</v>
      </c>
      <c r="B181" s="150" t="s">
        <v>1360</v>
      </c>
      <c r="C181" s="150" t="s">
        <v>8</v>
      </c>
      <c r="D181" s="203">
        <v>10</v>
      </c>
      <c r="E181" s="203" t="s">
        <v>9</v>
      </c>
      <c r="F181" s="150" t="s">
        <v>9</v>
      </c>
      <c r="G181" s="151" t="s">
        <v>4808</v>
      </c>
      <c r="H181" s="151" t="s">
        <v>1482</v>
      </c>
      <c r="I181" s="151" t="s">
        <v>1326</v>
      </c>
      <c r="J181" s="151" t="s">
        <v>1409</v>
      </c>
      <c r="K181" s="151" t="s">
        <v>1060</v>
      </c>
      <c r="L181" s="162">
        <v>0.2</v>
      </c>
      <c r="M181" s="152" t="s">
        <v>1161</v>
      </c>
      <c r="N181" s="150" t="s">
        <v>1449</v>
      </c>
      <c r="O181" s="152" t="s">
        <v>1316</v>
      </c>
      <c r="P181" s="156"/>
    </row>
    <row r="182" spans="1:16" s="141" customFormat="1" ht="39.950000000000003" customHeight="1">
      <c r="A182" s="151" t="s">
        <v>4809</v>
      </c>
      <c r="B182" s="150" t="s">
        <v>1360</v>
      </c>
      <c r="C182" s="150" t="s">
        <v>8</v>
      </c>
      <c r="D182" s="203">
        <v>10</v>
      </c>
      <c r="E182" s="203" t="s">
        <v>9</v>
      </c>
      <c r="F182" s="150" t="s">
        <v>9</v>
      </c>
      <c r="G182" s="151" t="s">
        <v>4809</v>
      </c>
      <c r="H182" s="151" t="s">
        <v>1482</v>
      </c>
      <c r="I182" s="151" t="s">
        <v>1326</v>
      </c>
      <c r="J182" s="151" t="s">
        <v>1409</v>
      </c>
      <c r="K182" s="151" t="s">
        <v>1060</v>
      </c>
      <c r="L182" s="162">
        <v>0.2</v>
      </c>
      <c r="M182" s="152" t="s">
        <v>1161</v>
      </c>
      <c r="N182" s="150" t="s">
        <v>1449</v>
      </c>
      <c r="O182" s="152" t="s">
        <v>1316</v>
      </c>
      <c r="P182" s="156"/>
    </row>
    <row r="183" spans="1:16" s="141" customFormat="1" ht="39.950000000000003" customHeight="1">
      <c r="A183" s="151" t="s">
        <v>4810</v>
      </c>
      <c r="B183" s="150" t="s">
        <v>1360</v>
      </c>
      <c r="C183" s="150" t="s">
        <v>8</v>
      </c>
      <c r="D183" s="203">
        <v>10</v>
      </c>
      <c r="E183" s="203" t="s">
        <v>9</v>
      </c>
      <c r="F183" s="150" t="s">
        <v>9</v>
      </c>
      <c r="G183" s="151" t="s">
        <v>4810</v>
      </c>
      <c r="H183" s="151" t="s">
        <v>1482</v>
      </c>
      <c r="I183" s="151" t="s">
        <v>1326</v>
      </c>
      <c r="J183" s="151" t="s">
        <v>1409</v>
      </c>
      <c r="K183" s="151" t="s">
        <v>1060</v>
      </c>
      <c r="L183" s="162">
        <v>0.2</v>
      </c>
      <c r="M183" s="152" t="s">
        <v>1161</v>
      </c>
      <c r="N183" s="150" t="s">
        <v>1449</v>
      </c>
      <c r="O183" s="152" t="s">
        <v>1316</v>
      </c>
      <c r="P183" s="156"/>
    </row>
    <row r="184" spans="1:16" s="141" customFormat="1" ht="39.950000000000003" customHeight="1">
      <c r="A184" s="151" t="s">
        <v>4815</v>
      </c>
      <c r="B184" s="150" t="s">
        <v>1355</v>
      </c>
      <c r="C184" s="150" t="s">
        <v>8</v>
      </c>
      <c r="D184" s="203">
        <v>50</v>
      </c>
      <c r="E184" s="203">
        <v>100</v>
      </c>
      <c r="F184" s="150" t="s">
        <v>9</v>
      </c>
      <c r="G184" s="151" t="s">
        <v>4815</v>
      </c>
      <c r="H184" s="151" t="s">
        <v>4816</v>
      </c>
      <c r="I184" s="151" t="s">
        <v>1326</v>
      </c>
      <c r="J184" s="151" t="s">
        <v>4817</v>
      </c>
      <c r="K184" s="151" t="s">
        <v>1060</v>
      </c>
      <c r="L184" s="162" t="s">
        <v>1071</v>
      </c>
      <c r="M184" s="152" t="s">
        <v>4818</v>
      </c>
      <c r="N184" s="150"/>
      <c r="O184" s="152"/>
      <c r="P184" s="156" t="s">
        <v>1629</v>
      </c>
    </row>
    <row r="185" spans="1:16" s="141" customFormat="1" ht="39.950000000000003" customHeight="1">
      <c r="A185" s="151" t="s">
        <v>4819</v>
      </c>
      <c r="B185" s="150" t="s">
        <v>1355</v>
      </c>
      <c r="C185" s="150" t="s">
        <v>8</v>
      </c>
      <c r="D185" s="203">
        <v>50</v>
      </c>
      <c r="E185" s="203">
        <v>150</v>
      </c>
      <c r="F185" s="150" t="s">
        <v>9</v>
      </c>
      <c r="G185" s="151" t="s">
        <v>4819</v>
      </c>
      <c r="H185" s="151" t="s">
        <v>4816</v>
      </c>
      <c r="I185" s="151" t="s">
        <v>1326</v>
      </c>
      <c r="J185" s="151" t="s">
        <v>1386</v>
      </c>
      <c r="K185" s="151" t="s">
        <v>1060</v>
      </c>
      <c r="L185" s="162" t="s">
        <v>1525</v>
      </c>
      <c r="M185" s="152" t="s">
        <v>1158</v>
      </c>
      <c r="N185" s="150"/>
      <c r="O185" s="152"/>
      <c r="P185" s="156" t="s">
        <v>1554</v>
      </c>
    </row>
    <row r="186" spans="1:16" s="141" customFormat="1" ht="39.950000000000003" customHeight="1">
      <c r="A186" s="151" t="s">
        <v>4820</v>
      </c>
      <c r="B186" s="150" t="s">
        <v>1355</v>
      </c>
      <c r="C186" s="150" t="s">
        <v>8</v>
      </c>
      <c r="D186" s="203" t="s">
        <v>9</v>
      </c>
      <c r="E186" s="203" t="s">
        <v>9</v>
      </c>
      <c r="F186" s="150" t="s">
        <v>9</v>
      </c>
      <c r="G186" s="151" t="s">
        <v>4820</v>
      </c>
      <c r="H186" s="151" t="s">
        <v>9</v>
      </c>
      <c r="I186" s="151" t="s">
        <v>1326</v>
      </c>
      <c r="J186" s="151" t="s">
        <v>4821</v>
      </c>
      <c r="K186" s="151" t="s">
        <v>1060</v>
      </c>
      <c r="L186" s="202">
        <v>1</v>
      </c>
      <c r="M186" s="152">
        <v>240</v>
      </c>
      <c r="N186" s="150"/>
      <c r="O186" s="152"/>
      <c r="P186" s="156" t="s">
        <v>4822</v>
      </c>
    </row>
    <row r="187" spans="1:16" s="141" customFormat="1" ht="39.950000000000003" customHeight="1">
      <c r="A187" s="151" t="s">
        <v>4824</v>
      </c>
      <c r="B187" s="150" t="s">
        <v>1355</v>
      </c>
      <c r="C187" s="150" t="s">
        <v>8</v>
      </c>
      <c r="D187" s="203">
        <v>50</v>
      </c>
      <c r="E187" s="203">
        <v>100</v>
      </c>
      <c r="F187" s="150" t="s">
        <v>9</v>
      </c>
      <c r="G187" s="151" t="s">
        <v>4824</v>
      </c>
      <c r="H187" s="151" t="s">
        <v>4825</v>
      </c>
      <c r="I187" s="151" t="s">
        <v>1326</v>
      </c>
      <c r="J187" s="151" t="s">
        <v>4823</v>
      </c>
      <c r="K187" s="151" t="s">
        <v>1060</v>
      </c>
      <c r="L187" s="162">
        <v>2</v>
      </c>
      <c r="M187" s="152">
        <v>480</v>
      </c>
      <c r="N187" s="150"/>
      <c r="O187" s="152"/>
      <c r="P187" s="156" t="s">
        <v>1565</v>
      </c>
    </row>
  </sheetData>
  <autoFilter ref="A2:O187" xr:uid="{00000000-0009-0000-0000-000010000000}">
    <sortState xmlns:xlrd2="http://schemas.microsoft.com/office/spreadsheetml/2017/richdata2" ref="A3:O175">
      <sortCondition ref="A2:A175"/>
    </sortState>
  </autoFilter>
  <sortState xmlns:xlrd2="http://schemas.microsoft.com/office/spreadsheetml/2017/richdata2" ref="A6:A133">
    <sortCondition ref="A4:A133"/>
  </sortState>
  <phoneticPr fontId="15" type="noConversion"/>
  <pageMargins left="0.51181102362204722" right="0.51181102362204722" top="0.78740157480314965" bottom="0.78740157480314965" header="0.31496062992125984" footer="0.31496062992125984"/>
  <pageSetup paperSize="9" scale="45" fitToHeight="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369DD-E8C8-45D4-A8E7-312C9B0F2BC8}">
  <dimension ref="A1:C1052"/>
  <sheetViews>
    <sheetView topLeftCell="A1067" workbookViewId="0">
      <selection activeCell="A13" sqref="A13"/>
    </sheetView>
  </sheetViews>
  <sheetFormatPr defaultRowHeight="15"/>
  <cols>
    <col min="1" max="1" width="81.140625" bestFit="1" customWidth="1"/>
    <col min="2" max="2" width="40.85546875" bestFit="1" customWidth="1"/>
    <col min="3" max="3" width="81.140625" bestFit="1" customWidth="1"/>
  </cols>
  <sheetData>
    <row r="1" spans="1:3">
      <c r="A1" t="s">
        <v>1862</v>
      </c>
      <c r="B1" t="s">
        <v>1863</v>
      </c>
      <c r="C1" t="s">
        <v>1864</v>
      </c>
    </row>
    <row r="2" spans="1:3">
      <c r="A2" t="s">
        <v>1865</v>
      </c>
      <c r="B2" t="s">
        <v>1866</v>
      </c>
      <c r="C2" t="s">
        <v>3851</v>
      </c>
    </row>
    <row r="3" spans="1:3">
      <c r="A3" t="s">
        <v>1867</v>
      </c>
      <c r="B3" t="s">
        <v>1868</v>
      </c>
      <c r="C3" t="s">
        <v>3852</v>
      </c>
    </row>
    <row r="4" spans="1:3">
      <c r="A4" t="s">
        <v>1869</v>
      </c>
      <c r="B4" t="s">
        <v>1870</v>
      </c>
      <c r="C4" t="s">
        <v>3853</v>
      </c>
    </row>
    <row r="5" spans="1:3">
      <c r="A5" t="s">
        <v>1871</v>
      </c>
      <c r="B5" t="s">
        <v>1872</v>
      </c>
      <c r="C5" t="s">
        <v>3854</v>
      </c>
    </row>
    <row r="6" spans="1:3">
      <c r="A6" t="s">
        <v>1873</v>
      </c>
      <c r="B6" t="s">
        <v>1874</v>
      </c>
      <c r="C6" t="s">
        <v>3855</v>
      </c>
    </row>
    <row r="7" spans="1:3">
      <c r="A7" t="s">
        <v>1875</v>
      </c>
      <c r="B7" t="s">
        <v>1876</v>
      </c>
      <c r="C7" t="s">
        <v>3856</v>
      </c>
    </row>
    <row r="8" spans="1:3">
      <c r="A8" t="s">
        <v>1877</v>
      </c>
      <c r="B8" t="s">
        <v>1878</v>
      </c>
      <c r="C8" t="s">
        <v>3857</v>
      </c>
    </row>
    <row r="9" spans="1:3">
      <c r="A9" t="s">
        <v>1879</v>
      </c>
      <c r="B9" t="s">
        <v>1880</v>
      </c>
      <c r="C9" t="s">
        <v>3858</v>
      </c>
    </row>
    <row r="10" spans="1:3">
      <c r="A10" t="s">
        <v>1881</v>
      </c>
      <c r="B10" t="s">
        <v>1882</v>
      </c>
      <c r="C10" t="s">
        <v>3859</v>
      </c>
    </row>
    <row r="11" spans="1:3">
      <c r="A11" t="s">
        <v>1883</v>
      </c>
      <c r="B11" t="s">
        <v>1884</v>
      </c>
      <c r="C11" t="s">
        <v>3860</v>
      </c>
    </row>
    <row r="12" spans="1:3">
      <c r="A12" t="s">
        <v>1885</v>
      </c>
      <c r="B12" t="s">
        <v>1886</v>
      </c>
      <c r="C12" t="s">
        <v>3861</v>
      </c>
    </row>
    <row r="13" spans="1:3">
      <c r="A13" t="s">
        <v>1887</v>
      </c>
      <c r="B13" t="s">
        <v>1888</v>
      </c>
      <c r="C13" t="s">
        <v>3862</v>
      </c>
    </row>
    <row r="14" spans="1:3">
      <c r="A14" t="s">
        <v>1889</v>
      </c>
      <c r="B14" t="s">
        <v>1890</v>
      </c>
      <c r="C14" t="s">
        <v>3863</v>
      </c>
    </row>
    <row r="15" spans="1:3">
      <c r="A15" t="s">
        <v>1891</v>
      </c>
      <c r="B15" t="s">
        <v>1892</v>
      </c>
      <c r="C15" t="s">
        <v>3864</v>
      </c>
    </row>
    <row r="16" spans="1:3">
      <c r="A16" t="s">
        <v>1893</v>
      </c>
      <c r="B16" t="s">
        <v>1894</v>
      </c>
      <c r="C16" t="s">
        <v>3865</v>
      </c>
    </row>
    <row r="17" spans="1:3">
      <c r="A17" t="s">
        <v>1895</v>
      </c>
      <c r="B17" t="s">
        <v>1896</v>
      </c>
      <c r="C17" t="s">
        <v>3866</v>
      </c>
    </row>
    <row r="18" spans="1:3">
      <c r="A18" t="s">
        <v>1897</v>
      </c>
      <c r="B18" t="s">
        <v>1898</v>
      </c>
      <c r="C18" t="s">
        <v>3867</v>
      </c>
    </row>
    <row r="19" spans="1:3">
      <c r="A19" t="s">
        <v>1899</v>
      </c>
      <c r="B19" t="s">
        <v>1900</v>
      </c>
      <c r="C19" t="s">
        <v>3868</v>
      </c>
    </row>
    <row r="20" spans="1:3">
      <c r="A20" t="s">
        <v>1901</v>
      </c>
      <c r="B20" t="s">
        <v>1902</v>
      </c>
      <c r="C20" t="s">
        <v>3869</v>
      </c>
    </row>
    <row r="21" spans="1:3">
      <c r="A21" t="s">
        <v>1903</v>
      </c>
      <c r="B21" t="s">
        <v>1904</v>
      </c>
      <c r="C21" t="s">
        <v>3870</v>
      </c>
    </row>
    <row r="22" spans="1:3">
      <c r="A22" t="s">
        <v>1905</v>
      </c>
      <c r="B22" t="s">
        <v>1906</v>
      </c>
      <c r="C22" t="s">
        <v>3871</v>
      </c>
    </row>
    <row r="23" spans="1:3">
      <c r="A23" t="s">
        <v>1907</v>
      </c>
      <c r="B23" t="s">
        <v>1908</v>
      </c>
      <c r="C23" t="s">
        <v>3872</v>
      </c>
    </row>
    <row r="24" spans="1:3">
      <c r="A24" t="s">
        <v>1909</v>
      </c>
      <c r="B24" t="s">
        <v>1910</v>
      </c>
      <c r="C24" t="s">
        <v>3873</v>
      </c>
    </row>
    <row r="25" spans="1:3">
      <c r="A25" t="s">
        <v>1911</v>
      </c>
      <c r="B25" t="s">
        <v>1912</v>
      </c>
      <c r="C25" t="s">
        <v>3874</v>
      </c>
    </row>
    <row r="26" spans="1:3">
      <c r="A26" t="s">
        <v>1913</v>
      </c>
      <c r="C26" t="s">
        <v>3875</v>
      </c>
    </row>
    <row r="27" spans="1:3">
      <c r="A27" t="s">
        <v>1914</v>
      </c>
      <c r="B27" t="s">
        <v>1915</v>
      </c>
      <c r="C27" t="s">
        <v>3876</v>
      </c>
    </row>
    <row r="28" spans="1:3">
      <c r="A28" t="s">
        <v>1916</v>
      </c>
      <c r="B28" t="s">
        <v>1917</v>
      </c>
      <c r="C28" t="s">
        <v>3877</v>
      </c>
    </row>
    <row r="29" spans="1:3">
      <c r="A29" t="s">
        <v>1918</v>
      </c>
      <c r="B29" t="s">
        <v>1919</v>
      </c>
      <c r="C29" t="s">
        <v>3878</v>
      </c>
    </row>
    <row r="30" spans="1:3">
      <c r="A30" t="s">
        <v>1920</v>
      </c>
      <c r="B30" t="s">
        <v>1921</v>
      </c>
      <c r="C30" t="s">
        <v>3879</v>
      </c>
    </row>
    <row r="31" spans="1:3">
      <c r="A31" t="s">
        <v>1922</v>
      </c>
      <c r="B31" t="s">
        <v>1923</v>
      </c>
      <c r="C31" t="s">
        <v>3880</v>
      </c>
    </row>
    <row r="32" spans="1:3">
      <c r="A32" t="s">
        <v>1924</v>
      </c>
      <c r="B32" t="s">
        <v>1925</v>
      </c>
      <c r="C32" t="s">
        <v>3881</v>
      </c>
    </row>
    <row r="33" spans="1:3">
      <c r="A33" t="s">
        <v>1926</v>
      </c>
      <c r="B33" t="s">
        <v>1927</v>
      </c>
      <c r="C33" t="s">
        <v>3882</v>
      </c>
    </row>
    <row r="34" spans="1:3">
      <c r="A34" t="s">
        <v>1928</v>
      </c>
      <c r="B34" t="s">
        <v>1929</v>
      </c>
      <c r="C34" t="s">
        <v>3883</v>
      </c>
    </row>
    <row r="35" spans="1:3">
      <c r="A35" t="s">
        <v>1930</v>
      </c>
      <c r="B35" t="s">
        <v>1931</v>
      </c>
      <c r="C35" t="s">
        <v>3884</v>
      </c>
    </row>
    <row r="36" spans="1:3">
      <c r="A36" t="s">
        <v>1932</v>
      </c>
      <c r="B36" t="s">
        <v>1933</v>
      </c>
      <c r="C36" t="s">
        <v>3885</v>
      </c>
    </row>
    <row r="37" spans="1:3">
      <c r="A37" t="s">
        <v>1934</v>
      </c>
      <c r="B37" t="s">
        <v>1935</v>
      </c>
      <c r="C37" t="s">
        <v>3886</v>
      </c>
    </row>
    <row r="38" spans="1:3">
      <c r="A38" t="s">
        <v>1936</v>
      </c>
      <c r="B38" t="s">
        <v>1937</v>
      </c>
      <c r="C38" t="s">
        <v>3887</v>
      </c>
    </row>
    <row r="39" spans="1:3">
      <c r="A39" t="s">
        <v>1938</v>
      </c>
      <c r="B39" t="s">
        <v>1939</v>
      </c>
      <c r="C39" t="s">
        <v>3888</v>
      </c>
    </row>
    <row r="40" spans="1:3">
      <c r="A40" t="s">
        <v>1940</v>
      </c>
      <c r="B40" t="s">
        <v>1941</v>
      </c>
      <c r="C40" t="s">
        <v>3889</v>
      </c>
    </row>
    <row r="41" spans="1:3">
      <c r="A41" t="s">
        <v>1942</v>
      </c>
      <c r="B41" t="s">
        <v>1943</v>
      </c>
      <c r="C41" t="s">
        <v>3890</v>
      </c>
    </row>
    <row r="42" spans="1:3">
      <c r="A42" t="s">
        <v>1944</v>
      </c>
      <c r="B42" t="s">
        <v>1945</v>
      </c>
      <c r="C42" t="s">
        <v>3891</v>
      </c>
    </row>
    <row r="43" spans="1:3">
      <c r="A43" t="s">
        <v>1946</v>
      </c>
      <c r="B43" t="s">
        <v>1947</v>
      </c>
      <c r="C43" t="s">
        <v>3892</v>
      </c>
    </row>
    <row r="44" spans="1:3">
      <c r="A44" t="s">
        <v>1948</v>
      </c>
      <c r="B44" t="s">
        <v>1949</v>
      </c>
      <c r="C44" t="s">
        <v>3893</v>
      </c>
    </row>
    <row r="45" spans="1:3">
      <c r="A45" t="s">
        <v>1950</v>
      </c>
      <c r="B45" t="s">
        <v>1951</v>
      </c>
      <c r="C45" t="s">
        <v>3894</v>
      </c>
    </row>
    <row r="46" spans="1:3">
      <c r="A46" t="s">
        <v>1952</v>
      </c>
      <c r="B46" t="s">
        <v>1953</v>
      </c>
      <c r="C46" t="s">
        <v>3895</v>
      </c>
    </row>
    <row r="47" spans="1:3">
      <c r="A47" t="s">
        <v>1954</v>
      </c>
      <c r="B47" t="s">
        <v>1955</v>
      </c>
      <c r="C47" t="s">
        <v>3896</v>
      </c>
    </row>
    <row r="48" spans="1:3">
      <c r="A48" t="s">
        <v>1956</v>
      </c>
      <c r="B48" t="s">
        <v>1957</v>
      </c>
      <c r="C48" t="s">
        <v>3897</v>
      </c>
    </row>
    <row r="49" spans="1:3">
      <c r="A49" t="s">
        <v>1958</v>
      </c>
      <c r="B49" t="s">
        <v>1959</v>
      </c>
      <c r="C49" t="s">
        <v>3898</v>
      </c>
    </row>
    <row r="50" spans="1:3">
      <c r="A50" t="s">
        <v>1960</v>
      </c>
      <c r="B50" t="s">
        <v>1961</v>
      </c>
      <c r="C50" t="s">
        <v>3899</v>
      </c>
    </row>
    <row r="51" spans="1:3">
      <c r="A51" t="s">
        <v>1962</v>
      </c>
      <c r="B51" t="s">
        <v>1963</v>
      </c>
      <c r="C51" t="s">
        <v>3900</v>
      </c>
    </row>
    <row r="52" spans="1:3">
      <c r="A52" t="s">
        <v>1964</v>
      </c>
      <c r="B52" t="s">
        <v>1965</v>
      </c>
      <c r="C52" t="s">
        <v>3901</v>
      </c>
    </row>
    <row r="53" spans="1:3">
      <c r="A53" t="s">
        <v>1966</v>
      </c>
      <c r="B53" t="s">
        <v>1967</v>
      </c>
      <c r="C53" t="s">
        <v>3902</v>
      </c>
    </row>
    <row r="54" spans="1:3">
      <c r="A54" t="s">
        <v>1968</v>
      </c>
      <c r="B54" t="s">
        <v>1969</v>
      </c>
      <c r="C54" t="s">
        <v>3903</v>
      </c>
    </row>
    <row r="55" spans="1:3">
      <c r="A55" t="s">
        <v>1970</v>
      </c>
      <c r="B55" t="s">
        <v>1971</v>
      </c>
      <c r="C55" t="s">
        <v>3904</v>
      </c>
    </row>
    <row r="56" spans="1:3">
      <c r="A56" t="s">
        <v>1972</v>
      </c>
      <c r="B56" t="s">
        <v>1973</v>
      </c>
      <c r="C56" t="s">
        <v>3905</v>
      </c>
    </row>
    <row r="57" spans="1:3">
      <c r="A57" t="s">
        <v>1974</v>
      </c>
      <c r="B57" t="s">
        <v>1975</v>
      </c>
      <c r="C57" t="s">
        <v>3906</v>
      </c>
    </row>
    <row r="58" spans="1:3">
      <c r="A58" t="s">
        <v>1976</v>
      </c>
      <c r="B58" t="s">
        <v>1977</v>
      </c>
      <c r="C58" t="s">
        <v>3907</v>
      </c>
    </row>
    <row r="59" spans="1:3">
      <c r="A59" t="s">
        <v>1978</v>
      </c>
      <c r="B59" t="s">
        <v>1979</v>
      </c>
      <c r="C59" t="s">
        <v>3908</v>
      </c>
    </row>
    <row r="60" spans="1:3">
      <c r="A60" t="s">
        <v>1980</v>
      </c>
      <c r="B60" t="s">
        <v>1981</v>
      </c>
      <c r="C60" t="s">
        <v>3909</v>
      </c>
    </row>
    <row r="61" spans="1:3">
      <c r="A61" t="s">
        <v>1982</v>
      </c>
      <c r="B61" t="s">
        <v>1983</v>
      </c>
      <c r="C61" t="s">
        <v>3910</v>
      </c>
    </row>
    <row r="62" spans="1:3">
      <c r="A62" t="s">
        <v>1984</v>
      </c>
      <c r="B62" t="s">
        <v>1985</v>
      </c>
      <c r="C62" t="s">
        <v>3911</v>
      </c>
    </row>
    <row r="63" spans="1:3">
      <c r="A63" t="s">
        <v>1986</v>
      </c>
      <c r="B63" t="s">
        <v>1987</v>
      </c>
      <c r="C63" t="s">
        <v>3912</v>
      </c>
    </row>
    <row r="64" spans="1:3">
      <c r="A64" t="s">
        <v>1988</v>
      </c>
      <c r="B64" t="s">
        <v>1989</v>
      </c>
      <c r="C64" t="s">
        <v>3913</v>
      </c>
    </row>
    <row r="65" spans="1:3">
      <c r="A65" t="s">
        <v>1990</v>
      </c>
      <c r="B65" t="s">
        <v>1991</v>
      </c>
      <c r="C65" t="s">
        <v>3914</v>
      </c>
    </row>
    <row r="66" spans="1:3">
      <c r="A66" t="s">
        <v>1992</v>
      </c>
      <c r="B66" t="s">
        <v>1993</v>
      </c>
      <c r="C66" t="s">
        <v>3915</v>
      </c>
    </row>
    <row r="67" spans="1:3">
      <c r="A67" t="s">
        <v>1994</v>
      </c>
      <c r="B67" t="s">
        <v>1995</v>
      </c>
      <c r="C67" t="s">
        <v>3916</v>
      </c>
    </row>
    <row r="68" spans="1:3">
      <c r="A68" t="s">
        <v>1996</v>
      </c>
      <c r="B68" t="s">
        <v>1997</v>
      </c>
      <c r="C68" t="s">
        <v>3917</v>
      </c>
    </row>
    <row r="69" spans="1:3">
      <c r="A69" t="s">
        <v>1998</v>
      </c>
      <c r="B69" t="s">
        <v>1999</v>
      </c>
      <c r="C69" t="s">
        <v>3918</v>
      </c>
    </row>
    <row r="70" spans="1:3">
      <c r="A70" t="s">
        <v>2000</v>
      </c>
      <c r="B70" t="s">
        <v>2001</v>
      </c>
      <c r="C70" t="s">
        <v>3919</v>
      </c>
    </row>
    <row r="71" spans="1:3">
      <c r="A71" t="s">
        <v>2002</v>
      </c>
      <c r="B71" t="s">
        <v>2003</v>
      </c>
      <c r="C71" t="s">
        <v>3920</v>
      </c>
    </row>
    <row r="72" spans="1:3">
      <c r="A72" t="s">
        <v>2004</v>
      </c>
      <c r="B72" t="s">
        <v>2005</v>
      </c>
      <c r="C72" t="s">
        <v>3921</v>
      </c>
    </row>
    <row r="73" spans="1:3">
      <c r="A73" t="s">
        <v>2006</v>
      </c>
      <c r="B73" t="s">
        <v>2007</v>
      </c>
      <c r="C73" t="s">
        <v>3922</v>
      </c>
    </row>
    <row r="74" spans="1:3">
      <c r="A74" t="s">
        <v>2008</v>
      </c>
      <c r="B74" t="s">
        <v>2009</v>
      </c>
      <c r="C74" t="s">
        <v>3923</v>
      </c>
    </row>
    <row r="75" spans="1:3">
      <c r="A75" t="s">
        <v>2010</v>
      </c>
      <c r="B75" t="s">
        <v>2011</v>
      </c>
      <c r="C75" t="s">
        <v>3924</v>
      </c>
    </row>
    <row r="76" spans="1:3">
      <c r="A76" t="s">
        <v>2012</v>
      </c>
      <c r="B76" t="s">
        <v>2013</v>
      </c>
      <c r="C76" t="s">
        <v>3925</v>
      </c>
    </row>
    <row r="77" spans="1:3">
      <c r="A77" t="s">
        <v>2014</v>
      </c>
      <c r="B77" t="s">
        <v>2015</v>
      </c>
      <c r="C77" t="s">
        <v>3926</v>
      </c>
    </row>
    <row r="78" spans="1:3">
      <c r="A78" t="s">
        <v>2016</v>
      </c>
      <c r="B78" t="s">
        <v>2017</v>
      </c>
      <c r="C78" t="s">
        <v>3927</v>
      </c>
    </row>
    <row r="79" spans="1:3">
      <c r="A79" t="s">
        <v>2018</v>
      </c>
      <c r="B79" t="s">
        <v>2019</v>
      </c>
      <c r="C79" t="s">
        <v>3928</v>
      </c>
    </row>
    <row r="80" spans="1:3">
      <c r="A80" t="s">
        <v>2020</v>
      </c>
      <c r="B80" t="s">
        <v>2021</v>
      </c>
      <c r="C80" t="s">
        <v>3929</v>
      </c>
    </row>
    <row r="81" spans="1:3">
      <c r="A81" t="s">
        <v>2022</v>
      </c>
      <c r="B81" t="s">
        <v>2023</v>
      </c>
      <c r="C81" t="s">
        <v>3930</v>
      </c>
    </row>
    <row r="82" spans="1:3">
      <c r="A82" t="s">
        <v>2024</v>
      </c>
      <c r="B82" t="s">
        <v>2025</v>
      </c>
      <c r="C82" t="s">
        <v>3931</v>
      </c>
    </row>
    <row r="83" spans="1:3">
      <c r="A83" t="s">
        <v>2026</v>
      </c>
      <c r="B83" t="s">
        <v>2027</v>
      </c>
      <c r="C83" t="s">
        <v>3932</v>
      </c>
    </row>
    <row r="84" spans="1:3">
      <c r="A84" t="s">
        <v>2028</v>
      </c>
      <c r="B84" t="s">
        <v>2029</v>
      </c>
      <c r="C84" t="s">
        <v>3933</v>
      </c>
    </row>
    <row r="85" spans="1:3">
      <c r="A85" t="s">
        <v>2030</v>
      </c>
      <c r="B85" t="s">
        <v>2031</v>
      </c>
      <c r="C85" t="s">
        <v>3934</v>
      </c>
    </row>
    <row r="86" spans="1:3">
      <c r="A86" t="s">
        <v>2032</v>
      </c>
      <c r="B86" t="s">
        <v>2033</v>
      </c>
      <c r="C86" t="s">
        <v>3935</v>
      </c>
    </row>
    <row r="87" spans="1:3">
      <c r="A87" t="s">
        <v>2034</v>
      </c>
      <c r="B87" t="s">
        <v>2035</v>
      </c>
      <c r="C87" t="s">
        <v>3936</v>
      </c>
    </row>
    <row r="88" spans="1:3">
      <c r="A88" t="s">
        <v>2036</v>
      </c>
      <c r="B88" t="s">
        <v>2037</v>
      </c>
      <c r="C88" t="s">
        <v>3937</v>
      </c>
    </row>
    <row r="89" spans="1:3">
      <c r="A89" t="s">
        <v>2038</v>
      </c>
      <c r="B89" t="s">
        <v>2039</v>
      </c>
      <c r="C89" t="s">
        <v>3938</v>
      </c>
    </row>
    <row r="90" spans="1:3">
      <c r="A90" t="s">
        <v>2040</v>
      </c>
      <c r="B90" t="s">
        <v>2041</v>
      </c>
      <c r="C90" t="s">
        <v>3939</v>
      </c>
    </row>
    <row r="91" spans="1:3">
      <c r="A91" t="s">
        <v>2042</v>
      </c>
      <c r="B91" t="s">
        <v>2043</v>
      </c>
      <c r="C91" t="s">
        <v>3940</v>
      </c>
    </row>
    <row r="92" spans="1:3">
      <c r="A92" t="s">
        <v>2044</v>
      </c>
      <c r="B92" t="s">
        <v>2045</v>
      </c>
      <c r="C92" t="s">
        <v>3941</v>
      </c>
    </row>
    <row r="93" spans="1:3">
      <c r="A93" t="s">
        <v>2046</v>
      </c>
      <c r="B93" t="s">
        <v>2047</v>
      </c>
      <c r="C93" t="s">
        <v>3942</v>
      </c>
    </row>
    <row r="94" spans="1:3">
      <c r="A94" t="s">
        <v>2048</v>
      </c>
      <c r="B94" t="s">
        <v>2049</v>
      </c>
      <c r="C94" t="s">
        <v>3943</v>
      </c>
    </row>
    <row r="95" spans="1:3">
      <c r="A95" t="s">
        <v>2050</v>
      </c>
      <c r="B95" t="s">
        <v>2051</v>
      </c>
      <c r="C95" t="s">
        <v>3944</v>
      </c>
    </row>
    <row r="96" spans="1:3">
      <c r="A96" t="s">
        <v>2052</v>
      </c>
      <c r="B96" t="s">
        <v>2053</v>
      </c>
      <c r="C96" t="s">
        <v>3945</v>
      </c>
    </row>
    <row r="97" spans="1:3">
      <c r="A97" t="s">
        <v>2054</v>
      </c>
      <c r="B97" t="s">
        <v>2055</v>
      </c>
      <c r="C97" t="s">
        <v>3946</v>
      </c>
    </row>
    <row r="98" spans="1:3">
      <c r="A98" t="s">
        <v>2056</v>
      </c>
      <c r="B98" t="s">
        <v>2057</v>
      </c>
      <c r="C98" t="s">
        <v>3947</v>
      </c>
    </row>
    <row r="99" spans="1:3">
      <c r="A99" t="s">
        <v>2058</v>
      </c>
      <c r="B99" t="s">
        <v>2059</v>
      </c>
      <c r="C99" t="s">
        <v>3948</v>
      </c>
    </row>
    <row r="100" spans="1:3">
      <c r="A100" t="s">
        <v>2060</v>
      </c>
      <c r="B100" t="s">
        <v>2061</v>
      </c>
      <c r="C100" t="s">
        <v>3949</v>
      </c>
    </row>
    <row r="101" spans="1:3">
      <c r="A101" t="s">
        <v>2062</v>
      </c>
      <c r="B101" t="s">
        <v>2063</v>
      </c>
      <c r="C101" t="s">
        <v>3950</v>
      </c>
    </row>
    <row r="102" spans="1:3">
      <c r="A102" t="s">
        <v>2064</v>
      </c>
      <c r="B102" t="s">
        <v>2065</v>
      </c>
      <c r="C102" t="s">
        <v>3951</v>
      </c>
    </row>
    <row r="103" spans="1:3">
      <c r="A103" t="s">
        <v>2066</v>
      </c>
      <c r="B103" t="s">
        <v>2067</v>
      </c>
      <c r="C103" t="s">
        <v>3952</v>
      </c>
    </row>
    <row r="104" spans="1:3">
      <c r="A104" t="s">
        <v>2068</v>
      </c>
      <c r="B104" t="s">
        <v>2069</v>
      </c>
      <c r="C104" t="s">
        <v>3953</v>
      </c>
    </row>
    <row r="105" spans="1:3">
      <c r="A105" t="s">
        <v>2070</v>
      </c>
      <c r="B105" t="s">
        <v>2071</v>
      </c>
      <c r="C105" t="s">
        <v>3954</v>
      </c>
    </row>
    <row r="106" spans="1:3">
      <c r="A106" t="s">
        <v>2072</v>
      </c>
      <c r="B106" t="s">
        <v>2073</v>
      </c>
      <c r="C106" t="s">
        <v>3955</v>
      </c>
    </row>
    <row r="107" spans="1:3">
      <c r="A107" t="s">
        <v>2074</v>
      </c>
      <c r="B107" t="s">
        <v>2075</v>
      </c>
      <c r="C107" t="s">
        <v>3956</v>
      </c>
    </row>
    <row r="108" spans="1:3">
      <c r="A108" t="s">
        <v>2076</v>
      </c>
      <c r="B108" t="s">
        <v>2077</v>
      </c>
      <c r="C108" t="s">
        <v>3957</v>
      </c>
    </row>
    <row r="109" spans="1:3">
      <c r="A109" t="s">
        <v>2078</v>
      </c>
      <c r="B109" t="s">
        <v>2079</v>
      </c>
      <c r="C109" t="s">
        <v>3958</v>
      </c>
    </row>
    <row r="110" spans="1:3">
      <c r="A110" t="s">
        <v>2080</v>
      </c>
      <c r="B110" t="s">
        <v>2081</v>
      </c>
      <c r="C110" t="s">
        <v>3959</v>
      </c>
    </row>
    <row r="111" spans="1:3">
      <c r="A111" t="s">
        <v>2082</v>
      </c>
      <c r="B111" t="s">
        <v>2083</v>
      </c>
      <c r="C111" t="s">
        <v>3960</v>
      </c>
    </row>
    <row r="112" spans="1:3">
      <c r="A112" t="s">
        <v>2084</v>
      </c>
      <c r="B112" t="s">
        <v>2085</v>
      </c>
      <c r="C112" t="s">
        <v>3961</v>
      </c>
    </row>
    <row r="113" spans="1:3">
      <c r="A113" t="s">
        <v>2086</v>
      </c>
      <c r="B113" t="s">
        <v>2087</v>
      </c>
      <c r="C113" t="s">
        <v>3962</v>
      </c>
    </row>
    <row r="114" spans="1:3">
      <c r="A114" t="s">
        <v>2088</v>
      </c>
      <c r="B114" t="s">
        <v>2089</v>
      </c>
      <c r="C114" t="s">
        <v>3963</v>
      </c>
    </row>
    <row r="115" spans="1:3">
      <c r="A115" t="s">
        <v>2090</v>
      </c>
      <c r="B115" t="s">
        <v>2091</v>
      </c>
      <c r="C115" t="s">
        <v>3964</v>
      </c>
    </row>
    <row r="116" spans="1:3">
      <c r="A116" t="s">
        <v>2092</v>
      </c>
      <c r="B116" t="s">
        <v>2093</v>
      </c>
      <c r="C116" t="s">
        <v>3965</v>
      </c>
    </row>
    <row r="117" spans="1:3">
      <c r="A117" t="s">
        <v>2094</v>
      </c>
      <c r="B117" t="s">
        <v>2095</v>
      </c>
      <c r="C117" t="s">
        <v>3966</v>
      </c>
    </row>
    <row r="118" spans="1:3">
      <c r="A118" t="s">
        <v>2096</v>
      </c>
      <c r="B118" t="s">
        <v>2097</v>
      </c>
      <c r="C118" t="s">
        <v>3967</v>
      </c>
    </row>
    <row r="119" spans="1:3">
      <c r="A119" t="s">
        <v>2098</v>
      </c>
      <c r="B119" t="s">
        <v>2099</v>
      </c>
      <c r="C119" t="s">
        <v>3968</v>
      </c>
    </row>
    <row r="120" spans="1:3">
      <c r="A120" t="s">
        <v>2100</v>
      </c>
      <c r="B120" t="s">
        <v>2101</v>
      </c>
      <c r="C120" t="s">
        <v>3969</v>
      </c>
    </row>
    <row r="121" spans="1:3">
      <c r="A121" t="s">
        <v>2102</v>
      </c>
      <c r="B121" t="s">
        <v>2103</v>
      </c>
      <c r="C121" t="s">
        <v>3970</v>
      </c>
    </row>
    <row r="122" spans="1:3">
      <c r="A122" t="s">
        <v>2104</v>
      </c>
      <c r="B122" t="s">
        <v>2105</v>
      </c>
      <c r="C122" t="s">
        <v>3971</v>
      </c>
    </row>
    <row r="123" spans="1:3">
      <c r="A123" t="s">
        <v>2106</v>
      </c>
      <c r="B123" t="s">
        <v>2107</v>
      </c>
      <c r="C123" t="s">
        <v>3972</v>
      </c>
    </row>
    <row r="124" spans="1:3">
      <c r="A124" t="s">
        <v>2108</v>
      </c>
      <c r="B124" t="s">
        <v>2109</v>
      </c>
      <c r="C124" t="s">
        <v>3973</v>
      </c>
    </row>
    <row r="125" spans="1:3">
      <c r="A125" t="s">
        <v>2110</v>
      </c>
      <c r="B125" t="s">
        <v>2111</v>
      </c>
      <c r="C125" t="s">
        <v>3974</v>
      </c>
    </row>
    <row r="126" spans="1:3">
      <c r="A126" t="s">
        <v>2112</v>
      </c>
      <c r="B126" t="s">
        <v>2113</v>
      </c>
      <c r="C126" t="s">
        <v>3975</v>
      </c>
    </row>
    <row r="127" spans="1:3">
      <c r="A127" t="s">
        <v>2114</v>
      </c>
      <c r="B127" t="s">
        <v>2115</v>
      </c>
      <c r="C127" t="s">
        <v>3976</v>
      </c>
    </row>
    <row r="128" spans="1:3">
      <c r="A128" t="s">
        <v>2116</v>
      </c>
      <c r="B128" t="s">
        <v>2117</v>
      </c>
      <c r="C128" t="s">
        <v>3977</v>
      </c>
    </row>
    <row r="129" spans="1:3">
      <c r="A129" t="s">
        <v>2118</v>
      </c>
      <c r="B129" t="s">
        <v>2119</v>
      </c>
      <c r="C129" t="s">
        <v>3978</v>
      </c>
    </row>
    <row r="130" spans="1:3">
      <c r="A130" t="s">
        <v>2120</v>
      </c>
      <c r="B130" t="s">
        <v>2121</v>
      </c>
      <c r="C130" t="s">
        <v>3979</v>
      </c>
    </row>
    <row r="131" spans="1:3">
      <c r="A131" t="s">
        <v>2122</v>
      </c>
      <c r="B131" t="s">
        <v>2123</v>
      </c>
      <c r="C131" t="s">
        <v>3980</v>
      </c>
    </row>
    <row r="132" spans="1:3">
      <c r="A132" t="s">
        <v>2124</v>
      </c>
      <c r="B132" t="s">
        <v>2125</v>
      </c>
      <c r="C132" t="s">
        <v>3981</v>
      </c>
    </row>
    <row r="133" spans="1:3">
      <c r="A133" t="s">
        <v>2126</v>
      </c>
      <c r="B133" t="s">
        <v>2127</v>
      </c>
      <c r="C133" t="s">
        <v>3982</v>
      </c>
    </row>
    <row r="134" spans="1:3">
      <c r="A134" t="s">
        <v>2128</v>
      </c>
      <c r="B134" t="s">
        <v>2129</v>
      </c>
      <c r="C134" t="s">
        <v>3983</v>
      </c>
    </row>
    <row r="135" spans="1:3">
      <c r="A135" t="s">
        <v>2130</v>
      </c>
      <c r="B135" t="s">
        <v>2131</v>
      </c>
      <c r="C135" t="s">
        <v>3984</v>
      </c>
    </row>
    <row r="136" spans="1:3">
      <c r="A136" t="s">
        <v>2132</v>
      </c>
      <c r="B136" t="s">
        <v>2133</v>
      </c>
      <c r="C136" t="s">
        <v>3985</v>
      </c>
    </row>
    <row r="137" spans="1:3">
      <c r="A137" t="s">
        <v>2134</v>
      </c>
      <c r="B137" t="s">
        <v>2135</v>
      </c>
      <c r="C137" t="s">
        <v>3986</v>
      </c>
    </row>
    <row r="138" spans="1:3">
      <c r="A138" t="s">
        <v>2136</v>
      </c>
      <c r="B138" t="s">
        <v>2137</v>
      </c>
      <c r="C138" t="s">
        <v>3987</v>
      </c>
    </row>
    <row r="139" spans="1:3">
      <c r="A139" t="s">
        <v>2138</v>
      </c>
      <c r="B139" t="s">
        <v>2139</v>
      </c>
      <c r="C139" t="s">
        <v>3988</v>
      </c>
    </row>
    <row r="140" spans="1:3">
      <c r="A140" t="s">
        <v>2140</v>
      </c>
      <c r="B140" t="s">
        <v>2141</v>
      </c>
      <c r="C140" t="s">
        <v>3989</v>
      </c>
    </row>
    <row r="141" spans="1:3">
      <c r="A141" t="s">
        <v>2142</v>
      </c>
      <c r="B141" t="s">
        <v>2143</v>
      </c>
      <c r="C141" t="s">
        <v>3990</v>
      </c>
    </row>
    <row r="142" spans="1:3">
      <c r="A142" t="s">
        <v>2144</v>
      </c>
      <c r="B142" t="s">
        <v>2145</v>
      </c>
      <c r="C142" t="s">
        <v>3991</v>
      </c>
    </row>
    <row r="143" spans="1:3">
      <c r="A143" t="s">
        <v>2146</v>
      </c>
      <c r="B143" t="s">
        <v>2147</v>
      </c>
      <c r="C143" t="s">
        <v>3992</v>
      </c>
    </row>
    <row r="144" spans="1:3">
      <c r="A144" t="s">
        <v>2148</v>
      </c>
      <c r="B144" t="s">
        <v>2149</v>
      </c>
      <c r="C144" t="s">
        <v>3993</v>
      </c>
    </row>
    <row r="145" spans="1:3">
      <c r="A145" t="s">
        <v>2150</v>
      </c>
      <c r="B145" t="s">
        <v>2151</v>
      </c>
      <c r="C145" t="s">
        <v>3994</v>
      </c>
    </row>
    <row r="146" spans="1:3">
      <c r="A146" t="s">
        <v>2152</v>
      </c>
      <c r="B146" t="s">
        <v>2153</v>
      </c>
      <c r="C146" t="s">
        <v>3995</v>
      </c>
    </row>
    <row r="147" spans="1:3">
      <c r="A147" t="s">
        <v>2154</v>
      </c>
      <c r="B147" t="s">
        <v>2155</v>
      </c>
      <c r="C147" t="s">
        <v>3996</v>
      </c>
    </row>
    <row r="148" spans="1:3">
      <c r="A148" t="s">
        <v>2156</v>
      </c>
      <c r="B148" t="s">
        <v>2157</v>
      </c>
      <c r="C148" t="s">
        <v>3997</v>
      </c>
    </row>
    <row r="149" spans="1:3">
      <c r="A149" t="s">
        <v>2158</v>
      </c>
      <c r="B149" t="s">
        <v>2159</v>
      </c>
      <c r="C149" t="s">
        <v>3998</v>
      </c>
    </row>
    <row r="150" spans="1:3">
      <c r="A150" t="s">
        <v>2160</v>
      </c>
      <c r="B150" t="s">
        <v>2161</v>
      </c>
      <c r="C150" t="s">
        <v>3999</v>
      </c>
    </row>
    <row r="151" spans="1:3">
      <c r="A151" t="s">
        <v>2162</v>
      </c>
      <c r="B151" t="s">
        <v>2163</v>
      </c>
      <c r="C151" t="s">
        <v>4000</v>
      </c>
    </row>
    <row r="152" spans="1:3">
      <c r="A152" t="s">
        <v>2164</v>
      </c>
      <c r="B152" t="s">
        <v>2165</v>
      </c>
      <c r="C152" t="s">
        <v>4001</v>
      </c>
    </row>
    <row r="153" spans="1:3">
      <c r="A153" t="s">
        <v>2166</v>
      </c>
      <c r="B153" t="s">
        <v>2167</v>
      </c>
      <c r="C153" t="s">
        <v>4002</v>
      </c>
    </row>
    <row r="154" spans="1:3">
      <c r="A154" t="s">
        <v>2168</v>
      </c>
      <c r="B154" t="s">
        <v>2169</v>
      </c>
      <c r="C154" t="s">
        <v>4003</v>
      </c>
    </row>
    <row r="155" spans="1:3">
      <c r="A155" t="s">
        <v>2170</v>
      </c>
      <c r="B155" t="s">
        <v>2171</v>
      </c>
      <c r="C155" t="s">
        <v>4004</v>
      </c>
    </row>
    <row r="156" spans="1:3">
      <c r="A156" t="s">
        <v>2172</v>
      </c>
      <c r="B156" t="s">
        <v>2173</v>
      </c>
      <c r="C156" t="s">
        <v>4005</v>
      </c>
    </row>
    <row r="157" spans="1:3">
      <c r="A157" t="s">
        <v>2174</v>
      </c>
      <c r="B157" t="s">
        <v>2175</v>
      </c>
      <c r="C157" t="s">
        <v>4006</v>
      </c>
    </row>
    <row r="158" spans="1:3">
      <c r="A158" t="s">
        <v>2176</v>
      </c>
      <c r="B158" t="s">
        <v>2177</v>
      </c>
      <c r="C158" t="s">
        <v>4007</v>
      </c>
    </row>
    <row r="159" spans="1:3">
      <c r="A159" t="s">
        <v>2178</v>
      </c>
      <c r="B159" t="s">
        <v>2179</v>
      </c>
      <c r="C159" t="s">
        <v>4008</v>
      </c>
    </row>
    <row r="160" spans="1:3">
      <c r="A160" t="s">
        <v>2180</v>
      </c>
      <c r="B160" t="s">
        <v>2181</v>
      </c>
      <c r="C160" t="s">
        <v>4009</v>
      </c>
    </row>
    <row r="161" spans="1:3">
      <c r="A161" t="s">
        <v>2182</v>
      </c>
      <c r="B161" t="s">
        <v>2183</v>
      </c>
      <c r="C161" t="s">
        <v>4010</v>
      </c>
    </row>
    <row r="162" spans="1:3">
      <c r="A162" t="s">
        <v>2184</v>
      </c>
      <c r="B162" t="s">
        <v>2185</v>
      </c>
      <c r="C162" t="s">
        <v>4011</v>
      </c>
    </row>
    <row r="163" spans="1:3">
      <c r="A163" t="s">
        <v>2186</v>
      </c>
      <c r="B163" t="s">
        <v>2187</v>
      </c>
      <c r="C163" t="s">
        <v>4012</v>
      </c>
    </row>
    <row r="164" spans="1:3">
      <c r="A164" t="s">
        <v>2188</v>
      </c>
      <c r="B164" t="s">
        <v>2189</v>
      </c>
      <c r="C164" t="s">
        <v>4013</v>
      </c>
    </row>
    <row r="165" spans="1:3">
      <c r="A165" t="s">
        <v>2190</v>
      </c>
      <c r="B165" t="s">
        <v>2191</v>
      </c>
      <c r="C165" t="s">
        <v>4014</v>
      </c>
    </row>
    <row r="166" spans="1:3">
      <c r="A166" t="s">
        <v>2192</v>
      </c>
      <c r="B166" t="s">
        <v>2193</v>
      </c>
      <c r="C166" t="s">
        <v>4015</v>
      </c>
    </row>
    <row r="167" spans="1:3">
      <c r="A167" t="s">
        <v>2194</v>
      </c>
      <c r="B167" t="s">
        <v>2195</v>
      </c>
      <c r="C167" t="s">
        <v>4016</v>
      </c>
    </row>
    <row r="168" spans="1:3">
      <c r="A168" t="s">
        <v>2196</v>
      </c>
      <c r="B168" t="s">
        <v>2197</v>
      </c>
      <c r="C168" t="s">
        <v>4017</v>
      </c>
    </row>
    <row r="169" spans="1:3">
      <c r="A169" t="s">
        <v>2198</v>
      </c>
      <c r="B169" t="s">
        <v>2199</v>
      </c>
      <c r="C169" t="s">
        <v>4018</v>
      </c>
    </row>
    <row r="170" spans="1:3">
      <c r="A170" t="s">
        <v>2200</v>
      </c>
      <c r="B170" t="s">
        <v>2201</v>
      </c>
      <c r="C170" t="s">
        <v>4019</v>
      </c>
    </row>
    <row r="171" spans="1:3">
      <c r="A171" t="s">
        <v>2202</v>
      </c>
      <c r="B171" t="s">
        <v>2203</v>
      </c>
      <c r="C171" t="s">
        <v>4020</v>
      </c>
    </row>
    <row r="172" spans="1:3">
      <c r="A172" t="s">
        <v>2204</v>
      </c>
      <c r="B172" t="s">
        <v>2205</v>
      </c>
      <c r="C172" t="s">
        <v>4021</v>
      </c>
    </row>
    <row r="173" spans="1:3">
      <c r="A173" t="s">
        <v>2206</v>
      </c>
      <c r="B173" t="s">
        <v>2207</v>
      </c>
      <c r="C173" t="s">
        <v>4022</v>
      </c>
    </row>
    <row r="174" spans="1:3">
      <c r="A174" t="s">
        <v>2208</v>
      </c>
      <c r="B174" t="s">
        <v>2209</v>
      </c>
      <c r="C174" t="s">
        <v>4023</v>
      </c>
    </row>
    <row r="175" spans="1:3">
      <c r="A175" t="s">
        <v>2210</v>
      </c>
      <c r="B175" t="s">
        <v>2211</v>
      </c>
      <c r="C175" t="s">
        <v>4024</v>
      </c>
    </row>
    <row r="176" spans="1:3">
      <c r="A176" t="s">
        <v>2212</v>
      </c>
      <c r="B176" t="s">
        <v>2213</v>
      </c>
      <c r="C176" t="s">
        <v>4025</v>
      </c>
    </row>
    <row r="177" spans="1:3">
      <c r="A177" t="s">
        <v>2214</v>
      </c>
      <c r="B177" t="s">
        <v>2215</v>
      </c>
      <c r="C177" t="s">
        <v>4026</v>
      </c>
    </row>
    <row r="178" spans="1:3">
      <c r="A178" t="s">
        <v>2216</v>
      </c>
      <c r="B178" t="s">
        <v>2217</v>
      </c>
      <c r="C178" t="s">
        <v>4027</v>
      </c>
    </row>
    <row r="179" spans="1:3">
      <c r="A179" t="s">
        <v>2218</v>
      </c>
      <c r="B179" t="s">
        <v>2219</v>
      </c>
      <c r="C179" t="s">
        <v>4028</v>
      </c>
    </row>
    <row r="180" spans="1:3">
      <c r="A180" t="s">
        <v>2220</v>
      </c>
      <c r="B180" t="s">
        <v>2221</v>
      </c>
      <c r="C180" t="s">
        <v>4029</v>
      </c>
    </row>
    <row r="181" spans="1:3">
      <c r="A181" t="s">
        <v>2222</v>
      </c>
      <c r="B181" t="s">
        <v>2223</v>
      </c>
      <c r="C181" t="s">
        <v>4030</v>
      </c>
    </row>
    <row r="182" spans="1:3">
      <c r="A182" t="s">
        <v>2224</v>
      </c>
      <c r="B182" t="s">
        <v>2225</v>
      </c>
      <c r="C182" t="s">
        <v>4031</v>
      </c>
    </row>
    <row r="183" spans="1:3">
      <c r="A183" t="s">
        <v>2226</v>
      </c>
      <c r="B183" t="s">
        <v>2227</v>
      </c>
      <c r="C183" t="s">
        <v>4032</v>
      </c>
    </row>
    <row r="184" spans="1:3">
      <c r="A184" t="s">
        <v>2228</v>
      </c>
      <c r="B184" t="s">
        <v>2229</v>
      </c>
      <c r="C184" t="s">
        <v>4033</v>
      </c>
    </row>
    <row r="185" spans="1:3">
      <c r="A185" t="s">
        <v>2230</v>
      </c>
      <c r="B185" t="s">
        <v>2231</v>
      </c>
      <c r="C185" t="s">
        <v>4034</v>
      </c>
    </row>
    <row r="186" spans="1:3">
      <c r="A186" t="s">
        <v>2232</v>
      </c>
      <c r="B186" t="s">
        <v>2233</v>
      </c>
      <c r="C186" t="s">
        <v>4035</v>
      </c>
    </row>
    <row r="187" spans="1:3">
      <c r="A187" t="s">
        <v>2234</v>
      </c>
      <c r="B187" t="s">
        <v>2235</v>
      </c>
      <c r="C187" t="s">
        <v>4036</v>
      </c>
    </row>
    <row r="188" spans="1:3">
      <c r="A188" t="s">
        <v>2236</v>
      </c>
      <c r="B188" t="s">
        <v>2237</v>
      </c>
      <c r="C188" t="s">
        <v>4037</v>
      </c>
    </row>
    <row r="189" spans="1:3">
      <c r="A189" t="s">
        <v>2238</v>
      </c>
      <c r="B189" t="s">
        <v>2239</v>
      </c>
      <c r="C189" t="s">
        <v>4038</v>
      </c>
    </row>
    <row r="190" spans="1:3">
      <c r="A190" t="s">
        <v>2240</v>
      </c>
      <c r="B190" t="s">
        <v>2241</v>
      </c>
      <c r="C190" t="s">
        <v>4039</v>
      </c>
    </row>
    <row r="191" spans="1:3">
      <c r="A191" t="s">
        <v>2242</v>
      </c>
      <c r="B191" t="s">
        <v>2243</v>
      </c>
      <c r="C191" t="s">
        <v>4040</v>
      </c>
    </row>
    <row r="192" spans="1:3">
      <c r="A192" t="s">
        <v>2244</v>
      </c>
      <c r="B192" t="s">
        <v>2245</v>
      </c>
      <c r="C192" t="s">
        <v>4041</v>
      </c>
    </row>
    <row r="193" spans="1:3">
      <c r="A193" t="s">
        <v>2246</v>
      </c>
      <c r="B193" t="s">
        <v>2247</v>
      </c>
      <c r="C193" t="s">
        <v>4042</v>
      </c>
    </row>
    <row r="194" spans="1:3">
      <c r="A194" t="s">
        <v>2248</v>
      </c>
      <c r="B194" t="s">
        <v>2249</v>
      </c>
      <c r="C194" t="s">
        <v>4043</v>
      </c>
    </row>
    <row r="195" spans="1:3">
      <c r="A195" t="s">
        <v>2250</v>
      </c>
      <c r="B195" t="s">
        <v>2251</v>
      </c>
      <c r="C195" t="s">
        <v>4044</v>
      </c>
    </row>
    <row r="196" spans="1:3">
      <c r="A196" t="s">
        <v>2252</v>
      </c>
      <c r="B196" t="s">
        <v>2253</v>
      </c>
      <c r="C196" t="s">
        <v>4045</v>
      </c>
    </row>
    <row r="197" spans="1:3">
      <c r="A197" t="s">
        <v>2254</v>
      </c>
      <c r="B197" t="s">
        <v>2255</v>
      </c>
      <c r="C197" t="s">
        <v>4046</v>
      </c>
    </row>
    <row r="198" spans="1:3">
      <c r="A198" t="s">
        <v>2256</v>
      </c>
      <c r="B198" t="s">
        <v>2257</v>
      </c>
      <c r="C198" t="s">
        <v>4047</v>
      </c>
    </row>
    <row r="199" spans="1:3">
      <c r="A199" t="s">
        <v>2258</v>
      </c>
      <c r="B199" t="s">
        <v>2259</v>
      </c>
      <c r="C199" t="s">
        <v>4048</v>
      </c>
    </row>
    <row r="200" spans="1:3">
      <c r="A200" t="s">
        <v>2260</v>
      </c>
      <c r="B200" t="s">
        <v>2261</v>
      </c>
      <c r="C200" t="s">
        <v>4049</v>
      </c>
    </row>
    <row r="201" spans="1:3">
      <c r="A201" t="s">
        <v>2262</v>
      </c>
      <c r="B201" t="s">
        <v>2263</v>
      </c>
      <c r="C201" t="s">
        <v>4050</v>
      </c>
    </row>
    <row r="202" spans="1:3">
      <c r="A202" t="s">
        <v>2264</v>
      </c>
      <c r="B202" t="s">
        <v>2265</v>
      </c>
      <c r="C202" t="s">
        <v>4051</v>
      </c>
    </row>
    <row r="203" spans="1:3">
      <c r="A203" t="s">
        <v>2266</v>
      </c>
      <c r="B203" t="s">
        <v>2267</v>
      </c>
      <c r="C203" t="s">
        <v>4052</v>
      </c>
    </row>
    <row r="204" spans="1:3">
      <c r="A204" t="s">
        <v>2268</v>
      </c>
      <c r="B204" t="s">
        <v>2269</v>
      </c>
      <c r="C204" t="s">
        <v>4053</v>
      </c>
    </row>
    <row r="205" spans="1:3">
      <c r="A205" t="s">
        <v>2270</v>
      </c>
      <c r="B205" t="s">
        <v>2271</v>
      </c>
      <c r="C205" t="s">
        <v>4054</v>
      </c>
    </row>
    <row r="206" spans="1:3">
      <c r="A206" t="s">
        <v>2272</v>
      </c>
      <c r="B206" t="s">
        <v>2273</v>
      </c>
      <c r="C206" t="s">
        <v>4055</v>
      </c>
    </row>
    <row r="207" spans="1:3">
      <c r="A207" t="s">
        <v>2274</v>
      </c>
      <c r="B207" t="s">
        <v>2275</v>
      </c>
      <c r="C207" t="s">
        <v>4056</v>
      </c>
    </row>
    <row r="208" spans="1:3">
      <c r="A208" t="s">
        <v>2276</v>
      </c>
      <c r="B208" t="s">
        <v>2277</v>
      </c>
      <c r="C208" t="s">
        <v>4057</v>
      </c>
    </row>
    <row r="209" spans="1:3">
      <c r="A209" t="s">
        <v>2278</v>
      </c>
      <c r="B209" t="s">
        <v>2279</v>
      </c>
      <c r="C209" t="s">
        <v>4058</v>
      </c>
    </row>
    <row r="210" spans="1:3">
      <c r="A210" t="s">
        <v>2280</v>
      </c>
      <c r="B210" t="s">
        <v>2281</v>
      </c>
      <c r="C210" t="s">
        <v>4059</v>
      </c>
    </row>
    <row r="211" spans="1:3">
      <c r="A211" t="s">
        <v>2282</v>
      </c>
      <c r="B211" t="s">
        <v>2283</v>
      </c>
      <c r="C211" t="s">
        <v>4060</v>
      </c>
    </row>
    <row r="212" spans="1:3">
      <c r="A212" t="s">
        <v>2284</v>
      </c>
      <c r="B212" t="s">
        <v>2285</v>
      </c>
      <c r="C212" t="s">
        <v>4061</v>
      </c>
    </row>
    <row r="213" spans="1:3">
      <c r="A213" t="s">
        <v>2286</v>
      </c>
      <c r="B213" t="s">
        <v>2287</v>
      </c>
      <c r="C213" t="s">
        <v>4062</v>
      </c>
    </row>
    <row r="214" spans="1:3">
      <c r="A214" t="s">
        <v>2288</v>
      </c>
      <c r="B214" t="s">
        <v>2289</v>
      </c>
      <c r="C214" t="s">
        <v>4063</v>
      </c>
    </row>
    <row r="215" spans="1:3">
      <c r="A215" t="s">
        <v>2290</v>
      </c>
      <c r="B215" t="s">
        <v>2291</v>
      </c>
      <c r="C215" t="s">
        <v>4064</v>
      </c>
    </row>
    <row r="216" spans="1:3">
      <c r="A216" t="s">
        <v>2292</v>
      </c>
      <c r="B216" t="s">
        <v>2293</v>
      </c>
      <c r="C216" t="s">
        <v>4065</v>
      </c>
    </row>
    <row r="217" spans="1:3">
      <c r="A217" t="s">
        <v>2294</v>
      </c>
      <c r="B217" t="s">
        <v>2295</v>
      </c>
      <c r="C217" t="s">
        <v>4066</v>
      </c>
    </row>
    <row r="218" spans="1:3">
      <c r="A218" t="s">
        <v>2296</v>
      </c>
      <c r="B218" t="s">
        <v>2297</v>
      </c>
      <c r="C218" t="s">
        <v>4067</v>
      </c>
    </row>
    <row r="219" spans="1:3">
      <c r="A219" t="s">
        <v>2298</v>
      </c>
      <c r="B219" t="s">
        <v>2299</v>
      </c>
      <c r="C219" t="s">
        <v>4068</v>
      </c>
    </row>
    <row r="220" spans="1:3">
      <c r="A220" t="s">
        <v>2300</v>
      </c>
      <c r="B220" t="s">
        <v>2301</v>
      </c>
      <c r="C220" t="s">
        <v>4069</v>
      </c>
    </row>
    <row r="221" spans="1:3">
      <c r="A221" t="s">
        <v>2302</v>
      </c>
      <c r="B221" t="s">
        <v>2303</v>
      </c>
      <c r="C221" t="s">
        <v>4070</v>
      </c>
    </row>
    <row r="222" spans="1:3">
      <c r="A222" t="s">
        <v>2304</v>
      </c>
      <c r="B222" t="s">
        <v>2305</v>
      </c>
      <c r="C222" t="s">
        <v>4071</v>
      </c>
    </row>
    <row r="223" spans="1:3">
      <c r="A223" t="s">
        <v>2306</v>
      </c>
      <c r="B223" t="s">
        <v>2307</v>
      </c>
      <c r="C223" t="s">
        <v>4072</v>
      </c>
    </row>
    <row r="224" spans="1:3">
      <c r="A224" t="s">
        <v>2308</v>
      </c>
      <c r="B224" t="s">
        <v>2309</v>
      </c>
      <c r="C224" t="s">
        <v>4073</v>
      </c>
    </row>
    <row r="225" spans="1:3">
      <c r="A225" t="s">
        <v>2310</v>
      </c>
      <c r="B225" t="s">
        <v>2311</v>
      </c>
      <c r="C225" t="s">
        <v>4074</v>
      </c>
    </row>
    <row r="226" spans="1:3">
      <c r="A226" t="s">
        <v>2312</v>
      </c>
      <c r="B226" t="s">
        <v>2313</v>
      </c>
      <c r="C226" t="s">
        <v>4075</v>
      </c>
    </row>
    <row r="227" spans="1:3">
      <c r="A227" t="s">
        <v>2314</v>
      </c>
      <c r="B227" t="s">
        <v>2315</v>
      </c>
      <c r="C227" t="s">
        <v>4076</v>
      </c>
    </row>
    <row r="228" spans="1:3">
      <c r="A228" t="s">
        <v>2316</v>
      </c>
      <c r="B228" t="s">
        <v>2317</v>
      </c>
      <c r="C228" t="s">
        <v>4077</v>
      </c>
    </row>
    <row r="229" spans="1:3">
      <c r="A229" t="s">
        <v>2318</v>
      </c>
      <c r="B229" t="s">
        <v>2319</v>
      </c>
      <c r="C229" t="s">
        <v>4078</v>
      </c>
    </row>
    <row r="230" spans="1:3">
      <c r="A230" t="s">
        <v>2320</v>
      </c>
      <c r="B230" t="s">
        <v>2321</v>
      </c>
      <c r="C230" t="s">
        <v>4079</v>
      </c>
    </row>
    <row r="231" spans="1:3">
      <c r="A231" t="s">
        <v>2322</v>
      </c>
      <c r="B231" t="s">
        <v>2323</v>
      </c>
      <c r="C231" t="s">
        <v>4080</v>
      </c>
    </row>
    <row r="232" spans="1:3">
      <c r="A232" t="s">
        <v>2324</v>
      </c>
      <c r="B232" t="s">
        <v>2325</v>
      </c>
      <c r="C232" t="s">
        <v>4081</v>
      </c>
    </row>
    <row r="233" spans="1:3">
      <c r="A233" t="s">
        <v>2326</v>
      </c>
      <c r="B233" t="s">
        <v>2327</v>
      </c>
      <c r="C233" t="s">
        <v>4082</v>
      </c>
    </row>
    <row r="234" spans="1:3">
      <c r="A234" t="s">
        <v>2328</v>
      </c>
      <c r="B234" t="s">
        <v>2329</v>
      </c>
      <c r="C234" t="s">
        <v>4083</v>
      </c>
    </row>
    <row r="235" spans="1:3">
      <c r="A235" t="s">
        <v>2330</v>
      </c>
      <c r="B235" t="s">
        <v>2331</v>
      </c>
      <c r="C235" t="s">
        <v>4084</v>
      </c>
    </row>
    <row r="236" spans="1:3">
      <c r="A236" t="s">
        <v>2332</v>
      </c>
      <c r="B236" t="s">
        <v>2333</v>
      </c>
      <c r="C236" t="s">
        <v>4085</v>
      </c>
    </row>
    <row r="237" spans="1:3">
      <c r="A237" t="s">
        <v>2334</v>
      </c>
      <c r="B237" t="s">
        <v>2335</v>
      </c>
      <c r="C237" t="s">
        <v>4086</v>
      </c>
    </row>
    <row r="238" spans="1:3">
      <c r="A238" t="s">
        <v>2336</v>
      </c>
      <c r="B238" t="s">
        <v>2337</v>
      </c>
      <c r="C238" t="s">
        <v>4087</v>
      </c>
    </row>
    <row r="239" spans="1:3">
      <c r="A239" t="s">
        <v>2338</v>
      </c>
      <c r="B239" t="s">
        <v>2339</v>
      </c>
      <c r="C239" t="s">
        <v>4088</v>
      </c>
    </row>
    <row r="240" spans="1:3">
      <c r="A240" t="s">
        <v>2340</v>
      </c>
      <c r="B240" t="s">
        <v>2341</v>
      </c>
      <c r="C240" t="s">
        <v>4089</v>
      </c>
    </row>
    <row r="241" spans="1:3">
      <c r="A241" t="s">
        <v>2342</v>
      </c>
      <c r="B241" t="s">
        <v>2343</v>
      </c>
      <c r="C241" t="s">
        <v>4090</v>
      </c>
    </row>
    <row r="242" spans="1:3">
      <c r="A242" t="s">
        <v>2344</v>
      </c>
      <c r="B242" t="s">
        <v>2345</v>
      </c>
      <c r="C242" t="s">
        <v>4091</v>
      </c>
    </row>
    <row r="243" spans="1:3">
      <c r="A243" t="s">
        <v>2346</v>
      </c>
      <c r="B243" t="s">
        <v>2347</v>
      </c>
      <c r="C243" t="s">
        <v>4092</v>
      </c>
    </row>
    <row r="244" spans="1:3">
      <c r="A244" t="s">
        <v>2348</v>
      </c>
      <c r="B244" t="s">
        <v>2349</v>
      </c>
      <c r="C244" t="s">
        <v>4093</v>
      </c>
    </row>
    <row r="245" spans="1:3">
      <c r="A245" t="s">
        <v>2350</v>
      </c>
      <c r="B245" t="s">
        <v>2351</v>
      </c>
      <c r="C245" t="s">
        <v>4094</v>
      </c>
    </row>
    <row r="246" spans="1:3">
      <c r="A246" t="s">
        <v>2352</v>
      </c>
      <c r="B246" t="s">
        <v>2353</v>
      </c>
      <c r="C246" t="s">
        <v>4095</v>
      </c>
    </row>
    <row r="247" spans="1:3">
      <c r="A247" t="s">
        <v>2354</v>
      </c>
      <c r="B247" t="s">
        <v>2355</v>
      </c>
      <c r="C247" t="s">
        <v>4096</v>
      </c>
    </row>
    <row r="248" spans="1:3">
      <c r="A248" t="s">
        <v>2356</v>
      </c>
      <c r="B248" t="s">
        <v>2357</v>
      </c>
      <c r="C248" t="s">
        <v>4097</v>
      </c>
    </row>
    <row r="249" spans="1:3">
      <c r="A249" t="s">
        <v>2358</v>
      </c>
      <c r="B249" t="s">
        <v>2359</v>
      </c>
      <c r="C249" t="s">
        <v>4098</v>
      </c>
    </row>
    <row r="250" spans="1:3">
      <c r="A250" t="s">
        <v>2360</v>
      </c>
      <c r="B250" t="s">
        <v>2361</v>
      </c>
      <c r="C250" t="s">
        <v>4099</v>
      </c>
    </row>
    <row r="251" spans="1:3">
      <c r="A251" t="s">
        <v>2362</v>
      </c>
      <c r="B251" t="s">
        <v>2363</v>
      </c>
      <c r="C251" t="s">
        <v>4100</v>
      </c>
    </row>
    <row r="252" spans="1:3">
      <c r="A252" t="s">
        <v>2364</v>
      </c>
      <c r="B252" t="s">
        <v>2365</v>
      </c>
      <c r="C252" t="s">
        <v>4101</v>
      </c>
    </row>
    <row r="253" spans="1:3">
      <c r="A253" t="s">
        <v>2366</v>
      </c>
      <c r="B253" t="s">
        <v>2367</v>
      </c>
      <c r="C253" t="s">
        <v>4102</v>
      </c>
    </row>
    <row r="254" spans="1:3">
      <c r="A254" t="s">
        <v>2368</v>
      </c>
      <c r="B254" t="s">
        <v>2369</v>
      </c>
      <c r="C254" t="s">
        <v>4103</v>
      </c>
    </row>
    <row r="255" spans="1:3">
      <c r="A255" t="s">
        <v>2370</v>
      </c>
      <c r="B255" t="s">
        <v>2371</v>
      </c>
      <c r="C255" t="s">
        <v>4104</v>
      </c>
    </row>
    <row r="256" spans="1:3">
      <c r="A256" t="s">
        <v>2372</v>
      </c>
      <c r="B256" t="s">
        <v>2373</v>
      </c>
      <c r="C256" t="s">
        <v>4105</v>
      </c>
    </row>
    <row r="257" spans="1:3">
      <c r="A257" t="s">
        <v>2374</v>
      </c>
      <c r="B257" t="s">
        <v>2375</v>
      </c>
      <c r="C257" t="s">
        <v>4106</v>
      </c>
    </row>
    <row r="258" spans="1:3">
      <c r="A258" t="s">
        <v>2376</v>
      </c>
      <c r="B258" t="s">
        <v>2377</v>
      </c>
      <c r="C258" t="s">
        <v>4107</v>
      </c>
    </row>
    <row r="259" spans="1:3">
      <c r="A259" t="s">
        <v>2378</v>
      </c>
      <c r="B259" t="s">
        <v>2379</v>
      </c>
      <c r="C259" t="s">
        <v>4108</v>
      </c>
    </row>
    <row r="260" spans="1:3">
      <c r="A260" t="s">
        <v>2380</v>
      </c>
      <c r="B260" t="s">
        <v>2381</v>
      </c>
      <c r="C260" t="s">
        <v>4109</v>
      </c>
    </row>
    <row r="261" spans="1:3">
      <c r="A261" t="s">
        <v>2382</v>
      </c>
      <c r="B261" t="s">
        <v>2383</v>
      </c>
      <c r="C261" t="s">
        <v>4110</v>
      </c>
    </row>
    <row r="262" spans="1:3">
      <c r="A262" t="s">
        <v>2384</v>
      </c>
      <c r="B262" t="s">
        <v>2385</v>
      </c>
      <c r="C262" t="s">
        <v>4111</v>
      </c>
    </row>
    <row r="263" spans="1:3">
      <c r="A263" t="s">
        <v>2386</v>
      </c>
      <c r="B263" t="s">
        <v>2387</v>
      </c>
      <c r="C263" t="s">
        <v>4112</v>
      </c>
    </row>
    <row r="264" spans="1:3">
      <c r="A264" t="s">
        <v>2388</v>
      </c>
      <c r="B264" t="s">
        <v>2389</v>
      </c>
      <c r="C264" t="s">
        <v>4087</v>
      </c>
    </row>
    <row r="265" spans="1:3">
      <c r="A265" t="s">
        <v>2390</v>
      </c>
      <c r="B265" t="s">
        <v>2391</v>
      </c>
      <c r="C265" t="s">
        <v>4113</v>
      </c>
    </row>
    <row r="266" spans="1:3">
      <c r="A266" t="s">
        <v>2392</v>
      </c>
      <c r="B266" t="s">
        <v>2393</v>
      </c>
      <c r="C266" t="s">
        <v>4114</v>
      </c>
    </row>
    <row r="267" spans="1:3">
      <c r="A267" t="s">
        <v>2394</v>
      </c>
      <c r="B267" t="s">
        <v>2395</v>
      </c>
      <c r="C267" t="s">
        <v>4115</v>
      </c>
    </row>
    <row r="268" spans="1:3">
      <c r="A268" t="s">
        <v>2396</v>
      </c>
      <c r="B268" t="s">
        <v>2397</v>
      </c>
      <c r="C268" t="s">
        <v>4116</v>
      </c>
    </row>
    <row r="269" spans="1:3">
      <c r="A269" t="s">
        <v>2398</v>
      </c>
      <c r="B269" t="s">
        <v>2399</v>
      </c>
      <c r="C269" t="s">
        <v>4117</v>
      </c>
    </row>
    <row r="270" spans="1:3">
      <c r="A270" t="s">
        <v>2400</v>
      </c>
      <c r="B270" t="s">
        <v>2401</v>
      </c>
      <c r="C270" t="s">
        <v>4118</v>
      </c>
    </row>
    <row r="271" spans="1:3">
      <c r="A271" t="s">
        <v>2402</v>
      </c>
      <c r="B271" t="s">
        <v>2403</v>
      </c>
      <c r="C271" t="s">
        <v>4119</v>
      </c>
    </row>
    <row r="272" spans="1:3">
      <c r="A272" t="s">
        <v>2404</v>
      </c>
      <c r="B272" t="s">
        <v>2405</v>
      </c>
      <c r="C272" t="s">
        <v>4120</v>
      </c>
    </row>
    <row r="273" spans="1:3">
      <c r="A273" t="s">
        <v>2406</v>
      </c>
      <c r="B273" t="s">
        <v>2407</v>
      </c>
      <c r="C273" t="s">
        <v>4087</v>
      </c>
    </row>
    <row r="274" spans="1:3">
      <c r="A274" t="s">
        <v>2408</v>
      </c>
      <c r="B274" t="s">
        <v>2409</v>
      </c>
      <c r="C274" t="s">
        <v>4121</v>
      </c>
    </row>
    <row r="275" spans="1:3">
      <c r="A275" t="s">
        <v>2410</v>
      </c>
      <c r="B275" t="s">
        <v>2411</v>
      </c>
      <c r="C275" t="s">
        <v>4122</v>
      </c>
    </row>
    <row r="276" spans="1:3">
      <c r="A276" t="s">
        <v>2412</v>
      </c>
      <c r="B276" t="s">
        <v>2413</v>
      </c>
      <c r="C276" t="s">
        <v>4123</v>
      </c>
    </row>
    <row r="277" spans="1:3">
      <c r="A277" t="s">
        <v>2414</v>
      </c>
      <c r="B277" t="s">
        <v>2415</v>
      </c>
      <c r="C277" t="s">
        <v>4124</v>
      </c>
    </row>
    <row r="278" spans="1:3">
      <c r="A278" t="s">
        <v>2416</v>
      </c>
      <c r="B278" t="s">
        <v>2417</v>
      </c>
      <c r="C278" t="s">
        <v>4125</v>
      </c>
    </row>
    <row r="279" spans="1:3">
      <c r="A279" t="s">
        <v>2418</v>
      </c>
      <c r="B279" t="s">
        <v>2419</v>
      </c>
      <c r="C279" t="s">
        <v>4126</v>
      </c>
    </row>
    <row r="280" spans="1:3">
      <c r="A280" t="s">
        <v>2420</v>
      </c>
      <c r="B280" t="s">
        <v>2421</v>
      </c>
      <c r="C280" t="s">
        <v>4127</v>
      </c>
    </row>
    <row r="281" spans="1:3">
      <c r="A281" t="s">
        <v>2422</v>
      </c>
      <c r="B281" t="s">
        <v>2423</v>
      </c>
      <c r="C281" t="s">
        <v>4128</v>
      </c>
    </row>
    <row r="282" spans="1:3">
      <c r="A282" t="s">
        <v>2424</v>
      </c>
      <c r="B282" t="s">
        <v>2425</v>
      </c>
      <c r="C282" t="s">
        <v>4129</v>
      </c>
    </row>
    <row r="283" spans="1:3">
      <c r="A283" t="s">
        <v>2426</v>
      </c>
      <c r="B283" t="s">
        <v>2427</v>
      </c>
      <c r="C283" t="s">
        <v>4130</v>
      </c>
    </row>
    <row r="284" spans="1:3">
      <c r="A284" t="s">
        <v>2428</v>
      </c>
      <c r="B284" t="s">
        <v>2429</v>
      </c>
      <c r="C284" t="s">
        <v>4131</v>
      </c>
    </row>
    <row r="285" spans="1:3">
      <c r="A285" t="s">
        <v>2430</v>
      </c>
      <c r="B285" t="s">
        <v>2431</v>
      </c>
      <c r="C285" t="s">
        <v>4132</v>
      </c>
    </row>
    <row r="286" spans="1:3">
      <c r="A286" t="s">
        <v>2432</v>
      </c>
      <c r="B286" t="s">
        <v>2433</v>
      </c>
      <c r="C286" t="s">
        <v>4133</v>
      </c>
    </row>
    <row r="287" spans="1:3">
      <c r="A287" t="s">
        <v>2434</v>
      </c>
      <c r="B287" t="s">
        <v>2435</v>
      </c>
      <c r="C287" t="s">
        <v>4134</v>
      </c>
    </row>
    <row r="288" spans="1:3">
      <c r="A288" t="s">
        <v>2436</v>
      </c>
      <c r="B288" t="s">
        <v>2437</v>
      </c>
      <c r="C288" t="s">
        <v>4135</v>
      </c>
    </row>
    <row r="289" spans="1:3">
      <c r="A289" t="s">
        <v>2438</v>
      </c>
      <c r="B289" t="s">
        <v>2439</v>
      </c>
      <c r="C289" t="s">
        <v>4136</v>
      </c>
    </row>
    <row r="290" spans="1:3">
      <c r="A290" t="s">
        <v>2440</v>
      </c>
      <c r="B290" t="s">
        <v>2441</v>
      </c>
      <c r="C290" t="s">
        <v>4137</v>
      </c>
    </row>
    <row r="291" spans="1:3">
      <c r="A291" t="s">
        <v>2442</v>
      </c>
      <c r="B291" t="s">
        <v>2443</v>
      </c>
      <c r="C291" t="s">
        <v>4138</v>
      </c>
    </row>
    <row r="292" spans="1:3">
      <c r="A292" t="s">
        <v>2444</v>
      </c>
      <c r="B292" t="s">
        <v>2445</v>
      </c>
      <c r="C292" t="s">
        <v>4139</v>
      </c>
    </row>
    <row r="293" spans="1:3">
      <c r="A293" t="s">
        <v>2446</v>
      </c>
      <c r="B293" t="s">
        <v>2447</v>
      </c>
      <c r="C293" t="s">
        <v>4140</v>
      </c>
    </row>
    <row r="294" spans="1:3">
      <c r="A294" t="s">
        <v>2448</v>
      </c>
      <c r="B294" t="s">
        <v>2449</v>
      </c>
      <c r="C294" t="s">
        <v>4141</v>
      </c>
    </row>
    <row r="295" spans="1:3">
      <c r="A295" t="s">
        <v>2450</v>
      </c>
      <c r="B295" t="s">
        <v>2451</v>
      </c>
      <c r="C295" t="s">
        <v>4142</v>
      </c>
    </row>
    <row r="296" spans="1:3">
      <c r="A296" t="s">
        <v>2452</v>
      </c>
      <c r="B296" t="s">
        <v>2453</v>
      </c>
      <c r="C296" t="s">
        <v>4143</v>
      </c>
    </row>
    <row r="297" spans="1:3">
      <c r="A297" t="s">
        <v>2454</v>
      </c>
      <c r="B297" t="s">
        <v>2455</v>
      </c>
      <c r="C297" t="s">
        <v>4144</v>
      </c>
    </row>
    <row r="298" spans="1:3">
      <c r="A298" t="s">
        <v>2456</v>
      </c>
      <c r="B298" t="s">
        <v>2457</v>
      </c>
      <c r="C298" t="s">
        <v>4145</v>
      </c>
    </row>
    <row r="299" spans="1:3">
      <c r="A299" t="s">
        <v>2458</v>
      </c>
      <c r="B299" t="s">
        <v>2459</v>
      </c>
      <c r="C299" t="s">
        <v>4146</v>
      </c>
    </row>
    <row r="300" spans="1:3">
      <c r="A300" t="s">
        <v>2460</v>
      </c>
      <c r="B300" t="s">
        <v>2461</v>
      </c>
      <c r="C300" t="s">
        <v>4147</v>
      </c>
    </row>
    <row r="301" spans="1:3">
      <c r="A301" t="s">
        <v>2462</v>
      </c>
      <c r="B301" t="s">
        <v>2463</v>
      </c>
      <c r="C301" t="s">
        <v>4148</v>
      </c>
    </row>
    <row r="302" spans="1:3">
      <c r="A302" t="s">
        <v>2464</v>
      </c>
      <c r="B302" t="s">
        <v>2465</v>
      </c>
      <c r="C302" t="s">
        <v>4100</v>
      </c>
    </row>
    <row r="303" spans="1:3">
      <c r="A303" t="s">
        <v>2466</v>
      </c>
      <c r="B303" t="s">
        <v>2467</v>
      </c>
      <c r="C303" t="s">
        <v>4149</v>
      </c>
    </row>
    <row r="304" spans="1:3">
      <c r="A304" t="s">
        <v>2468</v>
      </c>
      <c r="B304" t="s">
        <v>2469</v>
      </c>
      <c r="C304" t="s">
        <v>4150</v>
      </c>
    </row>
    <row r="305" spans="1:3">
      <c r="A305" t="s">
        <v>2470</v>
      </c>
      <c r="B305" t="s">
        <v>2471</v>
      </c>
      <c r="C305" t="s">
        <v>4151</v>
      </c>
    </row>
    <row r="306" spans="1:3">
      <c r="A306" t="s">
        <v>2472</v>
      </c>
      <c r="B306" t="s">
        <v>2473</v>
      </c>
      <c r="C306" t="s">
        <v>4152</v>
      </c>
    </row>
    <row r="307" spans="1:3">
      <c r="A307" t="s">
        <v>2474</v>
      </c>
      <c r="B307" t="s">
        <v>2475</v>
      </c>
      <c r="C307" t="s">
        <v>4153</v>
      </c>
    </row>
    <row r="308" spans="1:3">
      <c r="A308" t="s">
        <v>2476</v>
      </c>
      <c r="B308" t="s">
        <v>2477</v>
      </c>
      <c r="C308" t="s">
        <v>4154</v>
      </c>
    </row>
    <row r="309" spans="1:3">
      <c r="A309" t="s">
        <v>2478</v>
      </c>
      <c r="B309" t="s">
        <v>2479</v>
      </c>
      <c r="C309" t="s">
        <v>4155</v>
      </c>
    </row>
    <row r="310" spans="1:3">
      <c r="A310" t="s">
        <v>2480</v>
      </c>
      <c r="B310" t="s">
        <v>2481</v>
      </c>
      <c r="C310" t="s">
        <v>4156</v>
      </c>
    </row>
    <row r="311" spans="1:3">
      <c r="A311" t="s">
        <v>2482</v>
      </c>
      <c r="B311" t="s">
        <v>2483</v>
      </c>
      <c r="C311" t="s">
        <v>4157</v>
      </c>
    </row>
    <row r="312" spans="1:3">
      <c r="A312" t="s">
        <v>2484</v>
      </c>
      <c r="B312" t="s">
        <v>2485</v>
      </c>
      <c r="C312" t="s">
        <v>4158</v>
      </c>
    </row>
    <row r="313" spans="1:3">
      <c r="A313" t="s">
        <v>2486</v>
      </c>
      <c r="B313" t="s">
        <v>2487</v>
      </c>
      <c r="C313" t="s">
        <v>4159</v>
      </c>
    </row>
    <row r="314" spans="1:3">
      <c r="A314" t="s">
        <v>2488</v>
      </c>
      <c r="B314" t="s">
        <v>2489</v>
      </c>
      <c r="C314" t="s">
        <v>4087</v>
      </c>
    </row>
    <row r="315" spans="1:3">
      <c r="A315" t="s">
        <v>2490</v>
      </c>
      <c r="B315" t="s">
        <v>2491</v>
      </c>
      <c r="C315" t="s">
        <v>4160</v>
      </c>
    </row>
    <row r="316" spans="1:3">
      <c r="A316" t="s">
        <v>2492</v>
      </c>
      <c r="B316" t="s">
        <v>2493</v>
      </c>
      <c r="C316" t="s">
        <v>4161</v>
      </c>
    </row>
    <row r="317" spans="1:3">
      <c r="A317" t="s">
        <v>2494</v>
      </c>
      <c r="B317" t="s">
        <v>2495</v>
      </c>
      <c r="C317" t="s">
        <v>4162</v>
      </c>
    </row>
    <row r="318" spans="1:3">
      <c r="A318" t="s">
        <v>2496</v>
      </c>
      <c r="B318" t="s">
        <v>2497</v>
      </c>
      <c r="C318" t="s">
        <v>4163</v>
      </c>
    </row>
    <row r="319" spans="1:3">
      <c r="A319" t="s">
        <v>2498</v>
      </c>
      <c r="B319" t="s">
        <v>2499</v>
      </c>
      <c r="C319" t="s">
        <v>4164</v>
      </c>
    </row>
    <row r="320" spans="1:3">
      <c r="A320" t="s">
        <v>2500</v>
      </c>
      <c r="B320" t="s">
        <v>2501</v>
      </c>
      <c r="C320" t="s">
        <v>4165</v>
      </c>
    </row>
    <row r="321" spans="1:3">
      <c r="A321" t="s">
        <v>2502</v>
      </c>
      <c r="B321" t="s">
        <v>2503</v>
      </c>
      <c r="C321" t="s">
        <v>4166</v>
      </c>
    </row>
    <row r="322" spans="1:3">
      <c r="A322" t="s">
        <v>2504</v>
      </c>
      <c r="B322" t="s">
        <v>2505</v>
      </c>
      <c r="C322" t="s">
        <v>4167</v>
      </c>
    </row>
    <row r="323" spans="1:3">
      <c r="A323" t="s">
        <v>2506</v>
      </c>
      <c r="B323" t="s">
        <v>2507</v>
      </c>
      <c r="C323" t="s">
        <v>4168</v>
      </c>
    </row>
    <row r="324" spans="1:3">
      <c r="A324" t="s">
        <v>2508</v>
      </c>
      <c r="B324" t="s">
        <v>2509</v>
      </c>
      <c r="C324" t="s">
        <v>4169</v>
      </c>
    </row>
    <row r="325" spans="1:3">
      <c r="A325" t="s">
        <v>2510</v>
      </c>
      <c r="B325" t="s">
        <v>2511</v>
      </c>
      <c r="C325" t="s">
        <v>4170</v>
      </c>
    </row>
    <row r="326" spans="1:3">
      <c r="A326" t="s">
        <v>2512</v>
      </c>
      <c r="B326" t="s">
        <v>2513</v>
      </c>
      <c r="C326" t="s">
        <v>4087</v>
      </c>
    </row>
    <row r="327" spans="1:3">
      <c r="A327" t="s">
        <v>2514</v>
      </c>
      <c r="B327" t="s">
        <v>2515</v>
      </c>
      <c r="C327" t="s">
        <v>4171</v>
      </c>
    </row>
    <row r="328" spans="1:3">
      <c r="A328" t="s">
        <v>2516</v>
      </c>
      <c r="B328" t="s">
        <v>2517</v>
      </c>
      <c r="C328" t="s">
        <v>4172</v>
      </c>
    </row>
    <row r="329" spans="1:3">
      <c r="A329" t="s">
        <v>2518</v>
      </c>
      <c r="B329" t="s">
        <v>2519</v>
      </c>
      <c r="C329" t="s">
        <v>4173</v>
      </c>
    </row>
    <row r="330" spans="1:3">
      <c r="A330" t="s">
        <v>2520</v>
      </c>
      <c r="B330" t="s">
        <v>2521</v>
      </c>
      <c r="C330" t="s">
        <v>4174</v>
      </c>
    </row>
    <row r="331" spans="1:3">
      <c r="A331" t="s">
        <v>2522</v>
      </c>
      <c r="B331" t="s">
        <v>2523</v>
      </c>
      <c r="C331" t="s">
        <v>4175</v>
      </c>
    </row>
    <row r="332" spans="1:3">
      <c r="A332" t="s">
        <v>2524</v>
      </c>
      <c r="B332" t="s">
        <v>2525</v>
      </c>
      <c r="C332" t="s">
        <v>4176</v>
      </c>
    </row>
    <row r="333" spans="1:3">
      <c r="A333" t="s">
        <v>2526</v>
      </c>
      <c r="B333" t="s">
        <v>2527</v>
      </c>
      <c r="C333" t="s">
        <v>4177</v>
      </c>
    </row>
    <row r="334" spans="1:3">
      <c r="A334" t="s">
        <v>2528</v>
      </c>
      <c r="B334" t="s">
        <v>2529</v>
      </c>
      <c r="C334" t="s">
        <v>4178</v>
      </c>
    </row>
    <row r="335" spans="1:3">
      <c r="A335" t="s">
        <v>2530</v>
      </c>
      <c r="B335" t="s">
        <v>2531</v>
      </c>
      <c r="C335" t="s">
        <v>4179</v>
      </c>
    </row>
    <row r="336" spans="1:3">
      <c r="A336" t="s">
        <v>2532</v>
      </c>
      <c r="B336" t="s">
        <v>2533</v>
      </c>
      <c r="C336" t="s">
        <v>4180</v>
      </c>
    </row>
    <row r="337" spans="1:3">
      <c r="A337" t="s">
        <v>2534</v>
      </c>
      <c r="B337" t="s">
        <v>2535</v>
      </c>
      <c r="C337" t="s">
        <v>4181</v>
      </c>
    </row>
    <row r="338" spans="1:3">
      <c r="A338" t="s">
        <v>2536</v>
      </c>
      <c r="B338" t="s">
        <v>2537</v>
      </c>
      <c r="C338" t="s">
        <v>4182</v>
      </c>
    </row>
    <row r="339" spans="1:3">
      <c r="A339" t="s">
        <v>2538</v>
      </c>
      <c r="B339" t="s">
        <v>2539</v>
      </c>
      <c r="C339" t="s">
        <v>4183</v>
      </c>
    </row>
    <row r="340" spans="1:3">
      <c r="A340" t="s">
        <v>2540</v>
      </c>
      <c r="B340" t="s">
        <v>2541</v>
      </c>
      <c r="C340" t="s">
        <v>4184</v>
      </c>
    </row>
    <row r="341" spans="1:3">
      <c r="A341" t="s">
        <v>2542</v>
      </c>
      <c r="B341" t="s">
        <v>2543</v>
      </c>
      <c r="C341" t="s">
        <v>4185</v>
      </c>
    </row>
    <row r="342" spans="1:3">
      <c r="A342" t="s">
        <v>2544</v>
      </c>
      <c r="B342" t="s">
        <v>2545</v>
      </c>
      <c r="C342" t="s">
        <v>4186</v>
      </c>
    </row>
    <row r="343" spans="1:3">
      <c r="A343" t="s">
        <v>2546</v>
      </c>
      <c r="B343" t="s">
        <v>2547</v>
      </c>
      <c r="C343" t="s">
        <v>4187</v>
      </c>
    </row>
    <row r="344" spans="1:3">
      <c r="A344" t="s">
        <v>2548</v>
      </c>
      <c r="B344" t="s">
        <v>2549</v>
      </c>
      <c r="C344" t="s">
        <v>4188</v>
      </c>
    </row>
    <row r="345" spans="1:3">
      <c r="A345" t="s">
        <v>2550</v>
      </c>
      <c r="B345" t="s">
        <v>2551</v>
      </c>
      <c r="C345" t="s">
        <v>4189</v>
      </c>
    </row>
    <row r="346" spans="1:3">
      <c r="A346" t="s">
        <v>2552</v>
      </c>
      <c r="B346" t="s">
        <v>2553</v>
      </c>
      <c r="C346" t="s">
        <v>4190</v>
      </c>
    </row>
    <row r="347" spans="1:3">
      <c r="A347" t="s">
        <v>2554</v>
      </c>
      <c r="B347" t="s">
        <v>2555</v>
      </c>
      <c r="C347" t="s">
        <v>4191</v>
      </c>
    </row>
    <row r="348" spans="1:3">
      <c r="A348" t="s">
        <v>2556</v>
      </c>
      <c r="B348" t="s">
        <v>2557</v>
      </c>
      <c r="C348" t="s">
        <v>4192</v>
      </c>
    </row>
    <row r="349" spans="1:3">
      <c r="A349" t="s">
        <v>2558</v>
      </c>
      <c r="B349" t="s">
        <v>2559</v>
      </c>
      <c r="C349" t="s">
        <v>4193</v>
      </c>
    </row>
    <row r="350" spans="1:3">
      <c r="A350" t="s">
        <v>2560</v>
      </c>
      <c r="B350" t="s">
        <v>2561</v>
      </c>
      <c r="C350" t="s">
        <v>4194</v>
      </c>
    </row>
    <row r="351" spans="1:3">
      <c r="A351" t="s">
        <v>2562</v>
      </c>
      <c r="B351" t="s">
        <v>2563</v>
      </c>
      <c r="C351" t="s">
        <v>4195</v>
      </c>
    </row>
    <row r="352" spans="1:3">
      <c r="A352" t="s">
        <v>2564</v>
      </c>
      <c r="B352" t="s">
        <v>2565</v>
      </c>
      <c r="C352" t="s">
        <v>4196</v>
      </c>
    </row>
    <row r="353" spans="1:3">
      <c r="A353" t="s">
        <v>2566</v>
      </c>
      <c r="B353" t="s">
        <v>2567</v>
      </c>
      <c r="C353" t="s">
        <v>4197</v>
      </c>
    </row>
    <row r="354" spans="1:3">
      <c r="A354" t="s">
        <v>2568</v>
      </c>
      <c r="B354" t="s">
        <v>2569</v>
      </c>
      <c r="C354" t="s">
        <v>4198</v>
      </c>
    </row>
    <row r="355" spans="1:3">
      <c r="A355" t="s">
        <v>2570</v>
      </c>
      <c r="B355" t="s">
        <v>2571</v>
      </c>
      <c r="C355" t="s">
        <v>4199</v>
      </c>
    </row>
    <row r="356" spans="1:3">
      <c r="A356" t="s">
        <v>2572</v>
      </c>
      <c r="B356" t="s">
        <v>2573</v>
      </c>
      <c r="C356" t="s">
        <v>4200</v>
      </c>
    </row>
    <row r="357" spans="1:3">
      <c r="A357" t="s">
        <v>2574</v>
      </c>
      <c r="B357" t="s">
        <v>2283</v>
      </c>
      <c r="C357" t="s">
        <v>4201</v>
      </c>
    </row>
    <row r="358" spans="1:3">
      <c r="A358" t="s">
        <v>2575</v>
      </c>
      <c r="B358" t="s">
        <v>2576</v>
      </c>
      <c r="C358" t="s">
        <v>4202</v>
      </c>
    </row>
    <row r="359" spans="1:3">
      <c r="A359" t="s">
        <v>2577</v>
      </c>
      <c r="B359" t="s">
        <v>2578</v>
      </c>
      <c r="C359" t="s">
        <v>4203</v>
      </c>
    </row>
    <row r="360" spans="1:3">
      <c r="A360" t="s">
        <v>2579</v>
      </c>
      <c r="B360" t="s">
        <v>2580</v>
      </c>
      <c r="C360" t="s">
        <v>4204</v>
      </c>
    </row>
    <row r="361" spans="1:3">
      <c r="A361" t="s">
        <v>2581</v>
      </c>
      <c r="B361" t="s">
        <v>2582</v>
      </c>
      <c r="C361" t="s">
        <v>4205</v>
      </c>
    </row>
    <row r="362" spans="1:3">
      <c r="A362" t="s">
        <v>2583</v>
      </c>
      <c r="B362" t="s">
        <v>2584</v>
      </c>
      <c r="C362" t="s">
        <v>4206</v>
      </c>
    </row>
    <row r="363" spans="1:3">
      <c r="A363" t="s">
        <v>2585</v>
      </c>
      <c r="B363" t="s">
        <v>2586</v>
      </c>
      <c r="C363" t="s">
        <v>4207</v>
      </c>
    </row>
    <row r="364" spans="1:3">
      <c r="A364" t="s">
        <v>2587</v>
      </c>
      <c r="B364" t="s">
        <v>2588</v>
      </c>
      <c r="C364" t="s">
        <v>4208</v>
      </c>
    </row>
    <row r="365" spans="1:3">
      <c r="A365" t="s">
        <v>2589</v>
      </c>
      <c r="B365" t="s">
        <v>2590</v>
      </c>
      <c r="C365" t="s">
        <v>4209</v>
      </c>
    </row>
    <row r="366" spans="1:3">
      <c r="A366" t="s">
        <v>2591</v>
      </c>
      <c r="B366" t="s">
        <v>2592</v>
      </c>
      <c r="C366" t="s">
        <v>4210</v>
      </c>
    </row>
    <row r="367" spans="1:3">
      <c r="A367" t="s">
        <v>2593</v>
      </c>
      <c r="B367" t="s">
        <v>2594</v>
      </c>
      <c r="C367" t="s">
        <v>4211</v>
      </c>
    </row>
    <row r="368" spans="1:3">
      <c r="A368" t="s">
        <v>2595</v>
      </c>
      <c r="B368" t="s">
        <v>2596</v>
      </c>
      <c r="C368" t="s">
        <v>4212</v>
      </c>
    </row>
    <row r="369" spans="1:3">
      <c r="A369" t="s">
        <v>2597</v>
      </c>
      <c r="B369" t="s">
        <v>2598</v>
      </c>
      <c r="C369" t="s">
        <v>4213</v>
      </c>
    </row>
    <row r="370" spans="1:3">
      <c r="A370" t="s">
        <v>2599</v>
      </c>
      <c r="B370" t="s">
        <v>2600</v>
      </c>
      <c r="C370" t="s">
        <v>4214</v>
      </c>
    </row>
    <row r="371" spans="1:3">
      <c r="A371" t="s">
        <v>2601</v>
      </c>
      <c r="B371" t="s">
        <v>2602</v>
      </c>
      <c r="C371" t="s">
        <v>4215</v>
      </c>
    </row>
    <row r="372" spans="1:3">
      <c r="A372" t="s">
        <v>2603</v>
      </c>
      <c r="B372" t="s">
        <v>2604</v>
      </c>
      <c r="C372" t="s">
        <v>4216</v>
      </c>
    </row>
    <row r="373" spans="1:3">
      <c r="A373" t="s">
        <v>2605</v>
      </c>
      <c r="B373" t="s">
        <v>2606</v>
      </c>
      <c r="C373" t="s">
        <v>4217</v>
      </c>
    </row>
    <row r="374" spans="1:3">
      <c r="A374" t="s">
        <v>2607</v>
      </c>
      <c r="B374" t="s">
        <v>2608</v>
      </c>
      <c r="C374" t="s">
        <v>4218</v>
      </c>
    </row>
    <row r="375" spans="1:3">
      <c r="A375" t="s">
        <v>2609</v>
      </c>
      <c r="B375" t="s">
        <v>2610</v>
      </c>
      <c r="C375" t="s">
        <v>4219</v>
      </c>
    </row>
    <row r="376" spans="1:3">
      <c r="A376" t="s">
        <v>2611</v>
      </c>
      <c r="B376" t="s">
        <v>2612</v>
      </c>
      <c r="C376" t="s">
        <v>4220</v>
      </c>
    </row>
    <row r="377" spans="1:3">
      <c r="A377" t="s">
        <v>2613</v>
      </c>
      <c r="B377" t="s">
        <v>2614</v>
      </c>
      <c r="C377" t="s">
        <v>4221</v>
      </c>
    </row>
    <row r="378" spans="1:3">
      <c r="A378" t="s">
        <v>2615</v>
      </c>
      <c r="B378" t="s">
        <v>2616</v>
      </c>
      <c r="C378" t="s">
        <v>4222</v>
      </c>
    </row>
    <row r="379" spans="1:3">
      <c r="A379" t="s">
        <v>2617</v>
      </c>
      <c r="B379" t="s">
        <v>2618</v>
      </c>
      <c r="C379" t="s">
        <v>4223</v>
      </c>
    </row>
    <row r="380" spans="1:3">
      <c r="A380" t="s">
        <v>2619</v>
      </c>
      <c r="B380" t="s">
        <v>2620</v>
      </c>
      <c r="C380" t="s">
        <v>4224</v>
      </c>
    </row>
    <row r="381" spans="1:3">
      <c r="A381" t="s">
        <v>2621</v>
      </c>
      <c r="B381" t="s">
        <v>2622</v>
      </c>
      <c r="C381" t="s">
        <v>4224</v>
      </c>
    </row>
    <row r="382" spans="1:3">
      <c r="A382" t="s">
        <v>2623</v>
      </c>
      <c r="B382" t="s">
        <v>2624</v>
      </c>
      <c r="C382" t="s">
        <v>4225</v>
      </c>
    </row>
    <row r="383" spans="1:3">
      <c r="A383" t="s">
        <v>2625</v>
      </c>
      <c r="B383" t="s">
        <v>2626</v>
      </c>
      <c r="C383" t="s">
        <v>4226</v>
      </c>
    </row>
    <row r="384" spans="1:3">
      <c r="A384" t="s">
        <v>2627</v>
      </c>
      <c r="B384" t="s">
        <v>2628</v>
      </c>
      <c r="C384" t="s">
        <v>4227</v>
      </c>
    </row>
    <row r="385" spans="1:3">
      <c r="A385" t="s">
        <v>2629</v>
      </c>
      <c r="B385" t="s">
        <v>2630</v>
      </c>
      <c r="C385" t="s">
        <v>4228</v>
      </c>
    </row>
    <row r="386" spans="1:3">
      <c r="A386" t="s">
        <v>2631</v>
      </c>
      <c r="B386" t="s">
        <v>2632</v>
      </c>
      <c r="C386" t="s">
        <v>4229</v>
      </c>
    </row>
    <row r="387" spans="1:3">
      <c r="A387" t="s">
        <v>2633</v>
      </c>
      <c r="B387" t="s">
        <v>2634</v>
      </c>
      <c r="C387" t="s">
        <v>4230</v>
      </c>
    </row>
    <row r="388" spans="1:3">
      <c r="A388" t="s">
        <v>2635</v>
      </c>
      <c r="B388" t="s">
        <v>2636</v>
      </c>
      <c r="C388" t="s">
        <v>4231</v>
      </c>
    </row>
    <row r="389" spans="1:3">
      <c r="A389" t="s">
        <v>2637</v>
      </c>
      <c r="B389" t="s">
        <v>2638</v>
      </c>
      <c r="C389" t="s">
        <v>4232</v>
      </c>
    </row>
    <row r="390" spans="1:3">
      <c r="A390" t="s">
        <v>2639</v>
      </c>
      <c r="B390" t="s">
        <v>2640</v>
      </c>
      <c r="C390" t="s">
        <v>4233</v>
      </c>
    </row>
    <row r="391" spans="1:3">
      <c r="A391" t="s">
        <v>2641</v>
      </c>
      <c r="B391" t="s">
        <v>2642</v>
      </c>
      <c r="C391" t="s">
        <v>4234</v>
      </c>
    </row>
    <row r="392" spans="1:3">
      <c r="A392" t="s">
        <v>2643</v>
      </c>
      <c r="B392" t="s">
        <v>2644</v>
      </c>
      <c r="C392" t="s">
        <v>4235</v>
      </c>
    </row>
    <row r="393" spans="1:3">
      <c r="A393" t="s">
        <v>2645</v>
      </c>
      <c r="B393" t="s">
        <v>2646</v>
      </c>
      <c r="C393" t="s">
        <v>4214</v>
      </c>
    </row>
    <row r="394" spans="1:3">
      <c r="A394" t="s">
        <v>2647</v>
      </c>
      <c r="B394" t="s">
        <v>2648</v>
      </c>
      <c r="C394" t="s">
        <v>4236</v>
      </c>
    </row>
    <row r="395" spans="1:3">
      <c r="A395" t="s">
        <v>2649</v>
      </c>
      <c r="B395" t="s">
        <v>2650</v>
      </c>
      <c r="C395" t="s">
        <v>4237</v>
      </c>
    </row>
    <row r="396" spans="1:3">
      <c r="A396" t="s">
        <v>2651</v>
      </c>
      <c r="B396" t="s">
        <v>2652</v>
      </c>
      <c r="C396" t="s">
        <v>4238</v>
      </c>
    </row>
    <row r="397" spans="1:3">
      <c r="A397" t="s">
        <v>2653</v>
      </c>
      <c r="B397" t="s">
        <v>2654</v>
      </c>
      <c r="C397" t="s">
        <v>4239</v>
      </c>
    </row>
    <row r="398" spans="1:3">
      <c r="A398" t="s">
        <v>2655</v>
      </c>
      <c r="B398" t="s">
        <v>2656</v>
      </c>
      <c r="C398" t="s">
        <v>4240</v>
      </c>
    </row>
    <row r="399" spans="1:3">
      <c r="A399" t="s">
        <v>2657</v>
      </c>
      <c r="B399" t="s">
        <v>2658</v>
      </c>
      <c r="C399" t="s">
        <v>4241</v>
      </c>
    </row>
    <row r="400" spans="1:3">
      <c r="A400" t="s">
        <v>2659</v>
      </c>
      <c r="B400" t="s">
        <v>2660</v>
      </c>
      <c r="C400" t="s">
        <v>4242</v>
      </c>
    </row>
    <row r="401" spans="1:3">
      <c r="A401" t="s">
        <v>2661</v>
      </c>
      <c r="B401" t="s">
        <v>2662</v>
      </c>
      <c r="C401" t="s">
        <v>4243</v>
      </c>
    </row>
    <row r="402" spans="1:3">
      <c r="A402" t="s">
        <v>2663</v>
      </c>
      <c r="B402" t="s">
        <v>2664</v>
      </c>
      <c r="C402" t="s">
        <v>4244</v>
      </c>
    </row>
    <row r="403" spans="1:3">
      <c r="A403" t="s">
        <v>2665</v>
      </c>
      <c r="B403" t="s">
        <v>2666</v>
      </c>
      <c r="C403" t="s">
        <v>4245</v>
      </c>
    </row>
    <row r="404" spans="1:3">
      <c r="A404" t="s">
        <v>2667</v>
      </c>
      <c r="B404" t="s">
        <v>2668</v>
      </c>
      <c r="C404" t="s">
        <v>4246</v>
      </c>
    </row>
    <row r="405" spans="1:3">
      <c r="A405" t="s">
        <v>2669</v>
      </c>
      <c r="B405" t="s">
        <v>2670</v>
      </c>
      <c r="C405" t="s">
        <v>4247</v>
      </c>
    </row>
    <row r="406" spans="1:3">
      <c r="A406" t="s">
        <v>2671</v>
      </c>
      <c r="B406" t="s">
        <v>2672</v>
      </c>
      <c r="C406" t="s">
        <v>4248</v>
      </c>
    </row>
    <row r="407" spans="1:3">
      <c r="A407" t="s">
        <v>2673</v>
      </c>
      <c r="B407" t="s">
        <v>2674</v>
      </c>
      <c r="C407" t="s">
        <v>4249</v>
      </c>
    </row>
    <row r="408" spans="1:3">
      <c r="A408" t="s">
        <v>2675</v>
      </c>
      <c r="B408" t="s">
        <v>2676</v>
      </c>
      <c r="C408" t="s">
        <v>4250</v>
      </c>
    </row>
    <row r="409" spans="1:3">
      <c r="A409" t="s">
        <v>2677</v>
      </c>
      <c r="B409" t="s">
        <v>2678</v>
      </c>
      <c r="C409" t="s">
        <v>4251</v>
      </c>
    </row>
    <row r="410" spans="1:3">
      <c r="A410" t="s">
        <v>2679</v>
      </c>
      <c r="B410" t="s">
        <v>2680</v>
      </c>
      <c r="C410" t="s">
        <v>4252</v>
      </c>
    </row>
    <row r="411" spans="1:3">
      <c r="A411" t="s">
        <v>2681</v>
      </c>
      <c r="B411" t="s">
        <v>2682</v>
      </c>
      <c r="C411" t="s">
        <v>4253</v>
      </c>
    </row>
    <row r="412" spans="1:3">
      <c r="A412" t="s">
        <v>2683</v>
      </c>
      <c r="B412" t="s">
        <v>2684</v>
      </c>
    </row>
    <row r="413" spans="1:3">
      <c r="A413" t="s">
        <v>2685</v>
      </c>
      <c r="B413" t="s">
        <v>2686</v>
      </c>
      <c r="C413" t="s">
        <v>4254</v>
      </c>
    </row>
    <row r="414" spans="1:3">
      <c r="A414" t="s">
        <v>2687</v>
      </c>
      <c r="B414" t="s">
        <v>2688</v>
      </c>
      <c r="C414" t="s">
        <v>4255</v>
      </c>
    </row>
    <row r="415" spans="1:3">
      <c r="A415" t="s">
        <v>2689</v>
      </c>
      <c r="B415" t="s">
        <v>2690</v>
      </c>
      <c r="C415" t="s">
        <v>4256</v>
      </c>
    </row>
    <row r="416" spans="1:3">
      <c r="A416" t="s">
        <v>2691</v>
      </c>
      <c r="B416" t="s">
        <v>2692</v>
      </c>
      <c r="C416" t="s">
        <v>4257</v>
      </c>
    </row>
    <row r="417" spans="1:3">
      <c r="A417" t="s">
        <v>2693</v>
      </c>
      <c r="B417" t="s">
        <v>2694</v>
      </c>
      <c r="C417" t="s">
        <v>4258</v>
      </c>
    </row>
    <row r="418" spans="1:3">
      <c r="A418" t="s">
        <v>2695</v>
      </c>
      <c r="B418" t="s">
        <v>2696</v>
      </c>
      <c r="C418" t="s">
        <v>4214</v>
      </c>
    </row>
    <row r="419" spans="1:3">
      <c r="A419" t="s">
        <v>2697</v>
      </c>
      <c r="B419" t="s">
        <v>2698</v>
      </c>
      <c r="C419" t="s">
        <v>4259</v>
      </c>
    </row>
    <row r="420" spans="1:3">
      <c r="A420" t="s">
        <v>2699</v>
      </c>
      <c r="B420" t="s">
        <v>2700</v>
      </c>
      <c r="C420" t="s">
        <v>4260</v>
      </c>
    </row>
    <row r="421" spans="1:3">
      <c r="A421" t="s">
        <v>2701</v>
      </c>
      <c r="C421" t="s">
        <v>4261</v>
      </c>
    </row>
    <row r="422" spans="1:3">
      <c r="A422" t="s">
        <v>2702</v>
      </c>
    </row>
    <row r="423" spans="1:3">
      <c r="A423" t="s">
        <v>2703</v>
      </c>
      <c r="B423" t="s">
        <v>2704</v>
      </c>
      <c r="C423" t="s">
        <v>4262</v>
      </c>
    </row>
    <row r="424" spans="1:3">
      <c r="A424" t="s">
        <v>2705</v>
      </c>
      <c r="B424" t="s">
        <v>2706</v>
      </c>
      <c r="C424" t="s">
        <v>4263</v>
      </c>
    </row>
    <row r="425" spans="1:3">
      <c r="A425" t="s">
        <v>2707</v>
      </c>
      <c r="B425" t="s">
        <v>2708</v>
      </c>
      <c r="C425" t="s">
        <v>4264</v>
      </c>
    </row>
    <row r="426" spans="1:3">
      <c r="A426" t="s">
        <v>2709</v>
      </c>
      <c r="B426" t="s">
        <v>2710</v>
      </c>
      <c r="C426" t="s">
        <v>4265</v>
      </c>
    </row>
    <row r="427" spans="1:3">
      <c r="A427" t="s">
        <v>2711</v>
      </c>
      <c r="B427" t="s">
        <v>2712</v>
      </c>
      <c r="C427" t="s">
        <v>4266</v>
      </c>
    </row>
    <row r="428" spans="1:3">
      <c r="A428" t="s">
        <v>2713</v>
      </c>
      <c r="B428" t="s">
        <v>2714</v>
      </c>
      <c r="C428" t="s">
        <v>4267</v>
      </c>
    </row>
    <row r="429" spans="1:3">
      <c r="A429" t="s">
        <v>2715</v>
      </c>
      <c r="B429" t="s">
        <v>2716</v>
      </c>
      <c r="C429" t="s">
        <v>4268</v>
      </c>
    </row>
    <row r="430" spans="1:3">
      <c r="A430" t="s">
        <v>2717</v>
      </c>
      <c r="B430" t="s">
        <v>2718</v>
      </c>
      <c r="C430" t="s">
        <v>4269</v>
      </c>
    </row>
    <row r="431" spans="1:3">
      <c r="A431" t="s">
        <v>2719</v>
      </c>
      <c r="B431" t="s">
        <v>2720</v>
      </c>
      <c r="C431" t="s">
        <v>4270</v>
      </c>
    </row>
    <row r="432" spans="1:3">
      <c r="A432" t="s">
        <v>2721</v>
      </c>
    </row>
    <row r="433" spans="1:3">
      <c r="A433" t="s">
        <v>2722</v>
      </c>
    </row>
    <row r="434" spans="1:3">
      <c r="A434" t="s">
        <v>2723</v>
      </c>
      <c r="B434" t="s">
        <v>2724</v>
      </c>
      <c r="C434" t="s">
        <v>4271</v>
      </c>
    </row>
    <row r="435" spans="1:3">
      <c r="A435" t="s">
        <v>2725</v>
      </c>
      <c r="B435" t="s">
        <v>2726</v>
      </c>
      <c r="C435" t="s">
        <v>4272</v>
      </c>
    </row>
    <row r="436" spans="1:3">
      <c r="A436" t="s">
        <v>2727</v>
      </c>
      <c r="B436" t="s">
        <v>2728</v>
      </c>
      <c r="C436" t="s">
        <v>4273</v>
      </c>
    </row>
    <row r="437" spans="1:3">
      <c r="A437" t="s">
        <v>2729</v>
      </c>
      <c r="B437" t="s">
        <v>2730</v>
      </c>
      <c r="C437" t="s">
        <v>4274</v>
      </c>
    </row>
    <row r="438" spans="1:3">
      <c r="A438" t="s">
        <v>2731</v>
      </c>
      <c r="B438" t="s">
        <v>2732</v>
      </c>
      <c r="C438" t="s">
        <v>4275</v>
      </c>
    </row>
    <row r="439" spans="1:3">
      <c r="A439" t="s">
        <v>2733</v>
      </c>
      <c r="B439" t="s">
        <v>2734</v>
      </c>
      <c r="C439" t="s">
        <v>4276</v>
      </c>
    </row>
    <row r="440" spans="1:3">
      <c r="A440" t="s">
        <v>2735</v>
      </c>
      <c r="B440" t="s">
        <v>2736</v>
      </c>
      <c r="C440" t="s">
        <v>4277</v>
      </c>
    </row>
    <row r="441" spans="1:3">
      <c r="A441" t="s">
        <v>2737</v>
      </c>
      <c r="B441" t="s">
        <v>2738</v>
      </c>
      <c r="C441" t="s">
        <v>4278</v>
      </c>
    </row>
    <row r="442" spans="1:3">
      <c r="A442" t="s">
        <v>2739</v>
      </c>
      <c r="B442" t="s">
        <v>2740</v>
      </c>
      <c r="C442" t="s">
        <v>4279</v>
      </c>
    </row>
    <row r="443" spans="1:3">
      <c r="A443" t="s">
        <v>2741</v>
      </c>
      <c r="B443" t="s">
        <v>2742</v>
      </c>
      <c r="C443" t="s">
        <v>4280</v>
      </c>
    </row>
    <row r="444" spans="1:3">
      <c r="A444" t="s">
        <v>2743</v>
      </c>
      <c r="C444" t="s">
        <v>4281</v>
      </c>
    </row>
    <row r="445" spans="1:3">
      <c r="A445" t="s">
        <v>2744</v>
      </c>
      <c r="B445" t="s">
        <v>2745</v>
      </c>
      <c r="C445" t="s">
        <v>4282</v>
      </c>
    </row>
    <row r="446" spans="1:3">
      <c r="A446" t="s">
        <v>2746</v>
      </c>
      <c r="B446" t="s">
        <v>2747</v>
      </c>
      <c r="C446" t="s">
        <v>4283</v>
      </c>
    </row>
    <row r="447" spans="1:3">
      <c r="A447" t="s">
        <v>2748</v>
      </c>
      <c r="B447" t="s">
        <v>2749</v>
      </c>
      <c r="C447" t="s">
        <v>4284</v>
      </c>
    </row>
    <row r="448" spans="1:3">
      <c r="A448" t="s">
        <v>2750</v>
      </c>
      <c r="B448" t="s">
        <v>2751</v>
      </c>
      <c r="C448" t="s">
        <v>4285</v>
      </c>
    </row>
    <row r="449" spans="1:3">
      <c r="A449" t="s">
        <v>2752</v>
      </c>
      <c r="B449" t="s">
        <v>2753</v>
      </c>
      <c r="C449" t="s">
        <v>4286</v>
      </c>
    </row>
    <row r="450" spans="1:3">
      <c r="A450" t="s">
        <v>2754</v>
      </c>
      <c r="B450" t="s">
        <v>2755</v>
      </c>
      <c r="C450" t="s">
        <v>4287</v>
      </c>
    </row>
    <row r="451" spans="1:3">
      <c r="A451" t="s">
        <v>2756</v>
      </c>
      <c r="B451" t="s">
        <v>2757</v>
      </c>
      <c r="C451" t="s">
        <v>4288</v>
      </c>
    </row>
    <row r="452" spans="1:3">
      <c r="A452" t="s">
        <v>2758</v>
      </c>
      <c r="B452" t="s">
        <v>2759</v>
      </c>
      <c r="C452" t="s">
        <v>4289</v>
      </c>
    </row>
    <row r="453" spans="1:3">
      <c r="A453" t="s">
        <v>2760</v>
      </c>
      <c r="B453" t="s">
        <v>2761</v>
      </c>
      <c r="C453" t="s">
        <v>4290</v>
      </c>
    </row>
    <row r="454" spans="1:3">
      <c r="A454" t="s">
        <v>2762</v>
      </c>
      <c r="B454" t="s">
        <v>2763</v>
      </c>
      <c r="C454" t="s">
        <v>4291</v>
      </c>
    </row>
    <row r="455" spans="1:3">
      <c r="A455" t="s">
        <v>2764</v>
      </c>
      <c r="B455" t="s">
        <v>2765</v>
      </c>
    </row>
    <row r="456" spans="1:3">
      <c r="A456" t="s">
        <v>2766</v>
      </c>
      <c r="B456" t="s">
        <v>2767</v>
      </c>
      <c r="C456" t="s">
        <v>4292</v>
      </c>
    </row>
    <row r="457" spans="1:3">
      <c r="A457" t="s">
        <v>2768</v>
      </c>
      <c r="B457" t="s">
        <v>2769</v>
      </c>
      <c r="C457" t="s">
        <v>4293</v>
      </c>
    </row>
    <row r="458" spans="1:3">
      <c r="A458" t="s">
        <v>2770</v>
      </c>
      <c r="B458" t="s">
        <v>2771</v>
      </c>
      <c r="C458" t="s">
        <v>4294</v>
      </c>
    </row>
    <row r="459" spans="1:3">
      <c r="A459" t="s">
        <v>2772</v>
      </c>
      <c r="B459" t="s">
        <v>2773</v>
      </c>
      <c r="C459" t="s">
        <v>4295</v>
      </c>
    </row>
    <row r="460" spans="1:3">
      <c r="A460" t="s">
        <v>2774</v>
      </c>
      <c r="B460" t="s">
        <v>2775</v>
      </c>
      <c r="C460" t="s">
        <v>4296</v>
      </c>
    </row>
    <row r="461" spans="1:3">
      <c r="A461" t="s">
        <v>2776</v>
      </c>
      <c r="B461" t="s">
        <v>2777</v>
      </c>
      <c r="C461" t="s">
        <v>4297</v>
      </c>
    </row>
    <row r="462" spans="1:3">
      <c r="A462" t="s">
        <v>2778</v>
      </c>
      <c r="B462" t="s">
        <v>2779</v>
      </c>
      <c r="C462" t="s">
        <v>4298</v>
      </c>
    </row>
    <row r="463" spans="1:3">
      <c r="A463" t="s">
        <v>2780</v>
      </c>
      <c r="B463" t="s">
        <v>2781</v>
      </c>
      <c r="C463" t="s">
        <v>4299</v>
      </c>
    </row>
    <row r="464" spans="1:3">
      <c r="A464" t="s">
        <v>2782</v>
      </c>
      <c r="B464" t="s">
        <v>2783</v>
      </c>
      <c r="C464" t="s">
        <v>4300</v>
      </c>
    </row>
    <row r="465" spans="1:3">
      <c r="A465" t="s">
        <v>2784</v>
      </c>
      <c r="B465" t="s">
        <v>2785</v>
      </c>
      <c r="C465" t="s">
        <v>4301</v>
      </c>
    </row>
    <row r="466" spans="1:3">
      <c r="A466" t="s">
        <v>2786</v>
      </c>
      <c r="C466" t="s">
        <v>4302</v>
      </c>
    </row>
    <row r="467" spans="1:3">
      <c r="A467" t="s">
        <v>2787</v>
      </c>
      <c r="B467" t="s">
        <v>2788</v>
      </c>
      <c r="C467" t="s">
        <v>4303</v>
      </c>
    </row>
    <row r="468" spans="1:3">
      <c r="A468" t="s">
        <v>2789</v>
      </c>
    </row>
    <row r="469" spans="1:3">
      <c r="A469" t="s">
        <v>2790</v>
      </c>
      <c r="B469" t="s">
        <v>2791</v>
      </c>
    </row>
    <row r="470" spans="1:3">
      <c r="A470" t="s">
        <v>2792</v>
      </c>
      <c r="B470" t="s">
        <v>2793</v>
      </c>
      <c r="C470" t="s">
        <v>4304</v>
      </c>
    </row>
    <row r="471" spans="1:3">
      <c r="A471" t="s">
        <v>2794</v>
      </c>
      <c r="B471" t="s">
        <v>2795</v>
      </c>
      <c r="C471" t="s">
        <v>4305</v>
      </c>
    </row>
    <row r="472" spans="1:3">
      <c r="A472" t="s">
        <v>2796</v>
      </c>
      <c r="B472" t="s">
        <v>2797</v>
      </c>
      <c r="C472" t="s">
        <v>4306</v>
      </c>
    </row>
    <row r="473" spans="1:3">
      <c r="A473" t="s">
        <v>2798</v>
      </c>
      <c r="B473" t="s">
        <v>2799</v>
      </c>
      <c r="C473" t="s">
        <v>4307</v>
      </c>
    </row>
    <row r="474" spans="1:3">
      <c r="A474" t="s">
        <v>2800</v>
      </c>
      <c r="B474" t="s">
        <v>2801</v>
      </c>
      <c r="C474" t="s">
        <v>4308</v>
      </c>
    </row>
    <row r="475" spans="1:3">
      <c r="A475" t="s">
        <v>2802</v>
      </c>
    </row>
    <row r="476" spans="1:3">
      <c r="A476" t="s">
        <v>2803</v>
      </c>
      <c r="C476" t="s">
        <v>4309</v>
      </c>
    </row>
    <row r="477" spans="1:3">
      <c r="A477" t="s">
        <v>2804</v>
      </c>
      <c r="B477" t="s">
        <v>2805</v>
      </c>
      <c r="C477" t="s">
        <v>4310</v>
      </c>
    </row>
    <row r="478" spans="1:3">
      <c r="A478" t="s">
        <v>2806</v>
      </c>
      <c r="B478" t="s">
        <v>2807</v>
      </c>
      <c r="C478" t="s">
        <v>4311</v>
      </c>
    </row>
    <row r="479" spans="1:3">
      <c r="A479" t="s">
        <v>2808</v>
      </c>
      <c r="B479" t="s">
        <v>2809</v>
      </c>
      <c r="C479" t="s">
        <v>4312</v>
      </c>
    </row>
    <row r="480" spans="1:3">
      <c r="A480" t="s">
        <v>2810</v>
      </c>
      <c r="B480" t="s">
        <v>2811</v>
      </c>
      <c r="C480" t="s">
        <v>4313</v>
      </c>
    </row>
    <row r="481" spans="1:3">
      <c r="A481" t="s">
        <v>2812</v>
      </c>
      <c r="B481" t="s">
        <v>2813</v>
      </c>
      <c r="C481" t="s">
        <v>4314</v>
      </c>
    </row>
    <row r="482" spans="1:3">
      <c r="A482" t="s">
        <v>2814</v>
      </c>
      <c r="B482" t="s">
        <v>2815</v>
      </c>
      <c r="C482" t="s">
        <v>4315</v>
      </c>
    </row>
    <row r="483" spans="1:3">
      <c r="A483" t="s">
        <v>2816</v>
      </c>
      <c r="B483" t="s">
        <v>2817</v>
      </c>
      <c r="C483" t="s">
        <v>4315</v>
      </c>
    </row>
    <row r="484" spans="1:3">
      <c r="A484" t="s">
        <v>2818</v>
      </c>
      <c r="B484" t="s">
        <v>2819</v>
      </c>
      <c r="C484" t="s">
        <v>4316</v>
      </c>
    </row>
    <row r="485" spans="1:3">
      <c r="A485" t="s">
        <v>2820</v>
      </c>
      <c r="B485" t="s">
        <v>2821</v>
      </c>
      <c r="C485" t="s">
        <v>4317</v>
      </c>
    </row>
    <row r="486" spans="1:3">
      <c r="A486" t="s">
        <v>2822</v>
      </c>
      <c r="B486" t="s">
        <v>2823</v>
      </c>
      <c r="C486" t="s">
        <v>4318</v>
      </c>
    </row>
    <row r="487" spans="1:3">
      <c r="A487" t="s">
        <v>2824</v>
      </c>
      <c r="B487" t="s">
        <v>2825</v>
      </c>
      <c r="C487" t="s">
        <v>4319</v>
      </c>
    </row>
    <row r="488" spans="1:3">
      <c r="A488" t="s">
        <v>2826</v>
      </c>
      <c r="B488" t="s">
        <v>2827</v>
      </c>
      <c r="C488" t="s">
        <v>4320</v>
      </c>
    </row>
    <row r="489" spans="1:3">
      <c r="A489" t="s">
        <v>2828</v>
      </c>
      <c r="B489" t="s">
        <v>2829</v>
      </c>
      <c r="C489" t="s">
        <v>4321</v>
      </c>
    </row>
    <row r="490" spans="1:3">
      <c r="A490" t="s">
        <v>2830</v>
      </c>
      <c r="B490" t="s">
        <v>2831</v>
      </c>
      <c r="C490" t="s">
        <v>4322</v>
      </c>
    </row>
    <row r="491" spans="1:3">
      <c r="A491" t="s">
        <v>2832</v>
      </c>
      <c r="B491" t="s">
        <v>2833</v>
      </c>
      <c r="C491" t="s">
        <v>4323</v>
      </c>
    </row>
    <row r="492" spans="1:3">
      <c r="A492" t="s">
        <v>2834</v>
      </c>
      <c r="B492" t="s">
        <v>2835</v>
      </c>
      <c r="C492" t="s">
        <v>4324</v>
      </c>
    </row>
    <row r="493" spans="1:3">
      <c r="A493" t="s">
        <v>2836</v>
      </c>
      <c r="B493" t="s">
        <v>2837</v>
      </c>
      <c r="C493" t="s">
        <v>4325</v>
      </c>
    </row>
    <row r="494" spans="1:3">
      <c r="A494" t="s">
        <v>2838</v>
      </c>
      <c r="B494" t="s">
        <v>2839</v>
      </c>
      <c r="C494" t="s">
        <v>4326</v>
      </c>
    </row>
    <row r="495" spans="1:3">
      <c r="A495" t="s">
        <v>2840</v>
      </c>
      <c r="B495" t="s">
        <v>2841</v>
      </c>
      <c r="C495" t="s">
        <v>4327</v>
      </c>
    </row>
    <row r="496" spans="1:3">
      <c r="A496" t="s">
        <v>2842</v>
      </c>
      <c r="B496" t="s">
        <v>2843</v>
      </c>
      <c r="C496" t="s">
        <v>4328</v>
      </c>
    </row>
    <row r="497" spans="1:3">
      <c r="A497" t="s">
        <v>2844</v>
      </c>
      <c r="B497" t="s">
        <v>2845</v>
      </c>
      <c r="C497" t="s">
        <v>4329</v>
      </c>
    </row>
    <row r="498" spans="1:3">
      <c r="A498" t="s">
        <v>2846</v>
      </c>
      <c r="B498" t="s">
        <v>2847</v>
      </c>
      <c r="C498" t="s">
        <v>4330</v>
      </c>
    </row>
    <row r="499" spans="1:3">
      <c r="A499" t="s">
        <v>2848</v>
      </c>
      <c r="B499" t="s">
        <v>2849</v>
      </c>
      <c r="C499" t="s">
        <v>4331</v>
      </c>
    </row>
    <row r="500" spans="1:3">
      <c r="A500" t="s">
        <v>2850</v>
      </c>
      <c r="B500" t="s">
        <v>2851</v>
      </c>
      <c r="C500" t="s">
        <v>4332</v>
      </c>
    </row>
    <row r="501" spans="1:3">
      <c r="A501" t="s">
        <v>2852</v>
      </c>
      <c r="B501" t="s">
        <v>2853</v>
      </c>
      <c r="C501" t="s">
        <v>4333</v>
      </c>
    </row>
    <row r="502" spans="1:3">
      <c r="A502" t="s">
        <v>2854</v>
      </c>
      <c r="B502" t="s">
        <v>2855</v>
      </c>
      <c r="C502" t="s">
        <v>4334</v>
      </c>
    </row>
    <row r="503" spans="1:3">
      <c r="A503" t="s">
        <v>2856</v>
      </c>
      <c r="B503" t="s">
        <v>2857</v>
      </c>
      <c r="C503" t="s">
        <v>4335</v>
      </c>
    </row>
    <row r="504" spans="1:3">
      <c r="A504" t="s">
        <v>2858</v>
      </c>
      <c r="B504" t="s">
        <v>2859</v>
      </c>
      <c r="C504" t="s">
        <v>4336</v>
      </c>
    </row>
    <row r="505" spans="1:3">
      <c r="A505" t="s">
        <v>2860</v>
      </c>
      <c r="B505" t="s">
        <v>2861</v>
      </c>
      <c r="C505" t="s">
        <v>4337</v>
      </c>
    </row>
    <row r="506" spans="1:3">
      <c r="A506" t="s">
        <v>2862</v>
      </c>
      <c r="B506" t="s">
        <v>2863</v>
      </c>
      <c r="C506" t="s">
        <v>4282</v>
      </c>
    </row>
    <row r="507" spans="1:3">
      <c r="A507" t="s">
        <v>2864</v>
      </c>
      <c r="B507" t="s">
        <v>2865</v>
      </c>
      <c r="C507" t="s">
        <v>4338</v>
      </c>
    </row>
    <row r="508" spans="1:3">
      <c r="A508" t="s">
        <v>2866</v>
      </c>
      <c r="B508" t="s">
        <v>2867</v>
      </c>
      <c r="C508" t="s">
        <v>4339</v>
      </c>
    </row>
    <row r="509" spans="1:3">
      <c r="A509" t="s">
        <v>2868</v>
      </c>
      <c r="B509" t="s">
        <v>2869</v>
      </c>
      <c r="C509" t="s">
        <v>4340</v>
      </c>
    </row>
    <row r="510" spans="1:3">
      <c r="A510" t="s">
        <v>2870</v>
      </c>
      <c r="B510" t="s">
        <v>2871</v>
      </c>
      <c r="C510" t="s">
        <v>4341</v>
      </c>
    </row>
    <row r="511" spans="1:3">
      <c r="A511" t="s">
        <v>2872</v>
      </c>
      <c r="B511" t="s">
        <v>2873</v>
      </c>
      <c r="C511" t="s">
        <v>4342</v>
      </c>
    </row>
    <row r="512" spans="1:3">
      <c r="A512" t="s">
        <v>2874</v>
      </c>
      <c r="B512" t="s">
        <v>2875</v>
      </c>
      <c r="C512" t="s">
        <v>4343</v>
      </c>
    </row>
    <row r="513" spans="1:3">
      <c r="A513" t="s">
        <v>2876</v>
      </c>
      <c r="C513" t="s">
        <v>4214</v>
      </c>
    </row>
    <row r="514" spans="1:3">
      <c r="A514" t="s">
        <v>2877</v>
      </c>
      <c r="B514" t="s">
        <v>2878</v>
      </c>
      <c r="C514" t="s">
        <v>4344</v>
      </c>
    </row>
    <row r="515" spans="1:3">
      <c r="A515" t="s">
        <v>2879</v>
      </c>
      <c r="B515" t="s">
        <v>2880</v>
      </c>
      <c r="C515" t="s">
        <v>4345</v>
      </c>
    </row>
    <row r="516" spans="1:3">
      <c r="A516" t="s">
        <v>2881</v>
      </c>
      <c r="B516" t="s">
        <v>2882</v>
      </c>
      <c r="C516" t="s">
        <v>4346</v>
      </c>
    </row>
    <row r="517" spans="1:3">
      <c r="A517" t="s">
        <v>2883</v>
      </c>
      <c r="B517" t="s">
        <v>2884</v>
      </c>
      <c r="C517" t="s">
        <v>4347</v>
      </c>
    </row>
    <row r="518" spans="1:3">
      <c r="A518" t="s">
        <v>2885</v>
      </c>
      <c r="C518" t="s">
        <v>4214</v>
      </c>
    </row>
    <row r="519" spans="1:3">
      <c r="A519" t="s">
        <v>2886</v>
      </c>
      <c r="B519" t="s">
        <v>2887</v>
      </c>
      <c r="C519" t="s">
        <v>4348</v>
      </c>
    </row>
    <row r="520" spans="1:3">
      <c r="A520" t="s">
        <v>2888</v>
      </c>
      <c r="C520" t="s">
        <v>4214</v>
      </c>
    </row>
    <row r="521" spans="1:3">
      <c r="A521" t="s">
        <v>2889</v>
      </c>
      <c r="B521" t="s">
        <v>2890</v>
      </c>
      <c r="C521" t="s">
        <v>4349</v>
      </c>
    </row>
    <row r="522" spans="1:3">
      <c r="A522" t="s">
        <v>2891</v>
      </c>
      <c r="B522" t="s">
        <v>2892</v>
      </c>
      <c r="C522" t="s">
        <v>4350</v>
      </c>
    </row>
    <row r="523" spans="1:3">
      <c r="A523" t="s">
        <v>2893</v>
      </c>
      <c r="B523" t="s">
        <v>2894</v>
      </c>
      <c r="C523" t="s">
        <v>4351</v>
      </c>
    </row>
    <row r="524" spans="1:3">
      <c r="A524" t="s">
        <v>2895</v>
      </c>
      <c r="C524" t="s">
        <v>4214</v>
      </c>
    </row>
    <row r="525" spans="1:3">
      <c r="A525" t="s">
        <v>2896</v>
      </c>
      <c r="B525" t="s">
        <v>2897</v>
      </c>
      <c r="C525" t="s">
        <v>4352</v>
      </c>
    </row>
    <row r="526" spans="1:3">
      <c r="A526" t="s">
        <v>2898</v>
      </c>
      <c r="B526" t="s">
        <v>2899</v>
      </c>
      <c r="C526" t="s">
        <v>4353</v>
      </c>
    </row>
    <row r="527" spans="1:3">
      <c r="A527" t="s">
        <v>2900</v>
      </c>
      <c r="C527" t="s">
        <v>4354</v>
      </c>
    </row>
    <row r="528" spans="1:3">
      <c r="A528" t="s">
        <v>2901</v>
      </c>
      <c r="B528" t="s">
        <v>2902</v>
      </c>
      <c r="C528" t="s">
        <v>4355</v>
      </c>
    </row>
    <row r="529" spans="1:3">
      <c r="A529" t="s">
        <v>2903</v>
      </c>
      <c r="B529" t="s">
        <v>2904</v>
      </c>
      <c r="C529" t="s">
        <v>4356</v>
      </c>
    </row>
    <row r="530" spans="1:3">
      <c r="A530" t="s">
        <v>2905</v>
      </c>
      <c r="B530" t="s">
        <v>2906</v>
      </c>
      <c r="C530" t="s">
        <v>4027</v>
      </c>
    </row>
    <row r="531" spans="1:3">
      <c r="A531" t="s">
        <v>2907</v>
      </c>
    </row>
    <row r="532" spans="1:3">
      <c r="A532" t="s">
        <v>2908</v>
      </c>
      <c r="B532" t="s">
        <v>2909</v>
      </c>
      <c r="C532" t="s">
        <v>4357</v>
      </c>
    </row>
    <row r="533" spans="1:3">
      <c r="A533" t="s">
        <v>2910</v>
      </c>
    </row>
    <row r="534" spans="1:3">
      <c r="A534" t="s">
        <v>2911</v>
      </c>
      <c r="B534" t="s">
        <v>2912</v>
      </c>
      <c r="C534" t="s">
        <v>4358</v>
      </c>
    </row>
    <row r="535" spans="1:3">
      <c r="A535" t="s">
        <v>2913</v>
      </c>
    </row>
    <row r="536" spans="1:3">
      <c r="A536" t="s">
        <v>2914</v>
      </c>
      <c r="B536" t="s">
        <v>2915</v>
      </c>
      <c r="C536" t="s">
        <v>4359</v>
      </c>
    </row>
    <row r="537" spans="1:3">
      <c r="A537" t="s">
        <v>2916</v>
      </c>
      <c r="B537" t="s">
        <v>2917</v>
      </c>
      <c r="C537" t="s">
        <v>4360</v>
      </c>
    </row>
    <row r="538" spans="1:3">
      <c r="A538" t="s">
        <v>2918</v>
      </c>
      <c r="B538" t="s">
        <v>2919</v>
      </c>
      <c r="C538" t="s">
        <v>4361</v>
      </c>
    </row>
    <row r="539" spans="1:3">
      <c r="A539" t="s">
        <v>2920</v>
      </c>
      <c r="B539" t="s">
        <v>2921</v>
      </c>
      <c r="C539" t="s">
        <v>4362</v>
      </c>
    </row>
    <row r="540" spans="1:3">
      <c r="A540" t="s">
        <v>2922</v>
      </c>
      <c r="B540" t="s">
        <v>2923</v>
      </c>
      <c r="C540" t="s">
        <v>4363</v>
      </c>
    </row>
    <row r="541" spans="1:3">
      <c r="A541" t="s">
        <v>2924</v>
      </c>
      <c r="B541" t="s">
        <v>2925</v>
      </c>
      <c r="C541" t="s">
        <v>4364</v>
      </c>
    </row>
    <row r="542" spans="1:3">
      <c r="A542" t="s">
        <v>2926</v>
      </c>
      <c r="B542" t="s">
        <v>2927</v>
      </c>
      <c r="C542" t="s">
        <v>4365</v>
      </c>
    </row>
    <row r="543" spans="1:3">
      <c r="A543" t="s">
        <v>2928</v>
      </c>
      <c r="B543" t="s">
        <v>2929</v>
      </c>
      <c r="C543" t="s">
        <v>4366</v>
      </c>
    </row>
    <row r="544" spans="1:3">
      <c r="A544" t="s">
        <v>2930</v>
      </c>
      <c r="B544" t="s">
        <v>2931</v>
      </c>
    </row>
    <row r="545" spans="1:3">
      <c r="A545" t="s">
        <v>2932</v>
      </c>
      <c r="B545" t="s">
        <v>2933</v>
      </c>
      <c r="C545" t="s">
        <v>4367</v>
      </c>
    </row>
    <row r="546" spans="1:3">
      <c r="A546" t="s">
        <v>2934</v>
      </c>
      <c r="B546" t="s">
        <v>2935</v>
      </c>
      <c r="C546" t="s">
        <v>4368</v>
      </c>
    </row>
    <row r="547" spans="1:3">
      <c r="A547" t="s">
        <v>2936</v>
      </c>
      <c r="B547" t="s">
        <v>2937</v>
      </c>
      <c r="C547" t="s">
        <v>4369</v>
      </c>
    </row>
    <row r="548" spans="1:3">
      <c r="A548" t="s">
        <v>2938</v>
      </c>
      <c r="B548" t="s">
        <v>2939</v>
      </c>
      <c r="C548" t="s">
        <v>4370</v>
      </c>
    </row>
    <row r="549" spans="1:3">
      <c r="A549" t="s">
        <v>2940</v>
      </c>
      <c r="B549" t="s">
        <v>2941</v>
      </c>
      <c r="C549" t="s">
        <v>4371</v>
      </c>
    </row>
    <row r="550" spans="1:3">
      <c r="A550" t="s">
        <v>2942</v>
      </c>
      <c r="B550" t="s">
        <v>2943</v>
      </c>
      <c r="C550" t="s">
        <v>4372</v>
      </c>
    </row>
    <row r="551" spans="1:3">
      <c r="A551" t="s">
        <v>2944</v>
      </c>
      <c r="B551" t="s">
        <v>2945</v>
      </c>
      <c r="C551" t="s">
        <v>4373</v>
      </c>
    </row>
    <row r="552" spans="1:3">
      <c r="A552" t="s">
        <v>2946</v>
      </c>
      <c r="B552" t="s">
        <v>2947</v>
      </c>
      <c r="C552" t="s">
        <v>4374</v>
      </c>
    </row>
    <row r="553" spans="1:3">
      <c r="A553" t="s">
        <v>2948</v>
      </c>
      <c r="B553" t="s">
        <v>2949</v>
      </c>
      <c r="C553" t="s">
        <v>4375</v>
      </c>
    </row>
    <row r="554" spans="1:3">
      <c r="A554" t="s">
        <v>2950</v>
      </c>
      <c r="B554" t="s">
        <v>2951</v>
      </c>
      <c r="C554" t="s">
        <v>4376</v>
      </c>
    </row>
    <row r="555" spans="1:3">
      <c r="A555" t="s">
        <v>2952</v>
      </c>
      <c r="B555" t="s">
        <v>2953</v>
      </c>
      <c r="C555" t="s">
        <v>4377</v>
      </c>
    </row>
    <row r="556" spans="1:3">
      <c r="A556" t="s">
        <v>2954</v>
      </c>
      <c r="B556" t="s">
        <v>2955</v>
      </c>
      <c r="C556" t="s">
        <v>4378</v>
      </c>
    </row>
    <row r="557" spans="1:3">
      <c r="A557" t="s">
        <v>2956</v>
      </c>
      <c r="B557" t="s">
        <v>2957</v>
      </c>
      <c r="C557" t="s">
        <v>4379</v>
      </c>
    </row>
    <row r="558" spans="1:3">
      <c r="A558" t="s">
        <v>2958</v>
      </c>
      <c r="B558" t="s">
        <v>2959</v>
      </c>
      <c r="C558" t="s">
        <v>4380</v>
      </c>
    </row>
    <row r="559" spans="1:3">
      <c r="A559" t="s">
        <v>2960</v>
      </c>
      <c r="B559" t="s">
        <v>2961</v>
      </c>
      <c r="C559" t="s">
        <v>4381</v>
      </c>
    </row>
    <row r="560" spans="1:3">
      <c r="A560" t="s">
        <v>2962</v>
      </c>
      <c r="B560" t="s">
        <v>2963</v>
      </c>
      <c r="C560" t="s">
        <v>4382</v>
      </c>
    </row>
    <row r="561" spans="1:3">
      <c r="A561" t="s">
        <v>2964</v>
      </c>
      <c r="B561" t="s">
        <v>2965</v>
      </c>
      <c r="C561" t="s">
        <v>4383</v>
      </c>
    </row>
    <row r="562" spans="1:3">
      <c r="A562" t="s">
        <v>2966</v>
      </c>
      <c r="B562" t="s">
        <v>2967</v>
      </c>
      <c r="C562" t="s">
        <v>4384</v>
      </c>
    </row>
    <row r="563" spans="1:3">
      <c r="A563" t="s">
        <v>2968</v>
      </c>
      <c r="B563" t="s">
        <v>2969</v>
      </c>
      <c r="C563" t="s">
        <v>4385</v>
      </c>
    </row>
    <row r="564" spans="1:3">
      <c r="A564" t="s">
        <v>2970</v>
      </c>
      <c r="B564" t="s">
        <v>2971</v>
      </c>
      <c r="C564" t="s">
        <v>4386</v>
      </c>
    </row>
    <row r="565" spans="1:3">
      <c r="A565" t="s">
        <v>2972</v>
      </c>
      <c r="B565" t="s">
        <v>2973</v>
      </c>
      <c r="C565" t="s">
        <v>4387</v>
      </c>
    </row>
    <row r="566" spans="1:3">
      <c r="A566" t="s">
        <v>2974</v>
      </c>
      <c r="B566" t="s">
        <v>2975</v>
      </c>
      <c r="C566" t="s">
        <v>4388</v>
      </c>
    </row>
    <row r="567" spans="1:3">
      <c r="A567" t="s">
        <v>2976</v>
      </c>
      <c r="B567" t="s">
        <v>2977</v>
      </c>
      <c r="C567" t="s">
        <v>4389</v>
      </c>
    </row>
    <row r="568" spans="1:3">
      <c r="A568" t="s">
        <v>2978</v>
      </c>
      <c r="B568" t="s">
        <v>2979</v>
      </c>
      <c r="C568" t="s">
        <v>4390</v>
      </c>
    </row>
    <row r="569" spans="1:3">
      <c r="A569" t="s">
        <v>2980</v>
      </c>
      <c r="B569" t="s">
        <v>2981</v>
      </c>
      <c r="C569" t="s">
        <v>4391</v>
      </c>
    </row>
    <row r="570" spans="1:3">
      <c r="A570" t="s">
        <v>2982</v>
      </c>
      <c r="B570" t="s">
        <v>2983</v>
      </c>
      <c r="C570" t="s">
        <v>4392</v>
      </c>
    </row>
    <row r="571" spans="1:3">
      <c r="A571" t="s">
        <v>2984</v>
      </c>
      <c r="B571" t="s">
        <v>2985</v>
      </c>
      <c r="C571" t="s">
        <v>4393</v>
      </c>
    </row>
    <row r="572" spans="1:3">
      <c r="A572" t="s">
        <v>2986</v>
      </c>
    </row>
    <row r="573" spans="1:3">
      <c r="A573" t="s">
        <v>2987</v>
      </c>
      <c r="B573" t="s">
        <v>2988</v>
      </c>
      <c r="C573" t="s">
        <v>4394</v>
      </c>
    </row>
    <row r="574" spans="1:3">
      <c r="A574" t="s">
        <v>2989</v>
      </c>
      <c r="B574" t="s">
        <v>2990</v>
      </c>
      <c r="C574" t="s">
        <v>4395</v>
      </c>
    </row>
    <row r="575" spans="1:3">
      <c r="A575" t="s">
        <v>2991</v>
      </c>
      <c r="B575" t="s">
        <v>2992</v>
      </c>
      <c r="C575" t="s">
        <v>4396</v>
      </c>
    </row>
    <row r="576" spans="1:3">
      <c r="A576" t="s">
        <v>2993</v>
      </c>
      <c r="B576" t="s">
        <v>2994</v>
      </c>
      <c r="C576" t="s">
        <v>4397</v>
      </c>
    </row>
    <row r="577" spans="1:3">
      <c r="A577" t="s">
        <v>2995</v>
      </c>
      <c r="B577" t="s">
        <v>2996</v>
      </c>
      <c r="C577" t="s">
        <v>4398</v>
      </c>
    </row>
    <row r="578" spans="1:3">
      <c r="A578" t="s">
        <v>2997</v>
      </c>
      <c r="B578" t="s">
        <v>2998</v>
      </c>
      <c r="C578" t="s">
        <v>4399</v>
      </c>
    </row>
    <row r="579" spans="1:3">
      <c r="A579" t="s">
        <v>2999</v>
      </c>
      <c r="B579" t="s">
        <v>3000</v>
      </c>
      <c r="C579" t="s">
        <v>4400</v>
      </c>
    </row>
    <row r="580" spans="1:3">
      <c r="A580" t="s">
        <v>3001</v>
      </c>
      <c r="B580" t="s">
        <v>9</v>
      </c>
    </row>
    <row r="581" spans="1:3">
      <c r="A581" t="s">
        <v>3002</v>
      </c>
    </row>
    <row r="582" spans="1:3">
      <c r="A582" t="s">
        <v>3003</v>
      </c>
      <c r="B582" t="s">
        <v>3004</v>
      </c>
      <c r="C582" t="s">
        <v>4401</v>
      </c>
    </row>
    <row r="583" spans="1:3">
      <c r="A583" t="s">
        <v>3005</v>
      </c>
      <c r="B583" t="s">
        <v>3006</v>
      </c>
      <c r="C583" t="s">
        <v>4402</v>
      </c>
    </row>
    <row r="584" spans="1:3">
      <c r="A584" t="s">
        <v>3007</v>
      </c>
    </row>
    <row r="585" spans="1:3">
      <c r="A585" t="s">
        <v>3008</v>
      </c>
      <c r="B585" t="s">
        <v>3009</v>
      </c>
      <c r="C585" t="s">
        <v>4403</v>
      </c>
    </row>
    <row r="586" spans="1:3">
      <c r="A586" t="s">
        <v>3010</v>
      </c>
    </row>
    <row r="587" spans="1:3">
      <c r="A587" t="s">
        <v>3011</v>
      </c>
      <c r="B587" t="s">
        <v>3012</v>
      </c>
      <c r="C587" t="s">
        <v>4404</v>
      </c>
    </row>
    <row r="588" spans="1:3">
      <c r="A588" t="s">
        <v>3013</v>
      </c>
      <c r="B588" t="s">
        <v>3014</v>
      </c>
      <c r="C588" t="s">
        <v>4405</v>
      </c>
    </row>
    <row r="589" spans="1:3">
      <c r="A589" t="s">
        <v>3015</v>
      </c>
      <c r="B589" t="s">
        <v>3016</v>
      </c>
      <c r="C589" t="s">
        <v>4406</v>
      </c>
    </row>
    <row r="590" spans="1:3">
      <c r="A590" t="s">
        <v>3017</v>
      </c>
      <c r="B590" t="s">
        <v>3018</v>
      </c>
      <c r="C590" t="s">
        <v>4407</v>
      </c>
    </row>
    <row r="591" spans="1:3">
      <c r="A591" t="s">
        <v>3019</v>
      </c>
    </row>
    <row r="592" spans="1:3">
      <c r="A592" t="s">
        <v>3020</v>
      </c>
    </row>
    <row r="593" spans="1:3">
      <c r="A593" t="s">
        <v>3021</v>
      </c>
      <c r="B593" t="s">
        <v>3022</v>
      </c>
      <c r="C593" t="s">
        <v>4408</v>
      </c>
    </row>
    <row r="594" spans="1:3">
      <c r="A594" t="s">
        <v>3023</v>
      </c>
    </row>
    <row r="595" spans="1:3">
      <c r="A595" t="s">
        <v>3024</v>
      </c>
    </row>
    <row r="596" spans="1:3">
      <c r="A596" t="s">
        <v>3025</v>
      </c>
      <c r="B596" t="s">
        <v>3026</v>
      </c>
      <c r="C596" t="s">
        <v>4409</v>
      </c>
    </row>
    <row r="597" spans="1:3">
      <c r="A597" t="s">
        <v>3027</v>
      </c>
    </row>
    <row r="598" spans="1:3">
      <c r="A598" t="s">
        <v>3028</v>
      </c>
    </row>
    <row r="599" spans="1:3">
      <c r="A599" t="s">
        <v>3029</v>
      </c>
      <c r="B599" t="s">
        <v>3030</v>
      </c>
      <c r="C599" t="s">
        <v>4410</v>
      </c>
    </row>
    <row r="600" spans="1:3">
      <c r="A600" t="s">
        <v>3031</v>
      </c>
      <c r="B600" t="s">
        <v>3032</v>
      </c>
      <c r="C600" t="s">
        <v>4411</v>
      </c>
    </row>
    <row r="601" spans="1:3">
      <c r="A601" t="s">
        <v>3033</v>
      </c>
      <c r="B601" t="s">
        <v>3034</v>
      </c>
      <c r="C601" t="s">
        <v>4412</v>
      </c>
    </row>
    <row r="602" spans="1:3">
      <c r="A602" t="s">
        <v>3035</v>
      </c>
      <c r="B602" t="s">
        <v>3036</v>
      </c>
      <c r="C602" t="s">
        <v>4413</v>
      </c>
    </row>
    <row r="603" spans="1:3">
      <c r="A603" t="s">
        <v>3037</v>
      </c>
      <c r="B603" t="s">
        <v>3038</v>
      </c>
    </row>
    <row r="604" spans="1:3">
      <c r="A604" t="s">
        <v>3039</v>
      </c>
      <c r="B604" t="s">
        <v>3040</v>
      </c>
      <c r="C604" t="s">
        <v>4414</v>
      </c>
    </row>
    <row r="605" spans="1:3">
      <c r="A605" t="s">
        <v>3041</v>
      </c>
      <c r="B605" t="s">
        <v>3042</v>
      </c>
      <c r="C605" t="s">
        <v>4415</v>
      </c>
    </row>
    <row r="606" spans="1:3">
      <c r="A606" t="s">
        <v>3043</v>
      </c>
      <c r="B606" t="s">
        <v>3044</v>
      </c>
      <c r="C606" t="s">
        <v>4416</v>
      </c>
    </row>
    <row r="607" spans="1:3">
      <c r="A607" t="s">
        <v>3045</v>
      </c>
      <c r="B607" t="s">
        <v>3046</v>
      </c>
      <c r="C607" t="s">
        <v>4417</v>
      </c>
    </row>
    <row r="608" spans="1:3">
      <c r="A608" t="s">
        <v>3047</v>
      </c>
      <c r="B608" t="s">
        <v>3048</v>
      </c>
      <c r="C608" t="s">
        <v>4418</v>
      </c>
    </row>
    <row r="609" spans="1:3">
      <c r="A609" t="s">
        <v>3049</v>
      </c>
      <c r="B609" t="s">
        <v>3050</v>
      </c>
      <c r="C609" t="s">
        <v>4419</v>
      </c>
    </row>
    <row r="610" spans="1:3">
      <c r="A610" t="s">
        <v>3051</v>
      </c>
      <c r="B610" t="s">
        <v>3052</v>
      </c>
      <c r="C610" t="s">
        <v>4420</v>
      </c>
    </row>
    <row r="611" spans="1:3">
      <c r="A611" t="s">
        <v>3053</v>
      </c>
      <c r="B611" t="s">
        <v>3054</v>
      </c>
    </row>
    <row r="612" spans="1:3">
      <c r="A612" t="s">
        <v>3055</v>
      </c>
    </row>
    <row r="613" spans="1:3">
      <c r="A613" t="s">
        <v>3056</v>
      </c>
      <c r="B613" t="s">
        <v>3057</v>
      </c>
      <c r="C613" t="s">
        <v>4421</v>
      </c>
    </row>
    <row r="614" spans="1:3">
      <c r="A614" t="s">
        <v>3058</v>
      </c>
      <c r="B614" t="s">
        <v>3059</v>
      </c>
      <c r="C614" t="s">
        <v>4422</v>
      </c>
    </row>
    <row r="615" spans="1:3">
      <c r="A615" t="s">
        <v>3060</v>
      </c>
      <c r="B615" t="s">
        <v>3061</v>
      </c>
      <c r="C615" t="s">
        <v>4423</v>
      </c>
    </row>
    <row r="616" spans="1:3">
      <c r="A616" t="s">
        <v>3062</v>
      </c>
      <c r="B616" t="s">
        <v>3063</v>
      </c>
      <c r="C616" t="s">
        <v>4424</v>
      </c>
    </row>
    <row r="617" spans="1:3">
      <c r="A617" t="s">
        <v>3064</v>
      </c>
      <c r="B617" t="s">
        <v>3065</v>
      </c>
      <c r="C617" t="s">
        <v>4425</v>
      </c>
    </row>
    <row r="618" spans="1:3">
      <c r="A618" t="s">
        <v>3066</v>
      </c>
      <c r="B618" t="s">
        <v>3067</v>
      </c>
      <c r="C618" t="s">
        <v>4426</v>
      </c>
    </row>
    <row r="619" spans="1:3">
      <c r="A619" t="s">
        <v>3068</v>
      </c>
      <c r="B619" t="s">
        <v>3069</v>
      </c>
    </row>
    <row r="620" spans="1:3">
      <c r="A620" t="s">
        <v>3070</v>
      </c>
      <c r="B620" t="s">
        <v>3071</v>
      </c>
      <c r="C620" t="s">
        <v>4427</v>
      </c>
    </row>
    <row r="621" spans="1:3">
      <c r="A621" t="s">
        <v>3072</v>
      </c>
      <c r="B621" t="s">
        <v>3073</v>
      </c>
      <c r="C621" t="s">
        <v>4428</v>
      </c>
    </row>
    <row r="622" spans="1:3">
      <c r="A622" t="s">
        <v>3074</v>
      </c>
      <c r="B622" t="s">
        <v>3075</v>
      </c>
      <c r="C622" t="s">
        <v>4429</v>
      </c>
    </row>
    <row r="623" spans="1:3">
      <c r="A623" t="s">
        <v>3076</v>
      </c>
      <c r="B623" t="s">
        <v>3077</v>
      </c>
      <c r="C623" t="s">
        <v>4430</v>
      </c>
    </row>
    <row r="624" spans="1:3">
      <c r="A624" t="s">
        <v>3078</v>
      </c>
      <c r="B624" t="s">
        <v>1997</v>
      </c>
      <c r="C624" t="s">
        <v>4431</v>
      </c>
    </row>
    <row r="625" spans="1:3">
      <c r="A625" t="s">
        <v>3079</v>
      </c>
      <c r="B625" t="s">
        <v>1997</v>
      </c>
      <c r="C625" t="s">
        <v>4432</v>
      </c>
    </row>
    <row r="626" spans="1:3">
      <c r="A626" t="s">
        <v>3080</v>
      </c>
      <c r="B626" t="s">
        <v>1997</v>
      </c>
      <c r="C626" t="s">
        <v>4433</v>
      </c>
    </row>
    <row r="627" spans="1:3">
      <c r="A627" t="s">
        <v>3081</v>
      </c>
      <c r="B627" t="s">
        <v>3082</v>
      </c>
      <c r="C627" t="s">
        <v>4434</v>
      </c>
    </row>
    <row r="628" spans="1:3">
      <c r="A628" t="s">
        <v>3083</v>
      </c>
      <c r="B628" t="s">
        <v>3084</v>
      </c>
      <c r="C628" t="s">
        <v>4435</v>
      </c>
    </row>
    <row r="629" spans="1:3">
      <c r="A629" t="s">
        <v>3085</v>
      </c>
      <c r="B629" t="s">
        <v>3086</v>
      </c>
      <c r="C629" t="s">
        <v>4436</v>
      </c>
    </row>
    <row r="630" spans="1:3">
      <c r="A630" t="s">
        <v>3087</v>
      </c>
      <c r="B630" t="s">
        <v>3088</v>
      </c>
      <c r="C630" t="s">
        <v>4437</v>
      </c>
    </row>
    <row r="631" spans="1:3">
      <c r="A631" t="s">
        <v>3089</v>
      </c>
      <c r="B631" t="s">
        <v>3090</v>
      </c>
      <c r="C631" t="s">
        <v>4438</v>
      </c>
    </row>
    <row r="632" spans="1:3">
      <c r="A632" t="s">
        <v>3091</v>
      </c>
      <c r="B632" t="s">
        <v>3092</v>
      </c>
      <c r="C632" t="s">
        <v>4439</v>
      </c>
    </row>
    <row r="633" spans="1:3">
      <c r="A633" t="s">
        <v>3093</v>
      </c>
      <c r="B633" t="s">
        <v>3094</v>
      </c>
      <c r="C633" t="s">
        <v>4440</v>
      </c>
    </row>
    <row r="634" spans="1:3">
      <c r="A634" t="s">
        <v>3095</v>
      </c>
      <c r="B634" t="s">
        <v>3096</v>
      </c>
    </row>
    <row r="635" spans="1:3">
      <c r="A635" t="s">
        <v>3097</v>
      </c>
      <c r="B635" t="s">
        <v>3098</v>
      </c>
      <c r="C635" t="s">
        <v>4441</v>
      </c>
    </row>
    <row r="636" spans="1:3">
      <c r="A636" t="s">
        <v>3099</v>
      </c>
      <c r="B636" t="s">
        <v>3100</v>
      </c>
      <c r="C636" t="s">
        <v>4442</v>
      </c>
    </row>
    <row r="637" spans="1:3">
      <c r="A637" t="s">
        <v>3101</v>
      </c>
      <c r="B637" t="s">
        <v>3102</v>
      </c>
      <c r="C637" t="s">
        <v>4443</v>
      </c>
    </row>
    <row r="638" spans="1:3">
      <c r="A638" t="s">
        <v>3103</v>
      </c>
      <c r="B638" t="s">
        <v>3104</v>
      </c>
      <c r="C638" t="s">
        <v>4444</v>
      </c>
    </row>
    <row r="639" spans="1:3">
      <c r="A639" t="s">
        <v>3105</v>
      </c>
      <c r="B639" t="s">
        <v>3106</v>
      </c>
      <c r="C639" t="s">
        <v>4445</v>
      </c>
    </row>
    <row r="640" spans="1:3">
      <c r="A640" t="s">
        <v>3107</v>
      </c>
      <c r="B640" t="s">
        <v>3108</v>
      </c>
      <c r="C640" t="s">
        <v>4446</v>
      </c>
    </row>
    <row r="641" spans="1:3">
      <c r="A641" t="s">
        <v>3109</v>
      </c>
      <c r="B641" t="s">
        <v>3110</v>
      </c>
    </row>
    <row r="642" spans="1:3">
      <c r="A642" t="s">
        <v>3111</v>
      </c>
      <c r="B642" t="s">
        <v>3112</v>
      </c>
      <c r="C642" t="s">
        <v>4447</v>
      </c>
    </row>
    <row r="643" spans="1:3">
      <c r="A643" t="s">
        <v>3113</v>
      </c>
      <c r="B643" t="s">
        <v>3114</v>
      </c>
      <c r="C643" t="s">
        <v>4448</v>
      </c>
    </row>
    <row r="644" spans="1:3">
      <c r="A644" t="s">
        <v>3115</v>
      </c>
      <c r="B644" t="s">
        <v>3116</v>
      </c>
      <c r="C644" t="s">
        <v>4449</v>
      </c>
    </row>
    <row r="645" spans="1:3">
      <c r="A645" t="s">
        <v>3117</v>
      </c>
      <c r="B645" t="s">
        <v>3118</v>
      </c>
      <c r="C645" t="s">
        <v>4450</v>
      </c>
    </row>
    <row r="646" spans="1:3">
      <c r="A646" t="s">
        <v>3119</v>
      </c>
      <c r="B646" t="s">
        <v>3120</v>
      </c>
      <c r="C646" t="s">
        <v>4451</v>
      </c>
    </row>
    <row r="647" spans="1:3">
      <c r="A647" t="s">
        <v>3121</v>
      </c>
      <c r="B647" t="s">
        <v>3122</v>
      </c>
      <c r="C647" t="s">
        <v>4452</v>
      </c>
    </row>
    <row r="648" spans="1:3">
      <c r="A648" t="s">
        <v>3123</v>
      </c>
      <c r="B648" t="s">
        <v>3124</v>
      </c>
      <c r="C648" t="s">
        <v>4453</v>
      </c>
    </row>
    <row r="649" spans="1:3">
      <c r="A649" t="s">
        <v>3125</v>
      </c>
      <c r="B649" t="s">
        <v>3126</v>
      </c>
      <c r="C649" t="s">
        <v>4453</v>
      </c>
    </row>
    <row r="650" spans="1:3">
      <c r="A650" t="s">
        <v>3127</v>
      </c>
      <c r="B650" t="s">
        <v>9</v>
      </c>
    </row>
    <row r="651" spans="1:3">
      <c r="A651" t="s">
        <v>3128</v>
      </c>
      <c r="B651" t="s">
        <v>3129</v>
      </c>
      <c r="C651" t="s">
        <v>4454</v>
      </c>
    </row>
    <row r="652" spans="1:3">
      <c r="A652" t="s">
        <v>3130</v>
      </c>
      <c r="B652" t="s">
        <v>3131</v>
      </c>
      <c r="C652" t="s">
        <v>4455</v>
      </c>
    </row>
    <row r="653" spans="1:3">
      <c r="A653" t="s">
        <v>3132</v>
      </c>
      <c r="B653" t="s">
        <v>3133</v>
      </c>
      <c r="C653" t="s">
        <v>4456</v>
      </c>
    </row>
    <row r="654" spans="1:3">
      <c r="A654" t="s">
        <v>3134</v>
      </c>
      <c r="B654" t="s">
        <v>3135</v>
      </c>
      <c r="C654" t="s">
        <v>4457</v>
      </c>
    </row>
    <row r="655" spans="1:3">
      <c r="A655" t="s">
        <v>3136</v>
      </c>
      <c r="B655" t="s">
        <v>3137</v>
      </c>
      <c r="C655" t="s">
        <v>4458</v>
      </c>
    </row>
    <row r="656" spans="1:3">
      <c r="A656" t="s">
        <v>3138</v>
      </c>
      <c r="B656" t="s">
        <v>3139</v>
      </c>
      <c r="C656" t="s">
        <v>4459</v>
      </c>
    </row>
    <row r="657" spans="1:3">
      <c r="A657" t="s">
        <v>3140</v>
      </c>
      <c r="B657" t="s">
        <v>3141</v>
      </c>
      <c r="C657" t="s">
        <v>4460</v>
      </c>
    </row>
    <row r="658" spans="1:3">
      <c r="A658" t="s">
        <v>3142</v>
      </c>
      <c r="B658" t="s">
        <v>3143</v>
      </c>
      <c r="C658" t="s">
        <v>4461</v>
      </c>
    </row>
    <row r="659" spans="1:3">
      <c r="A659" t="s">
        <v>3144</v>
      </c>
    </row>
    <row r="660" spans="1:3">
      <c r="A660" t="s">
        <v>3145</v>
      </c>
      <c r="B660" t="s">
        <v>3146</v>
      </c>
      <c r="C660" t="s">
        <v>4462</v>
      </c>
    </row>
    <row r="661" spans="1:3">
      <c r="A661" t="s">
        <v>3147</v>
      </c>
      <c r="B661" t="s">
        <v>3148</v>
      </c>
      <c r="C661" t="s">
        <v>4463</v>
      </c>
    </row>
    <row r="662" spans="1:3">
      <c r="A662" t="s">
        <v>3149</v>
      </c>
      <c r="B662" t="s">
        <v>3150</v>
      </c>
      <c r="C662" t="s">
        <v>4464</v>
      </c>
    </row>
    <row r="663" spans="1:3">
      <c r="A663" t="s">
        <v>3151</v>
      </c>
      <c r="B663" t="s">
        <v>3152</v>
      </c>
      <c r="C663" t="s">
        <v>4465</v>
      </c>
    </row>
    <row r="664" spans="1:3">
      <c r="A664" t="s">
        <v>3153</v>
      </c>
      <c r="B664" t="s">
        <v>3154</v>
      </c>
      <c r="C664" t="s">
        <v>4466</v>
      </c>
    </row>
    <row r="665" spans="1:3">
      <c r="A665" t="s">
        <v>3155</v>
      </c>
      <c r="B665" t="s">
        <v>3156</v>
      </c>
      <c r="C665" t="s">
        <v>4467</v>
      </c>
    </row>
    <row r="666" spans="1:3">
      <c r="A666" t="s">
        <v>3157</v>
      </c>
      <c r="B666" t="s">
        <v>3158</v>
      </c>
      <c r="C666" t="s">
        <v>4468</v>
      </c>
    </row>
    <row r="667" spans="1:3">
      <c r="A667" t="s">
        <v>3159</v>
      </c>
      <c r="B667" t="s">
        <v>3160</v>
      </c>
      <c r="C667" t="s">
        <v>4469</v>
      </c>
    </row>
    <row r="668" spans="1:3">
      <c r="A668" t="s">
        <v>3161</v>
      </c>
      <c r="B668" t="s">
        <v>3162</v>
      </c>
    </row>
    <row r="669" spans="1:3">
      <c r="A669" t="s">
        <v>3163</v>
      </c>
    </row>
    <row r="670" spans="1:3">
      <c r="A670" t="s">
        <v>3164</v>
      </c>
      <c r="B670" t="s">
        <v>3165</v>
      </c>
      <c r="C670" t="s">
        <v>4470</v>
      </c>
    </row>
    <row r="671" spans="1:3">
      <c r="A671" t="s">
        <v>3166</v>
      </c>
      <c r="B671" t="s">
        <v>3167</v>
      </c>
    </row>
    <row r="672" spans="1:3">
      <c r="A672" t="s">
        <v>3168</v>
      </c>
      <c r="B672" t="s">
        <v>3169</v>
      </c>
      <c r="C672" t="s">
        <v>4471</v>
      </c>
    </row>
    <row r="673" spans="1:3">
      <c r="A673" t="s">
        <v>3170</v>
      </c>
      <c r="B673" t="s">
        <v>3171</v>
      </c>
      <c r="C673" t="s">
        <v>4472</v>
      </c>
    </row>
    <row r="674" spans="1:3">
      <c r="A674" t="s">
        <v>3172</v>
      </c>
      <c r="B674" t="s">
        <v>3173</v>
      </c>
      <c r="C674" t="s">
        <v>4473</v>
      </c>
    </row>
    <row r="675" spans="1:3">
      <c r="A675" t="s">
        <v>3174</v>
      </c>
      <c r="B675" t="s">
        <v>3175</v>
      </c>
      <c r="C675" t="s">
        <v>4474</v>
      </c>
    </row>
    <row r="676" spans="1:3">
      <c r="A676" t="s">
        <v>3176</v>
      </c>
      <c r="B676" t="s">
        <v>3177</v>
      </c>
    </row>
    <row r="677" spans="1:3">
      <c r="A677" t="s">
        <v>3178</v>
      </c>
    </row>
    <row r="678" spans="1:3">
      <c r="A678" t="s">
        <v>3179</v>
      </c>
      <c r="B678" t="s">
        <v>3180</v>
      </c>
      <c r="C678" t="s">
        <v>4475</v>
      </c>
    </row>
    <row r="679" spans="1:3">
      <c r="A679" t="s">
        <v>3181</v>
      </c>
      <c r="B679" t="s">
        <v>3182</v>
      </c>
      <c r="C679" t="s">
        <v>4476</v>
      </c>
    </row>
    <row r="680" spans="1:3">
      <c r="A680" t="s">
        <v>3183</v>
      </c>
      <c r="B680" t="s">
        <v>3184</v>
      </c>
      <c r="C680" t="s">
        <v>4477</v>
      </c>
    </row>
    <row r="681" spans="1:3">
      <c r="A681" t="s">
        <v>3185</v>
      </c>
      <c r="B681" t="s">
        <v>3186</v>
      </c>
      <c r="C681" t="s">
        <v>4478</v>
      </c>
    </row>
    <row r="682" spans="1:3">
      <c r="A682" t="s">
        <v>3187</v>
      </c>
      <c r="B682" t="s">
        <v>3188</v>
      </c>
      <c r="C682" t="s">
        <v>4479</v>
      </c>
    </row>
    <row r="683" spans="1:3">
      <c r="A683" t="s">
        <v>3189</v>
      </c>
      <c r="B683" t="s">
        <v>3190</v>
      </c>
      <c r="C683" t="s">
        <v>4480</v>
      </c>
    </row>
    <row r="684" spans="1:3">
      <c r="A684" t="s">
        <v>3191</v>
      </c>
    </row>
    <row r="685" spans="1:3">
      <c r="A685" t="s">
        <v>3192</v>
      </c>
      <c r="C685" t="s">
        <v>4481</v>
      </c>
    </row>
    <row r="686" spans="1:3">
      <c r="A686" t="s">
        <v>3193</v>
      </c>
      <c r="B686" t="s">
        <v>3194</v>
      </c>
      <c r="C686" t="s">
        <v>4482</v>
      </c>
    </row>
    <row r="687" spans="1:3">
      <c r="A687" t="s">
        <v>3195</v>
      </c>
      <c r="B687" t="s">
        <v>3196</v>
      </c>
      <c r="C687" t="s">
        <v>4483</v>
      </c>
    </row>
    <row r="688" spans="1:3">
      <c r="A688" t="s">
        <v>3197</v>
      </c>
      <c r="B688" t="s">
        <v>3198</v>
      </c>
      <c r="C688" t="s">
        <v>4484</v>
      </c>
    </row>
    <row r="689" spans="1:3">
      <c r="A689" t="s">
        <v>3199</v>
      </c>
    </row>
    <row r="690" spans="1:3">
      <c r="A690" t="s">
        <v>3200</v>
      </c>
      <c r="B690" t="s">
        <v>3201</v>
      </c>
      <c r="C690" t="s">
        <v>4485</v>
      </c>
    </row>
    <row r="691" spans="1:3">
      <c r="A691" t="s">
        <v>3202</v>
      </c>
      <c r="B691" t="s">
        <v>3203</v>
      </c>
      <c r="C691" t="s">
        <v>4486</v>
      </c>
    </row>
    <row r="692" spans="1:3">
      <c r="A692" t="s">
        <v>3204</v>
      </c>
      <c r="B692" t="s">
        <v>3205</v>
      </c>
      <c r="C692" t="s">
        <v>4487</v>
      </c>
    </row>
    <row r="693" spans="1:3">
      <c r="A693" t="s">
        <v>3206</v>
      </c>
      <c r="B693" t="s">
        <v>3207</v>
      </c>
      <c r="C693" t="s">
        <v>4488</v>
      </c>
    </row>
    <row r="694" spans="1:3">
      <c r="A694" t="s">
        <v>3208</v>
      </c>
      <c r="B694" t="s">
        <v>2763</v>
      </c>
      <c r="C694" t="s">
        <v>4489</v>
      </c>
    </row>
    <row r="695" spans="1:3">
      <c r="A695" t="s">
        <v>3209</v>
      </c>
      <c r="B695" t="s">
        <v>3210</v>
      </c>
      <c r="C695" t="s">
        <v>4490</v>
      </c>
    </row>
    <row r="696" spans="1:3">
      <c r="A696" t="s">
        <v>3211</v>
      </c>
      <c r="B696" t="s">
        <v>3212</v>
      </c>
      <c r="C696" t="s">
        <v>4491</v>
      </c>
    </row>
    <row r="697" spans="1:3">
      <c r="A697" t="s">
        <v>3213</v>
      </c>
      <c r="B697" t="s">
        <v>3214</v>
      </c>
      <c r="C697" t="s">
        <v>4492</v>
      </c>
    </row>
    <row r="698" spans="1:3">
      <c r="A698" t="s">
        <v>3215</v>
      </c>
      <c r="B698" t="s">
        <v>3216</v>
      </c>
      <c r="C698" t="s">
        <v>4493</v>
      </c>
    </row>
    <row r="699" spans="1:3">
      <c r="A699" t="s">
        <v>3217</v>
      </c>
      <c r="B699" t="s">
        <v>3218</v>
      </c>
      <c r="C699" t="s">
        <v>4494</v>
      </c>
    </row>
    <row r="700" spans="1:3">
      <c r="A700" t="s">
        <v>3219</v>
      </c>
      <c r="B700" t="s">
        <v>3220</v>
      </c>
      <c r="C700" t="s">
        <v>4495</v>
      </c>
    </row>
    <row r="701" spans="1:3">
      <c r="A701" t="s">
        <v>3221</v>
      </c>
      <c r="B701" t="s">
        <v>3222</v>
      </c>
      <c r="C701" t="s">
        <v>4496</v>
      </c>
    </row>
    <row r="702" spans="1:3">
      <c r="A702" t="s">
        <v>3223</v>
      </c>
      <c r="B702" t="s">
        <v>3224</v>
      </c>
      <c r="C702" t="s">
        <v>4497</v>
      </c>
    </row>
    <row r="703" spans="1:3">
      <c r="A703" t="s">
        <v>3225</v>
      </c>
      <c r="B703" t="s">
        <v>3226</v>
      </c>
      <c r="C703" t="s">
        <v>4498</v>
      </c>
    </row>
    <row r="704" spans="1:3">
      <c r="A704" t="s">
        <v>3227</v>
      </c>
      <c r="B704" t="s">
        <v>3228</v>
      </c>
      <c r="C704" t="s">
        <v>4499</v>
      </c>
    </row>
    <row r="705" spans="1:3">
      <c r="A705" t="s">
        <v>3229</v>
      </c>
      <c r="B705" t="s">
        <v>3230</v>
      </c>
      <c r="C705" t="s">
        <v>4500</v>
      </c>
    </row>
    <row r="706" spans="1:3">
      <c r="A706" t="s">
        <v>3231</v>
      </c>
      <c r="B706" t="s">
        <v>3232</v>
      </c>
      <c r="C706" t="s">
        <v>4501</v>
      </c>
    </row>
    <row r="707" spans="1:3">
      <c r="A707" t="s">
        <v>3233</v>
      </c>
      <c r="B707" t="s">
        <v>3234</v>
      </c>
      <c r="C707" t="s">
        <v>4502</v>
      </c>
    </row>
    <row r="708" spans="1:3">
      <c r="A708" t="s">
        <v>3235</v>
      </c>
      <c r="B708" t="s">
        <v>3236</v>
      </c>
      <c r="C708" t="s">
        <v>4503</v>
      </c>
    </row>
    <row r="709" spans="1:3">
      <c r="A709" t="s">
        <v>3237</v>
      </c>
      <c r="B709" t="s">
        <v>3238</v>
      </c>
      <c r="C709" t="s">
        <v>4504</v>
      </c>
    </row>
    <row r="710" spans="1:3">
      <c r="A710" t="s">
        <v>3239</v>
      </c>
      <c r="B710" t="s">
        <v>3240</v>
      </c>
      <c r="C710" t="s">
        <v>4505</v>
      </c>
    </row>
    <row r="711" spans="1:3">
      <c r="A711" t="s">
        <v>3241</v>
      </c>
      <c r="B711" t="s">
        <v>3242</v>
      </c>
      <c r="C711" t="s">
        <v>4506</v>
      </c>
    </row>
    <row r="712" spans="1:3">
      <c r="A712" t="s">
        <v>3243</v>
      </c>
      <c r="B712" t="s">
        <v>3244</v>
      </c>
      <c r="C712" t="s">
        <v>4507</v>
      </c>
    </row>
    <row r="713" spans="1:3">
      <c r="A713" t="s">
        <v>3245</v>
      </c>
      <c r="B713" t="s">
        <v>3246</v>
      </c>
      <c r="C713" t="s">
        <v>4508</v>
      </c>
    </row>
    <row r="714" spans="1:3">
      <c r="A714" t="s">
        <v>3247</v>
      </c>
      <c r="B714" t="s">
        <v>3248</v>
      </c>
      <c r="C714" t="s">
        <v>4509</v>
      </c>
    </row>
    <row r="715" spans="1:3">
      <c r="A715" t="s">
        <v>3249</v>
      </c>
      <c r="B715" t="s">
        <v>3250</v>
      </c>
      <c r="C715" t="s">
        <v>4510</v>
      </c>
    </row>
    <row r="716" spans="1:3">
      <c r="A716" t="s">
        <v>3251</v>
      </c>
      <c r="B716" t="s">
        <v>3252</v>
      </c>
      <c r="C716" t="s">
        <v>4511</v>
      </c>
    </row>
    <row r="717" spans="1:3">
      <c r="A717" t="s">
        <v>3253</v>
      </c>
      <c r="B717" t="s">
        <v>3254</v>
      </c>
      <c r="C717" t="s">
        <v>4512</v>
      </c>
    </row>
    <row r="718" spans="1:3">
      <c r="A718" t="s">
        <v>3255</v>
      </c>
      <c r="B718" t="s">
        <v>3256</v>
      </c>
      <c r="C718" t="s">
        <v>4513</v>
      </c>
    </row>
    <row r="719" spans="1:3">
      <c r="A719" t="s">
        <v>3257</v>
      </c>
      <c r="B719" t="s">
        <v>3258</v>
      </c>
      <c r="C719" t="s">
        <v>4514</v>
      </c>
    </row>
    <row r="720" spans="1:3">
      <c r="A720" t="s">
        <v>3259</v>
      </c>
      <c r="B720" t="s">
        <v>3260</v>
      </c>
      <c r="C720" t="s">
        <v>4515</v>
      </c>
    </row>
    <row r="721" spans="1:3">
      <c r="A721" t="s">
        <v>3261</v>
      </c>
      <c r="B721" t="s">
        <v>3262</v>
      </c>
      <c r="C721" t="s">
        <v>4516</v>
      </c>
    </row>
    <row r="722" spans="1:3">
      <c r="A722" t="s">
        <v>3263</v>
      </c>
      <c r="B722" t="s">
        <v>3264</v>
      </c>
      <c r="C722" t="s">
        <v>4517</v>
      </c>
    </row>
    <row r="723" spans="1:3">
      <c r="A723" t="s">
        <v>3265</v>
      </c>
      <c r="B723" t="s">
        <v>3266</v>
      </c>
      <c r="C723" t="s">
        <v>4518</v>
      </c>
    </row>
    <row r="724" spans="1:3">
      <c r="A724" t="s">
        <v>3267</v>
      </c>
      <c r="B724" t="s">
        <v>3268</v>
      </c>
      <c r="C724" t="s">
        <v>4519</v>
      </c>
    </row>
    <row r="725" spans="1:3">
      <c r="A725" t="s">
        <v>3269</v>
      </c>
      <c r="B725" t="s">
        <v>3270</v>
      </c>
      <c r="C725" t="s">
        <v>4520</v>
      </c>
    </row>
    <row r="726" spans="1:3">
      <c r="A726" t="s">
        <v>3271</v>
      </c>
      <c r="B726" t="s">
        <v>3272</v>
      </c>
      <c r="C726" t="s">
        <v>4521</v>
      </c>
    </row>
    <row r="727" spans="1:3">
      <c r="A727" t="s">
        <v>3273</v>
      </c>
      <c r="B727" t="s">
        <v>3274</v>
      </c>
      <c r="C727" t="s">
        <v>4522</v>
      </c>
    </row>
    <row r="728" spans="1:3">
      <c r="A728" t="s">
        <v>3275</v>
      </c>
      <c r="B728" t="s">
        <v>3276</v>
      </c>
      <c r="C728" t="s">
        <v>4523</v>
      </c>
    </row>
    <row r="729" spans="1:3">
      <c r="A729" t="s">
        <v>3277</v>
      </c>
      <c r="B729" t="s">
        <v>3278</v>
      </c>
    </row>
    <row r="730" spans="1:3">
      <c r="A730" t="s">
        <v>3277</v>
      </c>
    </row>
    <row r="731" spans="1:3">
      <c r="A731" t="s">
        <v>3279</v>
      </c>
      <c r="B731" t="s">
        <v>3280</v>
      </c>
      <c r="C731" t="s">
        <v>4524</v>
      </c>
    </row>
    <row r="732" spans="1:3">
      <c r="A732" t="s">
        <v>3281</v>
      </c>
    </row>
    <row r="733" spans="1:3">
      <c r="A733" t="s">
        <v>3282</v>
      </c>
    </row>
    <row r="734" spans="1:3">
      <c r="A734" t="s">
        <v>3283</v>
      </c>
      <c r="B734" t="s">
        <v>3284</v>
      </c>
      <c r="C734" t="s">
        <v>4525</v>
      </c>
    </row>
    <row r="735" spans="1:3">
      <c r="A735" t="s">
        <v>3285</v>
      </c>
      <c r="B735" t="s">
        <v>3280</v>
      </c>
      <c r="C735" t="s">
        <v>4526</v>
      </c>
    </row>
    <row r="736" spans="1:3">
      <c r="A736" t="s">
        <v>3286</v>
      </c>
      <c r="B736" t="s">
        <v>3280</v>
      </c>
      <c r="C736" t="s">
        <v>4527</v>
      </c>
    </row>
    <row r="737" spans="1:3">
      <c r="A737" t="s">
        <v>3287</v>
      </c>
      <c r="B737" t="s">
        <v>3280</v>
      </c>
      <c r="C737" t="s">
        <v>4528</v>
      </c>
    </row>
    <row r="738" spans="1:3">
      <c r="A738" t="s">
        <v>3288</v>
      </c>
      <c r="B738" t="s">
        <v>3289</v>
      </c>
      <c r="C738" t="s">
        <v>4529</v>
      </c>
    </row>
    <row r="739" spans="1:3">
      <c r="A739" t="s">
        <v>3290</v>
      </c>
      <c r="B739" t="s">
        <v>3291</v>
      </c>
      <c r="C739" t="s">
        <v>4530</v>
      </c>
    </row>
    <row r="740" spans="1:3">
      <c r="A740" t="s">
        <v>3292</v>
      </c>
      <c r="B740" t="s">
        <v>3293</v>
      </c>
      <c r="C740" t="s">
        <v>4531</v>
      </c>
    </row>
    <row r="741" spans="1:3">
      <c r="A741" t="s">
        <v>3294</v>
      </c>
      <c r="B741" t="s">
        <v>3295</v>
      </c>
      <c r="C741" t="s">
        <v>4532</v>
      </c>
    </row>
    <row r="742" spans="1:3">
      <c r="A742" t="s">
        <v>3296</v>
      </c>
      <c r="B742" t="s">
        <v>3297</v>
      </c>
      <c r="C742" t="s">
        <v>4533</v>
      </c>
    </row>
    <row r="743" spans="1:3">
      <c r="A743" t="s">
        <v>3298</v>
      </c>
    </row>
    <row r="744" spans="1:3">
      <c r="A744" t="s">
        <v>3299</v>
      </c>
    </row>
    <row r="745" spans="1:3">
      <c r="A745" t="s">
        <v>3300</v>
      </c>
      <c r="B745" t="s">
        <v>3301</v>
      </c>
      <c r="C745" t="s">
        <v>4534</v>
      </c>
    </row>
    <row r="746" spans="1:3">
      <c r="A746" t="s">
        <v>3302</v>
      </c>
      <c r="B746" t="s">
        <v>3303</v>
      </c>
      <c r="C746" t="s">
        <v>4535</v>
      </c>
    </row>
    <row r="747" spans="1:3">
      <c r="A747" t="s">
        <v>3304</v>
      </c>
      <c r="B747" t="s">
        <v>1112</v>
      </c>
      <c r="C747" t="s">
        <v>4536</v>
      </c>
    </row>
    <row r="748" spans="1:3">
      <c r="A748" t="s">
        <v>3305</v>
      </c>
      <c r="B748" t="s">
        <v>3306</v>
      </c>
    </row>
    <row r="749" spans="1:3">
      <c r="A749" t="s">
        <v>3307</v>
      </c>
      <c r="B749" t="s">
        <v>3308</v>
      </c>
      <c r="C749" t="s">
        <v>4537</v>
      </c>
    </row>
    <row r="750" spans="1:3">
      <c r="A750" t="s">
        <v>3309</v>
      </c>
      <c r="B750" t="s">
        <v>9</v>
      </c>
      <c r="C750" t="s">
        <v>4538</v>
      </c>
    </row>
    <row r="751" spans="1:3">
      <c r="A751" t="s">
        <v>3310</v>
      </c>
      <c r="B751" t="s">
        <v>3311</v>
      </c>
      <c r="C751" t="s">
        <v>4539</v>
      </c>
    </row>
    <row r="752" spans="1:3">
      <c r="A752" t="s">
        <v>3312</v>
      </c>
      <c r="B752" t="s">
        <v>3313</v>
      </c>
      <c r="C752" t="s">
        <v>4540</v>
      </c>
    </row>
    <row r="753" spans="1:3">
      <c r="A753" t="s">
        <v>3314</v>
      </c>
      <c r="B753" t="s">
        <v>3315</v>
      </c>
      <c r="C753" t="s">
        <v>4541</v>
      </c>
    </row>
    <row r="754" spans="1:3">
      <c r="A754" t="s">
        <v>3316</v>
      </c>
    </row>
    <row r="755" spans="1:3">
      <c r="A755" t="s">
        <v>3317</v>
      </c>
      <c r="B755" t="s">
        <v>3318</v>
      </c>
    </row>
    <row r="756" spans="1:3">
      <c r="A756" t="s">
        <v>3319</v>
      </c>
      <c r="B756" t="s">
        <v>3320</v>
      </c>
      <c r="C756" t="s">
        <v>4542</v>
      </c>
    </row>
    <row r="757" spans="1:3">
      <c r="A757" t="s">
        <v>3321</v>
      </c>
    </row>
    <row r="758" spans="1:3">
      <c r="A758" t="s">
        <v>3322</v>
      </c>
      <c r="B758" t="s">
        <v>3323</v>
      </c>
      <c r="C758" t="s">
        <v>4543</v>
      </c>
    </row>
    <row r="759" spans="1:3">
      <c r="A759" t="s">
        <v>3324</v>
      </c>
      <c r="B759" t="s">
        <v>3325</v>
      </c>
    </row>
    <row r="760" spans="1:3">
      <c r="A760" t="s">
        <v>3326</v>
      </c>
    </row>
    <row r="761" spans="1:3">
      <c r="A761" t="s">
        <v>3327</v>
      </c>
      <c r="B761" t="s">
        <v>3328</v>
      </c>
      <c r="C761" t="s">
        <v>4544</v>
      </c>
    </row>
    <row r="762" spans="1:3">
      <c r="A762" t="s">
        <v>3329</v>
      </c>
      <c r="B762" t="s">
        <v>3330</v>
      </c>
      <c r="C762" t="s">
        <v>4545</v>
      </c>
    </row>
    <row r="763" spans="1:3">
      <c r="A763" t="s">
        <v>3331</v>
      </c>
      <c r="B763" t="s">
        <v>3332</v>
      </c>
      <c r="C763" t="s">
        <v>4546</v>
      </c>
    </row>
    <row r="764" spans="1:3">
      <c r="A764" t="s">
        <v>3333</v>
      </c>
      <c r="B764" t="s">
        <v>3334</v>
      </c>
      <c r="C764" t="s">
        <v>4547</v>
      </c>
    </row>
    <row r="765" spans="1:3">
      <c r="A765" t="s">
        <v>3335</v>
      </c>
      <c r="B765" t="s">
        <v>3336</v>
      </c>
      <c r="C765" t="s">
        <v>4548</v>
      </c>
    </row>
    <row r="766" spans="1:3">
      <c r="A766" t="s">
        <v>3337</v>
      </c>
      <c r="B766" t="s">
        <v>3338</v>
      </c>
      <c r="C766" t="s">
        <v>4549</v>
      </c>
    </row>
    <row r="767" spans="1:3">
      <c r="A767" t="s">
        <v>3339</v>
      </c>
      <c r="B767" t="s">
        <v>3340</v>
      </c>
      <c r="C767" t="s">
        <v>4550</v>
      </c>
    </row>
    <row r="768" spans="1:3">
      <c r="A768" t="s">
        <v>3341</v>
      </c>
      <c r="B768" t="s">
        <v>3342</v>
      </c>
      <c r="C768" t="s">
        <v>4551</v>
      </c>
    </row>
    <row r="769" spans="1:3">
      <c r="A769" t="s">
        <v>3343</v>
      </c>
      <c r="B769" t="s">
        <v>3344</v>
      </c>
      <c r="C769" t="s">
        <v>4552</v>
      </c>
    </row>
    <row r="770" spans="1:3">
      <c r="A770" t="s">
        <v>3345</v>
      </c>
      <c r="B770" t="s">
        <v>3346</v>
      </c>
      <c r="C770" t="s">
        <v>4553</v>
      </c>
    </row>
    <row r="771" spans="1:3">
      <c r="A771" t="s">
        <v>3347</v>
      </c>
      <c r="B771" t="s">
        <v>3348</v>
      </c>
      <c r="C771" t="s">
        <v>4554</v>
      </c>
    </row>
    <row r="772" spans="1:3">
      <c r="A772" t="s">
        <v>3349</v>
      </c>
      <c r="B772" t="s">
        <v>3350</v>
      </c>
      <c r="C772" t="s">
        <v>4555</v>
      </c>
    </row>
    <row r="773" spans="1:3">
      <c r="A773" t="s">
        <v>3351</v>
      </c>
      <c r="B773" t="s">
        <v>3352</v>
      </c>
      <c r="C773" t="s">
        <v>4556</v>
      </c>
    </row>
    <row r="774" spans="1:3">
      <c r="A774" t="s">
        <v>3353</v>
      </c>
      <c r="B774" t="s">
        <v>3354</v>
      </c>
      <c r="C774" t="s">
        <v>4557</v>
      </c>
    </row>
    <row r="775" spans="1:3">
      <c r="A775" t="s">
        <v>3355</v>
      </c>
      <c r="B775" t="s">
        <v>3356</v>
      </c>
      <c r="C775" t="s">
        <v>4558</v>
      </c>
    </row>
    <row r="776" spans="1:3">
      <c r="A776" t="s">
        <v>2697</v>
      </c>
      <c r="B776" t="s">
        <v>3357</v>
      </c>
      <c r="C776" t="s">
        <v>4559</v>
      </c>
    </row>
    <row r="777" spans="1:3">
      <c r="A777" t="s">
        <v>3358</v>
      </c>
    </row>
    <row r="778" spans="1:3">
      <c r="A778" t="s">
        <v>3359</v>
      </c>
      <c r="B778" t="s">
        <v>3360</v>
      </c>
      <c r="C778" t="s">
        <v>4560</v>
      </c>
    </row>
    <row r="779" spans="1:3">
      <c r="A779" t="s">
        <v>3361</v>
      </c>
      <c r="B779" t="s">
        <v>3362</v>
      </c>
      <c r="C779" t="s">
        <v>4561</v>
      </c>
    </row>
    <row r="780" spans="1:3">
      <c r="A780" t="s">
        <v>3363</v>
      </c>
      <c r="B780" t="s">
        <v>3364</v>
      </c>
      <c r="C780" t="s">
        <v>4562</v>
      </c>
    </row>
    <row r="781" spans="1:3">
      <c r="A781" t="s">
        <v>3365</v>
      </c>
      <c r="B781" t="s">
        <v>3366</v>
      </c>
      <c r="C781" t="s">
        <v>4563</v>
      </c>
    </row>
    <row r="782" spans="1:3">
      <c r="A782" t="s">
        <v>3367</v>
      </c>
      <c r="B782" t="s">
        <v>3368</v>
      </c>
      <c r="C782" t="s">
        <v>4564</v>
      </c>
    </row>
    <row r="783" spans="1:3">
      <c r="A783" t="s">
        <v>3369</v>
      </c>
      <c r="B783" t="s">
        <v>3370</v>
      </c>
      <c r="C783" t="s">
        <v>4565</v>
      </c>
    </row>
    <row r="784" spans="1:3">
      <c r="A784" t="s">
        <v>3371</v>
      </c>
      <c r="B784" t="s">
        <v>3372</v>
      </c>
      <c r="C784" t="s">
        <v>4566</v>
      </c>
    </row>
    <row r="785" spans="1:3">
      <c r="A785" t="s">
        <v>3373</v>
      </c>
      <c r="B785" t="s">
        <v>3374</v>
      </c>
      <c r="C785" t="s">
        <v>4566</v>
      </c>
    </row>
    <row r="786" spans="1:3">
      <c r="A786" t="s">
        <v>3375</v>
      </c>
      <c r="B786" t="s">
        <v>3376</v>
      </c>
      <c r="C786" t="s">
        <v>4567</v>
      </c>
    </row>
    <row r="787" spans="1:3">
      <c r="A787" t="s">
        <v>3377</v>
      </c>
      <c r="B787" t="s">
        <v>3378</v>
      </c>
      <c r="C787" t="s">
        <v>4568</v>
      </c>
    </row>
    <row r="788" spans="1:3">
      <c r="A788" t="s">
        <v>3379</v>
      </c>
      <c r="B788" t="s">
        <v>3379</v>
      </c>
    </row>
    <row r="789" spans="1:3">
      <c r="A789" t="s">
        <v>3380</v>
      </c>
      <c r="B789" t="s">
        <v>3381</v>
      </c>
      <c r="C789" t="s">
        <v>4569</v>
      </c>
    </row>
    <row r="790" spans="1:3">
      <c r="A790" t="s">
        <v>3382</v>
      </c>
      <c r="B790" t="s">
        <v>3383</v>
      </c>
      <c r="C790" t="s">
        <v>4570</v>
      </c>
    </row>
    <row r="791" spans="1:3">
      <c r="A791" t="s">
        <v>3384</v>
      </c>
      <c r="B791" t="s">
        <v>9</v>
      </c>
    </row>
    <row r="792" spans="1:3">
      <c r="A792" t="s">
        <v>3385</v>
      </c>
      <c r="B792" t="s">
        <v>3386</v>
      </c>
      <c r="C792" t="s">
        <v>4571</v>
      </c>
    </row>
    <row r="793" spans="1:3">
      <c r="A793" t="s">
        <v>3387</v>
      </c>
      <c r="B793" t="s">
        <v>3388</v>
      </c>
      <c r="C793" t="s">
        <v>4572</v>
      </c>
    </row>
    <row r="794" spans="1:3">
      <c r="A794" t="s">
        <v>3389</v>
      </c>
      <c r="B794" t="s">
        <v>3390</v>
      </c>
      <c r="C794" t="s">
        <v>4573</v>
      </c>
    </row>
    <row r="795" spans="1:3">
      <c r="A795" t="s">
        <v>3391</v>
      </c>
      <c r="B795" t="s">
        <v>3392</v>
      </c>
      <c r="C795" t="s">
        <v>4574</v>
      </c>
    </row>
    <row r="796" spans="1:3">
      <c r="A796" t="s">
        <v>3393</v>
      </c>
    </row>
    <row r="797" spans="1:3">
      <c r="A797" t="s">
        <v>3394</v>
      </c>
      <c r="B797" t="s">
        <v>3395</v>
      </c>
      <c r="C797" t="s">
        <v>4575</v>
      </c>
    </row>
    <row r="798" spans="1:3">
      <c r="A798" t="s">
        <v>3396</v>
      </c>
      <c r="B798" t="s">
        <v>3397</v>
      </c>
      <c r="C798" t="s">
        <v>4576</v>
      </c>
    </row>
    <row r="799" spans="1:3">
      <c r="A799" t="s">
        <v>3398</v>
      </c>
      <c r="B799" t="s">
        <v>3399</v>
      </c>
      <c r="C799" t="s">
        <v>4577</v>
      </c>
    </row>
    <row r="800" spans="1:3">
      <c r="A800" t="s">
        <v>3400</v>
      </c>
      <c r="B800" t="s">
        <v>3401</v>
      </c>
      <c r="C800" t="s">
        <v>4578</v>
      </c>
    </row>
    <row r="801" spans="1:3">
      <c r="A801" t="s">
        <v>3402</v>
      </c>
      <c r="B801" t="s">
        <v>3403</v>
      </c>
      <c r="C801" t="s">
        <v>4579</v>
      </c>
    </row>
    <row r="802" spans="1:3">
      <c r="A802" t="s">
        <v>3404</v>
      </c>
      <c r="B802" t="s">
        <v>3405</v>
      </c>
      <c r="C802" t="s">
        <v>4580</v>
      </c>
    </row>
    <row r="803" spans="1:3">
      <c r="A803" t="s">
        <v>3406</v>
      </c>
      <c r="B803" t="s">
        <v>3407</v>
      </c>
      <c r="C803" t="s">
        <v>4581</v>
      </c>
    </row>
    <row r="804" spans="1:3">
      <c r="A804" t="s">
        <v>3408</v>
      </c>
      <c r="B804" t="s">
        <v>3409</v>
      </c>
      <c r="C804" t="s">
        <v>4582</v>
      </c>
    </row>
    <row r="805" spans="1:3">
      <c r="A805" t="s">
        <v>3410</v>
      </c>
      <c r="B805" t="s">
        <v>3411</v>
      </c>
      <c r="C805" t="s">
        <v>4583</v>
      </c>
    </row>
    <row r="806" spans="1:3">
      <c r="A806" t="s">
        <v>3412</v>
      </c>
      <c r="B806" t="s">
        <v>3413</v>
      </c>
      <c r="C806" t="s">
        <v>4584</v>
      </c>
    </row>
    <row r="807" spans="1:3">
      <c r="A807" t="s">
        <v>3414</v>
      </c>
      <c r="B807" t="s">
        <v>3415</v>
      </c>
      <c r="C807" t="s">
        <v>4585</v>
      </c>
    </row>
    <row r="808" spans="1:3">
      <c r="A808" t="s">
        <v>3416</v>
      </c>
      <c r="B808" t="s">
        <v>3417</v>
      </c>
      <c r="C808" t="s">
        <v>4586</v>
      </c>
    </row>
    <row r="809" spans="1:3">
      <c r="A809" t="s">
        <v>3418</v>
      </c>
      <c r="B809" t="s">
        <v>3419</v>
      </c>
      <c r="C809" t="s">
        <v>4587</v>
      </c>
    </row>
    <row r="810" spans="1:3">
      <c r="A810" t="s">
        <v>3420</v>
      </c>
      <c r="B810" t="s">
        <v>3421</v>
      </c>
      <c r="C810" t="s">
        <v>4588</v>
      </c>
    </row>
    <row r="811" spans="1:3">
      <c r="A811" t="s">
        <v>3422</v>
      </c>
      <c r="B811" t="s">
        <v>3423</v>
      </c>
      <c r="C811" t="s">
        <v>4589</v>
      </c>
    </row>
    <row r="812" spans="1:3">
      <c r="A812" t="s">
        <v>3424</v>
      </c>
      <c r="B812" t="s">
        <v>3425</v>
      </c>
      <c r="C812" t="s">
        <v>4590</v>
      </c>
    </row>
    <row r="813" spans="1:3">
      <c r="A813" t="s">
        <v>3426</v>
      </c>
      <c r="B813" t="s">
        <v>3427</v>
      </c>
      <c r="C813" t="s">
        <v>4591</v>
      </c>
    </row>
    <row r="814" spans="1:3">
      <c r="A814" t="s">
        <v>3428</v>
      </c>
      <c r="B814" t="s">
        <v>3429</v>
      </c>
      <c r="C814" t="s">
        <v>4592</v>
      </c>
    </row>
    <row r="815" spans="1:3">
      <c r="A815" t="s">
        <v>3430</v>
      </c>
      <c r="B815" t="s">
        <v>3431</v>
      </c>
      <c r="C815" t="s">
        <v>4593</v>
      </c>
    </row>
    <row r="816" spans="1:3">
      <c r="A816" t="s">
        <v>3432</v>
      </c>
      <c r="B816" t="s">
        <v>3433</v>
      </c>
      <c r="C816" t="s">
        <v>4594</v>
      </c>
    </row>
    <row r="817" spans="1:3">
      <c r="A817" t="s">
        <v>3434</v>
      </c>
      <c r="B817" t="s">
        <v>3435</v>
      </c>
      <c r="C817" t="s">
        <v>4595</v>
      </c>
    </row>
    <row r="818" spans="1:3">
      <c r="A818" t="s">
        <v>3436</v>
      </c>
      <c r="B818" t="s">
        <v>3437</v>
      </c>
      <c r="C818" t="s">
        <v>4596</v>
      </c>
    </row>
    <row r="819" spans="1:3">
      <c r="A819" t="s">
        <v>3438</v>
      </c>
      <c r="B819" t="s">
        <v>3439</v>
      </c>
      <c r="C819" t="s">
        <v>4597</v>
      </c>
    </row>
    <row r="820" spans="1:3">
      <c r="A820" t="s">
        <v>3440</v>
      </c>
      <c r="B820" t="s">
        <v>3441</v>
      </c>
      <c r="C820" t="s">
        <v>4598</v>
      </c>
    </row>
    <row r="821" spans="1:3">
      <c r="A821" t="s">
        <v>3442</v>
      </c>
      <c r="B821" t="s">
        <v>3443</v>
      </c>
      <c r="C821" t="s">
        <v>4599</v>
      </c>
    </row>
    <row r="822" spans="1:3">
      <c r="A822" t="s">
        <v>3444</v>
      </c>
      <c r="B822" t="s">
        <v>3445</v>
      </c>
      <c r="C822" t="s">
        <v>4600</v>
      </c>
    </row>
    <row r="823" spans="1:3">
      <c r="A823" t="s">
        <v>3446</v>
      </c>
      <c r="B823" t="s">
        <v>3447</v>
      </c>
      <c r="C823" t="s">
        <v>4601</v>
      </c>
    </row>
    <row r="824" spans="1:3">
      <c r="A824" t="s">
        <v>3448</v>
      </c>
      <c r="B824" t="s">
        <v>3449</v>
      </c>
      <c r="C824" t="s">
        <v>4602</v>
      </c>
    </row>
    <row r="825" spans="1:3">
      <c r="A825" t="s">
        <v>3450</v>
      </c>
    </row>
    <row r="826" spans="1:3">
      <c r="A826" t="s">
        <v>3451</v>
      </c>
      <c r="B826" t="s">
        <v>3452</v>
      </c>
      <c r="C826" t="s">
        <v>4603</v>
      </c>
    </row>
    <row r="827" spans="1:3">
      <c r="A827" t="s">
        <v>3453</v>
      </c>
      <c r="B827" t="s">
        <v>3454</v>
      </c>
      <c r="C827" t="s">
        <v>4604</v>
      </c>
    </row>
    <row r="828" spans="1:3">
      <c r="A828" t="s">
        <v>3455</v>
      </c>
      <c r="B828" t="s">
        <v>3456</v>
      </c>
    </row>
    <row r="829" spans="1:3">
      <c r="A829" t="s">
        <v>3457</v>
      </c>
      <c r="B829" t="s">
        <v>3458</v>
      </c>
      <c r="C829" t="s">
        <v>4605</v>
      </c>
    </row>
    <row r="830" spans="1:3">
      <c r="A830" t="s">
        <v>3459</v>
      </c>
      <c r="B830" t="s">
        <v>3460</v>
      </c>
      <c r="C830" t="s">
        <v>4606</v>
      </c>
    </row>
    <row r="831" spans="1:3">
      <c r="A831" t="s">
        <v>3461</v>
      </c>
      <c r="B831" t="s">
        <v>3462</v>
      </c>
      <c r="C831" t="s">
        <v>4607</v>
      </c>
    </row>
    <row r="832" spans="1:3">
      <c r="A832" t="s">
        <v>3463</v>
      </c>
      <c r="B832" t="s">
        <v>3464</v>
      </c>
      <c r="C832" t="s">
        <v>4608</v>
      </c>
    </row>
    <row r="833" spans="1:3">
      <c r="A833" t="s">
        <v>3465</v>
      </c>
      <c r="B833" t="s">
        <v>3466</v>
      </c>
      <c r="C833" t="s">
        <v>4609</v>
      </c>
    </row>
    <row r="834" spans="1:3">
      <c r="A834" t="s">
        <v>3467</v>
      </c>
      <c r="B834" t="s">
        <v>3468</v>
      </c>
    </row>
    <row r="835" spans="1:3">
      <c r="A835" t="s">
        <v>3469</v>
      </c>
      <c r="B835" t="s">
        <v>3470</v>
      </c>
      <c r="C835" t="s">
        <v>4610</v>
      </c>
    </row>
    <row r="836" spans="1:3">
      <c r="A836" t="s">
        <v>3471</v>
      </c>
      <c r="B836" t="s">
        <v>3472</v>
      </c>
      <c r="C836" t="s">
        <v>4611</v>
      </c>
    </row>
    <row r="837" spans="1:3">
      <c r="A837" t="s">
        <v>3473</v>
      </c>
      <c r="B837" t="s">
        <v>3474</v>
      </c>
      <c r="C837" t="s">
        <v>4612</v>
      </c>
    </row>
    <row r="838" spans="1:3">
      <c r="A838" t="s">
        <v>3475</v>
      </c>
      <c r="B838" t="s">
        <v>3476</v>
      </c>
      <c r="C838" t="s">
        <v>4613</v>
      </c>
    </row>
    <row r="839" spans="1:3">
      <c r="A839" t="s">
        <v>3477</v>
      </c>
      <c r="B839" t="s">
        <v>3478</v>
      </c>
      <c r="C839" t="s">
        <v>4614</v>
      </c>
    </row>
    <row r="840" spans="1:3">
      <c r="A840" t="s">
        <v>3479</v>
      </c>
      <c r="B840" t="s">
        <v>3480</v>
      </c>
      <c r="C840" t="s">
        <v>4615</v>
      </c>
    </row>
    <row r="841" spans="1:3">
      <c r="A841" t="s">
        <v>3481</v>
      </c>
      <c r="B841" t="s">
        <v>3482</v>
      </c>
      <c r="C841" t="s">
        <v>4616</v>
      </c>
    </row>
    <row r="842" spans="1:3">
      <c r="A842" t="s">
        <v>3483</v>
      </c>
      <c r="B842" t="s">
        <v>3484</v>
      </c>
      <c r="C842" t="s">
        <v>4617</v>
      </c>
    </row>
    <row r="843" spans="1:3">
      <c r="A843" t="s">
        <v>3485</v>
      </c>
      <c r="B843" t="s">
        <v>3486</v>
      </c>
      <c r="C843" t="s">
        <v>4618</v>
      </c>
    </row>
    <row r="844" spans="1:3">
      <c r="A844" t="s">
        <v>3487</v>
      </c>
      <c r="B844" t="s">
        <v>3488</v>
      </c>
      <c r="C844" t="s">
        <v>4619</v>
      </c>
    </row>
    <row r="845" spans="1:3">
      <c r="A845" t="s">
        <v>3489</v>
      </c>
      <c r="B845" t="s">
        <v>3490</v>
      </c>
      <c r="C845" t="s">
        <v>4620</v>
      </c>
    </row>
    <row r="846" spans="1:3">
      <c r="A846" t="s">
        <v>3491</v>
      </c>
      <c r="B846" t="s">
        <v>3492</v>
      </c>
    </row>
    <row r="847" spans="1:3">
      <c r="A847" t="s">
        <v>3493</v>
      </c>
    </row>
    <row r="848" spans="1:3">
      <c r="A848" t="s">
        <v>3494</v>
      </c>
      <c r="B848" t="s">
        <v>3495</v>
      </c>
      <c r="C848" t="s">
        <v>4621</v>
      </c>
    </row>
    <row r="849" spans="1:3">
      <c r="A849" t="s">
        <v>3496</v>
      </c>
      <c r="B849" t="s">
        <v>3497</v>
      </c>
      <c r="C849" t="s">
        <v>4622</v>
      </c>
    </row>
    <row r="850" spans="1:3">
      <c r="A850" t="s">
        <v>3498</v>
      </c>
      <c r="B850" t="s">
        <v>3499</v>
      </c>
      <c r="C850" t="s">
        <v>4623</v>
      </c>
    </row>
    <row r="851" spans="1:3">
      <c r="A851" t="s">
        <v>3500</v>
      </c>
      <c r="B851" t="s">
        <v>3501</v>
      </c>
      <c r="C851" t="s">
        <v>4624</v>
      </c>
    </row>
    <row r="852" spans="1:3">
      <c r="A852" t="s">
        <v>3502</v>
      </c>
    </row>
    <row r="853" spans="1:3">
      <c r="A853" t="s">
        <v>3503</v>
      </c>
    </row>
    <row r="854" spans="1:3">
      <c r="A854" t="s">
        <v>3504</v>
      </c>
      <c r="B854" t="s">
        <v>3505</v>
      </c>
      <c r="C854" t="s">
        <v>4625</v>
      </c>
    </row>
    <row r="855" spans="1:3">
      <c r="A855" t="s">
        <v>3506</v>
      </c>
      <c r="B855" t="s">
        <v>3507</v>
      </c>
      <c r="C855" t="s">
        <v>4626</v>
      </c>
    </row>
    <row r="856" spans="1:3">
      <c r="A856" t="s">
        <v>3508</v>
      </c>
      <c r="B856" t="s">
        <v>3509</v>
      </c>
      <c r="C856" t="s">
        <v>4627</v>
      </c>
    </row>
    <row r="857" spans="1:3">
      <c r="A857" t="s">
        <v>3510</v>
      </c>
      <c r="B857" t="s">
        <v>3511</v>
      </c>
      <c r="C857" t="s">
        <v>4628</v>
      </c>
    </row>
    <row r="858" spans="1:3">
      <c r="A858" t="s">
        <v>3512</v>
      </c>
      <c r="B858" t="s">
        <v>3513</v>
      </c>
      <c r="C858" t="s">
        <v>4629</v>
      </c>
    </row>
    <row r="859" spans="1:3">
      <c r="A859" t="s">
        <v>3514</v>
      </c>
      <c r="B859" t="s">
        <v>3515</v>
      </c>
      <c r="C859" t="s">
        <v>4630</v>
      </c>
    </row>
    <row r="860" spans="1:3">
      <c r="A860" t="s">
        <v>3516</v>
      </c>
      <c r="B860" t="s">
        <v>3517</v>
      </c>
      <c r="C860" t="s">
        <v>4631</v>
      </c>
    </row>
    <row r="861" spans="1:3">
      <c r="A861" t="s">
        <v>3518</v>
      </c>
      <c r="B861" t="s">
        <v>9</v>
      </c>
    </row>
    <row r="862" spans="1:3">
      <c r="A862" t="s">
        <v>3519</v>
      </c>
    </row>
    <row r="863" spans="1:3">
      <c r="A863" t="s">
        <v>3520</v>
      </c>
      <c r="B863" t="s">
        <v>3521</v>
      </c>
      <c r="C863" t="s">
        <v>4632</v>
      </c>
    </row>
    <row r="864" spans="1:3">
      <c r="A864" t="s">
        <v>3522</v>
      </c>
      <c r="B864" t="s">
        <v>3523</v>
      </c>
      <c r="C864" t="s">
        <v>4633</v>
      </c>
    </row>
    <row r="865" spans="1:3">
      <c r="A865" t="s">
        <v>3524</v>
      </c>
      <c r="B865" t="s">
        <v>3525</v>
      </c>
    </row>
    <row r="866" spans="1:3">
      <c r="A866" t="s">
        <v>3526</v>
      </c>
    </row>
    <row r="867" spans="1:3">
      <c r="A867" t="s">
        <v>3527</v>
      </c>
      <c r="B867" t="s">
        <v>3528</v>
      </c>
    </row>
    <row r="868" spans="1:3">
      <c r="A868" t="s">
        <v>3529</v>
      </c>
      <c r="B868" t="s">
        <v>9</v>
      </c>
    </row>
    <row r="869" spans="1:3">
      <c r="A869" t="s">
        <v>3530</v>
      </c>
      <c r="B869" t="s">
        <v>3531</v>
      </c>
      <c r="C869" t="s">
        <v>4634</v>
      </c>
    </row>
    <row r="870" spans="1:3">
      <c r="A870" t="s">
        <v>3532</v>
      </c>
    </row>
    <row r="871" spans="1:3">
      <c r="A871" t="s">
        <v>3533</v>
      </c>
      <c r="B871" t="s">
        <v>3534</v>
      </c>
    </row>
    <row r="872" spans="1:3">
      <c r="A872" t="s">
        <v>3535</v>
      </c>
      <c r="B872" t="s">
        <v>9</v>
      </c>
    </row>
    <row r="873" spans="1:3">
      <c r="A873" t="s">
        <v>3536</v>
      </c>
    </row>
    <row r="874" spans="1:3">
      <c r="A874" t="s">
        <v>3537</v>
      </c>
      <c r="B874" t="s">
        <v>3538</v>
      </c>
    </row>
    <row r="875" spans="1:3">
      <c r="A875" t="s">
        <v>3539</v>
      </c>
    </row>
    <row r="876" spans="1:3">
      <c r="A876" t="s">
        <v>3540</v>
      </c>
      <c r="B876" t="s">
        <v>3541</v>
      </c>
      <c r="C876" t="s">
        <v>4635</v>
      </c>
    </row>
    <row r="877" spans="1:3">
      <c r="A877" t="s">
        <v>3542</v>
      </c>
      <c r="B877" t="s">
        <v>3543</v>
      </c>
    </row>
    <row r="878" spans="1:3">
      <c r="A878" t="s">
        <v>3544</v>
      </c>
      <c r="B878" t="s">
        <v>3545</v>
      </c>
    </row>
    <row r="879" spans="1:3">
      <c r="A879" t="s">
        <v>3546</v>
      </c>
      <c r="B879" t="s">
        <v>3547</v>
      </c>
      <c r="C879" t="s">
        <v>4636</v>
      </c>
    </row>
    <row r="880" spans="1:3">
      <c r="A880" t="s">
        <v>3548</v>
      </c>
      <c r="B880" t="s">
        <v>3549</v>
      </c>
      <c r="C880" t="s">
        <v>4637</v>
      </c>
    </row>
    <row r="881" spans="1:3">
      <c r="A881" t="s">
        <v>3550</v>
      </c>
      <c r="B881" t="s">
        <v>3551</v>
      </c>
    </row>
    <row r="882" spans="1:3">
      <c r="A882" t="s">
        <v>3552</v>
      </c>
      <c r="B882" t="s">
        <v>3553</v>
      </c>
      <c r="C882" t="s">
        <v>4638</v>
      </c>
    </row>
    <row r="883" spans="1:3">
      <c r="A883" t="s">
        <v>3554</v>
      </c>
      <c r="B883" t="s">
        <v>3555</v>
      </c>
    </row>
    <row r="884" spans="1:3">
      <c r="A884" t="s">
        <v>3556</v>
      </c>
      <c r="B884" t="s">
        <v>3557</v>
      </c>
      <c r="C884" t="s">
        <v>4639</v>
      </c>
    </row>
    <row r="885" spans="1:3">
      <c r="A885" t="s">
        <v>3558</v>
      </c>
    </row>
    <row r="886" spans="1:3">
      <c r="A886" t="s">
        <v>3559</v>
      </c>
      <c r="B886" t="s">
        <v>3560</v>
      </c>
      <c r="C886" t="s">
        <v>4640</v>
      </c>
    </row>
    <row r="887" spans="1:3">
      <c r="A887" t="s">
        <v>3561</v>
      </c>
      <c r="B887" t="s">
        <v>3562</v>
      </c>
      <c r="C887" t="s">
        <v>4641</v>
      </c>
    </row>
    <row r="888" spans="1:3">
      <c r="A888" t="s">
        <v>3563</v>
      </c>
    </row>
    <row r="889" spans="1:3">
      <c r="A889" t="s">
        <v>3564</v>
      </c>
      <c r="B889" t="s">
        <v>9</v>
      </c>
    </row>
    <row r="890" spans="1:3">
      <c r="A890" t="s">
        <v>3565</v>
      </c>
      <c r="B890" t="s">
        <v>3566</v>
      </c>
      <c r="C890" t="s">
        <v>4642</v>
      </c>
    </row>
    <row r="891" spans="1:3">
      <c r="A891" t="s">
        <v>3567</v>
      </c>
    </row>
    <row r="892" spans="1:3">
      <c r="A892" t="s">
        <v>3568</v>
      </c>
      <c r="B892" t="s">
        <v>3569</v>
      </c>
      <c r="C892" t="s">
        <v>4643</v>
      </c>
    </row>
    <row r="893" spans="1:3">
      <c r="A893" t="s">
        <v>3570</v>
      </c>
      <c r="B893" t="s">
        <v>3571</v>
      </c>
      <c r="C893" t="s">
        <v>4644</v>
      </c>
    </row>
    <row r="894" spans="1:3">
      <c r="A894" t="s">
        <v>3572</v>
      </c>
      <c r="B894" t="s">
        <v>3573</v>
      </c>
      <c r="C894" t="s">
        <v>4645</v>
      </c>
    </row>
    <row r="895" spans="1:3">
      <c r="A895" t="s">
        <v>3574</v>
      </c>
      <c r="B895" t="s">
        <v>3575</v>
      </c>
      <c r="C895" t="s">
        <v>4646</v>
      </c>
    </row>
    <row r="896" spans="1:3">
      <c r="A896" t="s">
        <v>3576</v>
      </c>
      <c r="B896" t="s">
        <v>3577</v>
      </c>
      <c r="C896" t="s">
        <v>4647</v>
      </c>
    </row>
    <row r="897" spans="1:3">
      <c r="A897" t="s">
        <v>3578</v>
      </c>
      <c r="B897" t="s">
        <v>3579</v>
      </c>
      <c r="C897" t="s">
        <v>4648</v>
      </c>
    </row>
    <row r="898" spans="1:3">
      <c r="A898" t="s">
        <v>3580</v>
      </c>
      <c r="B898" t="s">
        <v>3581</v>
      </c>
    </row>
    <row r="899" spans="1:3">
      <c r="A899" t="s">
        <v>3582</v>
      </c>
      <c r="B899" t="s">
        <v>3583</v>
      </c>
    </row>
    <row r="900" spans="1:3">
      <c r="A900" t="s">
        <v>3584</v>
      </c>
      <c r="B900" t="s">
        <v>3585</v>
      </c>
    </row>
    <row r="901" spans="1:3">
      <c r="A901" t="s">
        <v>3586</v>
      </c>
      <c r="B901" t="s">
        <v>3587</v>
      </c>
      <c r="C901" t="s">
        <v>4649</v>
      </c>
    </row>
    <row r="902" spans="1:3">
      <c r="A902" t="s">
        <v>3588</v>
      </c>
      <c r="B902" t="s">
        <v>3589</v>
      </c>
    </row>
    <row r="903" spans="1:3">
      <c r="A903" t="s">
        <v>3590</v>
      </c>
      <c r="B903" t="s">
        <v>3591</v>
      </c>
      <c r="C903" t="s">
        <v>4650</v>
      </c>
    </row>
    <row r="904" spans="1:3">
      <c r="A904" t="s">
        <v>3592</v>
      </c>
      <c r="B904" t="s">
        <v>3593</v>
      </c>
      <c r="C904" t="s">
        <v>4651</v>
      </c>
    </row>
    <row r="905" spans="1:3">
      <c r="A905" t="s">
        <v>3594</v>
      </c>
      <c r="B905" t="s">
        <v>3595</v>
      </c>
      <c r="C905" t="s">
        <v>4652</v>
      </c>
    </row>
    <row r="906" spans="1:3">
      <c r="A906" t="s">
        <v>3596</v>
      </c>
      <c r="B906" t="s">
        <v>3597</v>
      </c>
    </row>
    <row r="907" spans="1:3">
      <c r="A907" t="s">
        <v>3598</v>
      </c>
      <c r="B907" t="s">
        <v>3599</v>
      </c>
      <c r="C907" t="s">
        <v>4653</v>
      </c>
    </row>
    <row r="908" spans="1:3">
      <c r="A908" t="s">
        <v>3600</v>
      </c>
      <c r="B908" t="s">
        <v>3601</v>
      </c>
      <c r="C908" t="s">
        <v>4654</v>
      </c>
    </row>
    <row r="909" spans="1:3">
      <c r="A909" t="s">
        <v>3602</v>
      </c>
      <c r="B909" t="s">
        <v>3603</v>
      </c>
      <c r="C909" t="s">
        <v>4655</v>
      </c>
    </row>
    <row r="910" spans="1:3">
      <c r="A910" t="s">
        <v>3604</v>
      </c>
      <c r="B910" t="s">
        <v>3605</v>
      </c>
    </row>
    <row r="911" spans="1:3">
      <c r="A911" t="s">
        <v>3606</v>
      </c>
      <c r="B911" t="s">
        <v>3607</v>
      </c>
    </row>
    <row r="912" spans="1:3">
      <c r="A912" t="s">
        <v>3608</v>
      </c>
      <c r="B912" t="s">
        <v>3609</v>
      </c>
      <c r="C912" t="s">
        <v>4656</v>
      </c>
    </row>
    <row r="913" spans="1:3">
      <c r="A913" t="s">
        <v>3610</v>
      </c>
      <c r="B913" t="s">
        <v>3611</v>
      </c>
      <c r="C913" t="s">
        <v>4657</v>
      </c>
    </row>
    <row r="914" spans="1:3">
      <c r="A914" t="s">
        <v>3612</v>
      </c>
    </row>
    <row r="915" spans="1:3">
      <c r="A915" t="s">
        <v>3613</v>
      </c>
    </row>
    <row r="916" spans="1:3">
      <c r="A916" t="s">
        <v>3614</v>
      </c>
    </row>
    <row r="917" spans="1:3">
      <c r="A917" t="s">
        <v>3615</v>
      </c>
      <c r="B917" t="s">
        <v>3616</v>
      </c>
      <c r="C917" t="s">
        <v>4658</v>
      </c>
    </row>
    <row r="918" spans="1:3">
      <c r="A918" t="s">
        <v>3617</v>
      </c>
    </row>
    <row r="919" spans="1:3">
      <c r="A919" t="s">
        <v>3618</v>
      </c>
      <c r="B919" t="s">
        <v>3619</v>
      </c>
      <c r="C919" t="s">
        <v>4659</v>
      </c>
    </row>
    <row r="920" spans="1:3">
      <c r="A920" t="s">
        <v>3620</v>
      </c>
      <c r="B920" t="s">
        <v>3621</v>
      </c>
    </row>
    <row r="921" spans="1:3">
      <c r="A921" t="s">
        <v>3622</v>
      </c>
      <c r="B921" t="s">
        <v>3623</v>
      </c>
      <c r="C921" t="s">
        <v>4660</v>
      </c>
    </row>
    <row r="922" spans="1:3">
      <c r="A922" t="s">
        <v>3624</v>
      </c>
      <c r="B922" t="s">
        <v>3625</v>
      </c>
    </row>
    <row r="923" spans="1:3">
      <c r="A923" t="s">
        <v>3626</v>
      </c>
      <c r="B923" t="s">
        <v>3627</v>
      </c>
      <c r="C923" t="s">
        <v>4661</v>
      </c>
    </row>
    <row r="924" spans="1:3">
      <c r="A924" t="s">
        <v>3628</v>
      </c>
      <c r="B924" t="s">
        <v>3629</v>
      </c>
    </row>
    <row r="925" spans="1:3">
      <c r="A925" t="s">
        <v>3630</v>
      </c>
      <c r="B925" t="s">
        <v>3631</v>
      </c>
      <c r="C925" t="s">
        <v>4662</v>
      </c>
    </row>
    <row r="926" spans="1:3">
      <c r="A926" t="s">
        <v>3632</v>
      </c>
      <c r="B926" t="s">
        <v>3633</v>
      </c>
      <c r="C926" t="s">
        <v>4663</v>
      </c>
    </row>
    <row r="927" spans="1:3">
      <c r="A927" t="s">
        <v>3634</v>
      </c>
      <c r="B927" t="s">
        <v>3635</v>
      </c>
      <c r="C927" t="s">
        <v>4664</v>
      </c>
    </row>
    <row r="928" spans="1:3">
      <c r="A928" t="s">
        <v>3636</v>
      </c>
    </row>
    <row r="929" spans="1:3">
      <c r="A929" t="s">
        <v>3637</v>
      </c>
    </row>
    <row r="930" spans="1:3">
      <c r="A930" t="s">
        <v>3638</v>
      </c>
      <c r="B930" t="s">
        <v>3639</v>
      </c>
    </row>
    <row r="931" spans="1:3">
      <c r="A931" t="s">
        <v>3640</v>
      </c>
    </row>
    <row r="932" spans="1:3">
      <c r="A932" t="s">
        <v>3641</v>
      </c>
      <c r="B932" t="s">
        <v>3642</v>
      </c>
      <c r="C932" t="s">
        <v>4665</v>
      </c>
    </row>
    <row r="933" spans="1:3">
      <c r="A933" t="s">
        <v>3643</v>
      </c>
    </row>
    <row r="934" spans="1:3">
      <c r="A934" t="s">
        <v>3644</v>
      </c>
    </row>
    <row r="935" spans="1:3">
      <c r="A935" t="s">
        <v>3645</v>
      </c>
      <c r="B935" t="s">
        <v>3646</v>
      </c>
      <c r="C935" t="s">
        <v>4666</v>
      </c>
    </row>
    <row r="936" spans="1:3">
      <c r="A936" t="s">
        <v>3647</v>
      </c>
      <c r="B936" t="s">
        <v>3648</v>
      </c>
      <c r="C936" t="s">
        <v>4667</v>
      </c>
    </row>
    <row r="937" spans="1:3">
      <c r="A937" t="s">
        <v>3649</v>
      </c>
      <c r="B937" t="s">
        <v>3650</v>
      </c>
    </row>
    <row r="938" spans="1:3">
      <c r="A938" t="s">
        <v>3651</v>
      </c>
      <c r="B938" t="s">
        <v>3652</v>
      </c>
      <c r="C938" t="s">
        <v>4668</v>
      </c>
    </row>
    <row r="939" spans="1:3">
      <c r="A939" t="s">
        <v>3653</v>
      </c>
      <c r="B939" t="s">
        <v>3654</v>
      </c>
      <c r="C939" t="s">
        <v>4669</v>
      </c>
    </row>
    <row r="940" spans="1:3">
      <c r="A940" t="s">
        <v>3655</v>
      </c>
      <c r="B940" t="s">
        <v>3656</v>
      </c>
      <c r="C940" t="s">
        <v>4670</v>
      </c>
    </row>
    <row r="941" spans="1:3">
      <c r="A941" t="s">
        <v>3657</v>
      </c>
      <c r="B941" t="s">
        <v>3658</v>
      </c>
    </row>
    <row r="942" spans="1:3">
      <c r="A942" t="s">
        <v>3659</v>
      </c>
    </row>
    <row r="943" spans="1:3">
      <c r="A943" t="s">
        <v>3660</v>
      </c>
      <c r="B943" t="s">
        <v>3661</v>
      </c>
      <c r="C943" t="s">
        <v>4671</v>
      </c>
    </row>
    <row r="944" spans="1:3">
      <c r="A944" t="s">
        <v>3662</v>
      </c>
      <c r="B944" t="s">
        <v>3663</v>
      </c>
      <c r="C944" t="s">
        <v>4672</v>
      </c>
    </row>
    <row r="945" spans="1:3">
      <c r="A945" t="s">
        <v>3664</v>
      </c>
      <c r="C945" t="s">
        <v>4673</v>
      </c>
    </row>
    <row r="946" spans="1:3">
      <c r="A946" t="s">
        <v>3665</v>
      </c>
      <c r="B946" t="s">
        <v>3666</v>
      </c>
      <c r="C946" t="s">
        <v>4674</v>
      </c>
    </row>
    <row r="947" spans="1:3">
      <c r="A947" t="s">
        <v>3667</v>
      </c>
      <c r="B947" t="s">
        <v>3668</v>
      </c>
      <c r="C947" t="s">
        <v>4675</v>
      </c>
    </row>
    <row r="948" spans="1:3">
      <c r="A948" t="s">
        <v>3669</v>
      </c>
    </row>
    <row r="949" spans="1:3">
      <c r="A949" t="s">
        <v>3670</v>
      </c>
    </row>
    <row r="950" spans="1:3">
      <c r="A950" t="s">
        <v>3671</v>
      </c>
      <c r="B950" t="s">
        <v>3672</v>
      </c>
    </row>
    <row r="951" spans="1:3">
      <c r="A951" t="s">
        <v>3673</v>
      </c>
      <c r="B951" t="s">
        <v>3674</v>
      </c>
      <c r="C951" t="s">
        <v>4676</v>
      </c>
    </row>
    <row r="952" spans="1:3">
      <c r="A952" t="s">
        <v>3675</v>
      </c>
    </row>
    <row r="953" spans="1:3">
      <c r="A953" t="s">
        <v>3676</v>
      </c>
      <c r="B953" t="s">
        <v>3677</v>
      </c>
    </row>
    <row r="954" spans="1:3">
      <c r="A954" t="s">
        <v>3678</v>
      </c>
      <c r="B954" t="s">
        <v>3679</v>
      </c>
      <c r="C954" t="s">
        <v>4677</v>
      </c>
    </row>
    <row r="955" spans="1:3">
      <c r="A955" t="s">
        <v>3680</v>
      </c>
      <c r="B955" t="s">
        <v>9</v>
      </c>
    </row>
    <row r="956" spans="1:3">
      <c r="A956" t="s">
        <v>3681</v>
      </c>
    </row>
    <row r="957" spans="1:3">
      <c r="A957" t="s">
        <v>3682</v>
      </c>
      <c r="B957" t="s">
        <v>3683</v>
      </c>
      <c r="C957" t="s">
        <v>4678</v>
      </c>
    </row>
    <row r="958" spans="1:3">
      <c r="A958" t="s">
        <v>3684</v>
      </c>
      <c r="B958" t="s">
        <v>3685</v>
      </c>
    </row>
    <row r="959" spans="1:3">
      <c r="A959" t="s">
        <v>3686</v>
      </c>
      <c r="B959" t="s">
        <v>3687</v>
      </c>
    </row>
    <row r="960" spans="1:3">
      <c r="A960" t="s">
        <v>3688</v>
      </c>
      <c r="B960" t="s">
        <v>3689</v>
      </c>
      <c r="C960" t="s">
        <v>4679</v>
      </c>
    </row>
    <row r="961" spans="1:3">
      <c r="A961" t="s">
        <v>3690</v>
      </c>
      <c r="B961" t="s">
        <v>3691</v>
      </c>
      <c r="C961" t="s">
        <v>4680</v>
      </c>
    </row>
    <row r="962" spans="1:3">
      <c r="A962" t="s">
        <v>3692</v>
      </c>
      <c r="B962" t="s">
        <v>3693</v>
      </c>
      <c r="C962" t="s">
        <v>4681</v>
      </c>
    </row>
    <row r="963" spans="1:3">
      <c r="A963" t="s">
        <v>3694</v>
      </c>
      <c r="B963" t="s">
        <v>3695</v>
      </c>
      <c r="C963" t="s">
        <v>4682</v>
      </c>
    </row>
    <row r="964" spans="1:3">
      <c r="A964" t="s">
        <v>3696</v>
      </c>
    </row>
    <row r="965" spans="1:3">
      <c r="A965" t="s">
        <v>3697</v>
      </c>
      <c r="B965" t="s">
        <v>3698</v>
      </c>
      <c r="C965" t="s">
        <v>4683</v>
      </c>
    </row>
    <row r="966" spans="1:3">
      <c r="A966" t="s">
        <v>3699</v>
      </c>
      <c r="B966" t="s">
        <v>3700</v>
      </c>
      <c r="C966" t="s">
        <v>4684</v>
      </c>
    </row>
    <row r="967" spans="1:3">
      <c r="A967" t="s">
        <v>3701</v>
      </c>
      <c r="B967" t="s">
        <v>3702</v>
      </c>
      <c r="C967" t="s">
        <v>4685</v>
      </c>
    </row>
    <row r="968" spans="1:3">
      <c r="A968" t="s">
        <v>3703</v>
      </c>
      <c r="B968" t="s">
        <v>2199</v>
      </c>
      <c r="C968" t="s">
        <v>4686</v>
      </c>
    </row>
    <row r="969" spans="1:3">
      <c r="A969" t="s">
        <v>3704</v>
      </c>
      <c r="B969" t="s">
        <v>3705</v>
      </c>
      <c r="C969" t="s">
        <v>4687</v>
      </c>
    </row>
    <row r="970" spans="1:3">
      <c r="A970" t="s">
        <v>3706</v>
      </c>
      <c r="B970" t="s">
        <v>3707</v>
      </c>
      <c r="C970" t="s">
        <v>4688</v>
      </c>
    </row>
    <row r="971" spans="1:3">
      <c r="A971" t="s">
        <v>3708</v>
      </c>
      <c r="B971" t="s">
        <v>3709</v>
      </c>
      <c r="C971" t="s">
        <v>4689</v>
      </c>
    </row>
    <row r="972" spans="1:3">
      <c r="A972" t="s">
        <v>3710</v>
      </c>
      <c r="B972" t="s">
        <v>3711</v>
      </c>
      <c r="C972" t="s">
        <v>4690</v>
      </c>
    </row>
    <row r="973" spans="1:3">
      <c r="A973" t="s">
        <v>3712</v>
      </c>
      <c r="B973" t="s">
        <v>3713</v>
      </c>
      <c r="C973" t="s">
        <v>4691</v>
      </c>
    </row>
    <row r="974" spans="1:3">
      <c r="A974" t="s">
        <v>3714</v>
      </c>
      <c r="B974" t="s">
        <v>3715</v>
      </c>
      <c r="C974" t="s">
        <v>4692</v>
      </c>
    </row>
    <row r="975" spans="1:3">
      <c r="A975" t="s">
        <v>3716</v>
      </c>
      <c r="B975" t="s">
        <v>3717</v>
      </c>
      <c r="C975" t="s">
        <v>4693</v>
      </c>
    </row>
    <row r="976" spans="1:3">
      <c r="A976" t="s">
        <v>3718</v>
      </c>
      <c r="B976" t="s">
        <v>9</v>
      </c>
    </row>
    <row r="977" spans="1:3">
      <c r="A977" t="s">
        <v>3719</v>
      </c>
      <c r="B977" t="s">
        <v>3720</v>
      </c>
    </row>
    <row r="978" spans="1:3">
      <c r="A978" t="s">
        <v>3721</v>
      </c>
      <c r="B978" t="s">
        <v>9</v>
      </c>
    </row>
    <row r="979" spans="1:3">
      <c r="A979" t="s">
        <v>3722</v>
      </c>
      <c r="B979" t="s">
        <v>3723</v>
      </c>
      <c r="C979" t="s">
        <v>4694</v>
      </c>
    </row>
    <row r="980" spans="1:3">
      <c r="A980" t="s">
        <v>3724</v>
      </c>
      <c r="B980" t="s">
        <v>3725</v>
      </c>
      <c r="C980" t="s">
        <v>4695</v>
      </c>
    </row>
    <row r="981" spans="1:3">
      <c r="A981" t="s">
        <v>3726</v>
      </c>
      <c r="B981" t="s">
        <v>3727</v>
      </c>
      <c r="C981" t="s">
        <v>4696</v>
      </c>
    </row>
    <row r="982" spans="1:3">
      <c r="A982" t="s">
        <v>3728</v>
      </c>
      <c r="B982" t="s">
        <v>3729</v>
      </c>
      <c r="C982" t="s">
        <v>4697</v>
      </c>
    </row>
    <row r="983" spans="1:3">
      <c r="A983" t="s">
        <v>3730</v>
      </c>
    </row>
    <row r="984" spans="1:3">
      <c r="A984" t="s">
        <v>3731</v>
      </c>
    </row>
    <row r="985" spans="1:3">
      <c r="A985" t="s">
        <v>3732</v>
      </c>
      <c r="B985" t="s">
        <v>3733</v>
      </c>
    </row>
    <row r="986" spans="1:3">
      <c r="A986" t="s">
        <v>3734</v>
      </c>
      <c r="B986" t="s">
        <v>3735</v>
      </c>
      <c r="C986" t="s">
        <v>4698</v>
      </c>
    </row>
    <row r="987" spans="1:3">
      <c r="A987" t="s">
        <v>3736</v>
      </c>
      <c r="B987" t="s">
        <v>3737</v>
      </c>
      <c r="C987" t="s">
        <v>4699</v>
      </c>
    </row>
    <row r="988" spans="1:3">
      <c r="A988" t="s">
        <v>3738</v>
      </c>
      <c r="B988" t="s">
        <v>3739</v>
      </c>
      <c r="C988" t="s">
        <v>4700</v>
      </c>
    </row>
    <row r="989" spans="1:3">
      <c r="A989" t="s">
        <v>3740</v>
      </c>
    </row>
    <row r="990" spans="1:3">
      <c r="A990" t="s">
        <v>3741</v>
      </c>
      <c r="B990" t="s">
        <v>3742</v>
      </c>
    </row>
    <row r="991" spans="1:3">
      <c r="A991" t="s">
        <v>3743</v>
      </c>
      <c r="B991" t="s">
        <v>3744</v>
      </c>
      <c r="C991" t="s">
        <v>4701</v>
      </c>
    </row>
    <row r="992" spans="1:3">
      <c r="A992" t="s">
        <v>3745</v>
      </c>
      <c r="B992" t="s">
        <v>3746</v>
      </c>
      <c r="C992" t="s">
        <v>4702</v>
      </c>
    </row>
    <row r="993" spans="1:3">
      <c r="A993" t="s">
        <v>3747</v>
      </c>
      <c r="B993" t="s">
        <v>3748</v>
      </c>
      <c r="C993" t="s">
        <v>4703</v>
      </c>
    </row>
    <row r="994" spans="1:3">
      <c r="A994" t="s">
        <v>3749</v>
      </c>
      <c r="B994" t="s">
        <v>3750</v>
      </c>
    </row>
    <row r="995" spans="1:3">
      <c r="A995" t="s">
        <v>3751</v>
      </c>
      <c r="B995" t="s">
        <v>3752</v>
      </c>
      <c r="C995" t="s">
        <v>4704</v>
      </c>
    </row>
    <row r="996" spans="1:3">
      <c r="A996" t="s">
        <v>3753</v>
      </c>
      <c r="B996" t="s">
        <v>3754</v>
      </c>
      <c r="C996" t="s">
        <v>4705</v>
      </c>
    </row>
    <row r="997" spans="1:3">
      <c r="A997" t="s">
        <v>3755</v>
      </c>
      <c r="B997" t="s">
        <v>3756</v>
      </c>
      <c r="C997" t="s">
        <v>4706</v>
      </c>
    </row>
    <row r="998" spans="1:3">
      <c r="A998" t="s">
        <v>3757</v>
      </c>
      <c r="B998" t="s">
        <v>3758</v>
      </c>
      <c r="C998" t="s">
        <v>4707</v>
      </c>
    </row>
    <row r="999" spans="1:3">
      <c r="A999" t="s">
        <v>3759</v>
      </c>
      <c r="B999" t="s">
        <v>3760</v>
      </c>
      <c r="C999" t="s">
        <v>4708</v>
      </c>
    </row>
    <row r="1000" spans="1:3">
      <c r="A1000" t="s">
        <v>3761</v>
      </c>
      <c r="B1000" t="s">
        <v>3762</v>
      </c>
      <c r="C1000" t="s">
        <v>4709</v>
      </c>
    </row>
    <row r="1001" spans="1:3">
      <c r="A1001" t="s">
        <v>3763</v>
      </c>
      <c r="B1001" t="s">
        <v>3764</v>
      </c>
      <c r="C1001" t="s">
        <v>4710</v>
      </c>
    </row>
    <row r="1002" spans="1:3">
      <c r="A1002" t="s">
        <v>3765</v>
      </c>
      <c r="B1002" t="s">
        <v>2131</v>
      </c>
      <c r="C1002" t="s">
        <v>4711</v>
      </c>
    </row>
    <row r="1003" spans="1:3">
      <c r="A1003" t="s">
        <v>3766</v>
      </c>
      <c r="B1003" t="s">
        <v>3767</v>
      </c>
    </row>
    <row r="1004" spans="1:3">
      <c r="A1004" t="s">
        <v>3768</v>
      </c>
      <c r="B1004" t="s">
        <v>3769</v>
      </c>
      <c r="C1004" t="s">
        <v>4712</v>
      </c>
    </row>
    <row r="1005" spans="1:3">
      <c r="A1005" t="s">
        <v>3770</v>
      </c>
      <c r="B1005" t="s">
        <v>3771</v>
      </c>
      <c r="C1005" t="s">
        <v>4713</v>
      </c>
    </row>
    <row r="1006" spans="1:3">
      <c r="A1006" t="s">
        <v>3772</v>
      </c>
      <c r="B1006" t="s">
        <v>3773</v>
      </c>
      <c r="C1006" t="s">
        <v>4714</v>
      </c>
    </row>
    <row r="1007" spans="1:3">
      <c r="A1007" t="s">
        <v>3774</v>
      </c>
      <c r="B1007" t="s">
        <v>3775</v>
      </c>
      <c r="C1007" t="s">
        <v>4715</v>
      </c>
    </row>
    <row r="1008" spans="1:3">
      <c r="A1008" t="s">
        <v>3776</v>
      </c>
      <c r="B1008" t="s">
        <v>3777</v>
      </c>
      <c r="C1008" t="s">
        <v>4716</v>
      </c>
    </row>
    <row r="1009" spans="1:3">
      <c r="A1009" t="s">
        <v>3778</v>
      </c>
      <c r="B1009" t="s">
        <v>3779</v>
      </c>
      <c r="C1009" t="s">
        <v>4717</v>
      </c>
    </row>
    <row r="1010" spans="1:3">
      <c r="A1010" t="s">
        <v>3780</v>
      </c>
      <c r="B1010" t="s">
        <v>3781</v>
      </c>
    </row>
    <row r="1011" spans="1:3">
      <c r="A1011" t="s">
        <v>3782</v>
      </c>
      <c r="B1011" t="s">
        <v>3783</v>
      </c>
    </row>
    <row r="1012" spans="1:3">
      <c r="A1012" t="s">
        <v>3784</v>
      </c>
      <c r="B1012" t="s">
        <v>3785</v>
      </c>
      <c r="C1012" t="s">
        <v>4718</v>
      </c>
    </row>
    <row r="1013" spans="1:3">
      <c r="A1013" t="s">
        <v>3786</v>
      </c>
      <c r="B1013" t="s">
        <v>3787</v>
      </c>
    </row>
    <row r="1014" spans="1:3">
      <c r="A1014" t="s">
        <v>3788</v>
      </c>
      <c r="B1014" t="s">
        <v>9</v>
      </c>
    </row>
    <row r="1015" spans="1:3">
      <c r="A1015" t="s">
        <v>3789</v>
      </c>
      <c r="B1015" t="s">
        <v>9</v>
      </c>
      <c r="C1015" t="s">
        <v>4719</v>
      </c>
    </row>
    <row r="1016" spans="1:3">
      <c r="A1016" t="s">
        <v>3790</v>
      </c>
      <c r="B1016" t="s">
        <v>3791</v>
      </c>
      <c r="C1016" t="s">
        <v>4720</v>
      </c>
    </row>
    <row r="1017" spans="1:3">
      <c r="A1017" t="s">
        <v>3792</v>
      </c>
      <c r="B1017" t="s">
        <v>3793</v>
      </c>
      <c r="C1017" t="s">
        <v>4721</v>
      </c>
    </row>
    <row r="1018" spans="1:3">
      <c r="A1018" t="s">
        <v>3794</v>
      </c>
      <c r="B1018" t="s">
        <v>9</v>
      </c>
    </row>
    <row r="1019" spans="1:3">
      <c r="A1019" t="s">
        <v>3795</v>
      </c>
      <c r="B1019" t="s">
        <v>3796</v>
      </c>
      <c r="C1019" t="s">
        <v>4722</v>
      </c>
    </row>
    <row r="1020" spans="1:3">
      <c r="A1020" t="s">
        <v>3797</v>
      </c>
      <c r="B1020" t="s">
        <v>2935</v>
      </c>
    </row>
    <row r="1021" spans="1:3">
      <c r="A1021" t="s">
        <v>3798</v>
      </c>
      <c r="B1021" t="s">
        <v>9</v>
      </c>
    </row>
    <row r="1022" spans="1:3">
      <c r="A1022" t="s">
        <v>3799</v>
      </c>
      <c r="B1022" t="s">
        <v>3800</v>
      </c>
      <c r="C1022" t="s">
        <v>4723</v>
      </c>
    </row>
    <row r="1023" spans="1:3">
      <c r="A1023" t="s">
        <v>3801</v>
      </c>
      <c r="B1023" t="s">
        <v>3802</v>
      </c>
      <c r="C1023" t="s">
        <v>4724</v>
      </c>
    </row>
    <row r="1024" spans="1:3">
      <c r="A1024" t="s">
        <v>3803</v>
      </c>
      <c r="B1024" t="s">
        <v>3804</v>
      </c>
      <c r="C1024" t="s">
        <v>4725</v>
      </c>
    </row>
    <row r="1025" spans="1:3">
      <c r="A1025" t="s">
        <v>3805</v>
      </c>
    </row>
    <row r="1026" spans="1:3">
      <c r="A1026" t="s">
        <v>3806</v>
      </c>
    </row>
    <row r="1027" spans="1:3">
      <c r="A1027" t="s">
        <v>3807</v>
      </c>
      <c r="B1027" t="s">
        <v>9</v>
      </c>
    </row>
    <row r="1028" spans="1:3">
      <c r="A1028" t="s">
        <v>3808</v>
      </c>
      <c r="B1028" t="s">
        <v>3809</v>
      </c>
      <c r="C1028" t="s">
        <v>4726</v>
      </c>
    </row>
    <row r="1029" spans="1:3">
      <c r="A1029" t="s">
        <v>3810</v>
      </c>
      <c r="B1029" t="s">
        <v>3811</v>
      </c>
      <c r="C1029" t="s">
        <v>4727</v>
      </c>
    </row>
    <row r="1030" spans="1:3">
      <c r="A1030" t="s">
        <v>3812</v>
      </c>
    </row>
    <row r="1031" spans="1:3">
      <c r="A1031" t="s">
        <v>3813</v>
      </c>
      <c r="B1031" t="s">
        <v>3814</v>
      </c>
      <c r="C1031" t="s">
        <v>4728</v>
      </c>
    </row>
    <row r="1032" spans="1:3">
      <c r="A1032" t="s">
        <v>3815</v>
      </c>
      <c r="B1032" t="s">
        <v>3816</v>
      </c>
      <c r="C1032" t="s">
        <v>4729</v>
      </c>
    </row>
    <row r="1033" spans="1:3">
      <c r="A1033" t="s">
        <v>3817</v>
      </c>
      <c r="B1033" t="s">
        <v>3818</v>
      </c>
      <c r="C1033" t="s">
        <v>4730</v>
      </c>
    </row>
    <row r="1034" spans="1:3">
      <c r="A1034" t="s">
        <v>3819</v>
      </c>
      <c r="B1034" t="s">
        <v>3820</v>
      </c>
      <c r="C1034" t="s">
        <v>4731</v>
      </c>
    </row>
    <row r="1035" spans="1:3">
      <c r="A1035" t="s">
        <v>3821</v>
      </c>
      <c r="B1035" t="s">
        <v>3821</v>
      </c>
    </row>
    <row r="1036" spans="1:3">
      <c r="A1036" t="s">
        <v>3822</v>
      </c>
      <c r="B1036" t="s">
        <v>3823</v>
      </c>
    </row>
    <row r="1037" spans="1:3">
      <c r="A1037" t="s">
        <v>3824</v>
      </c>
      <c r="B1037" t="s">
        <v>3825</v>
      </c>
      <c r="C1037" t="s">
        <v>4732</v>
      </c>
    </row>
    <row r="1038" spans="1:3">
      <c r="A1038" t="s">
        <v>3826</v>
      </c>
      <c r="B1038" t="s">
        <v>3827</v>
      </c>
    </row>
    <row r="1039" spans="1:3">
      <c r="A1039" t="s">
        <v>3828</v>
      </c>
      <c r="B1039" t="s">
        <v>3829</v>
      </c>
      <c r="C1039" t="s">
        <v>4733</v>
      </c>
    </row>
    <row r="1040" spans="1:3">
      <c r="A1040" t="s">
        <v>3830</v>
      </c>
      <c r="B1040" t="s">
        <v>3831</v>
      </c>
    </row>
    <row r="1041" spans="1:3">
      <c r="A1041" t="s">
        <v>3832</v>
      </c>
      <c r="B1041" t="s">
        <v>3833</v>
      </c>
      <c r="C1041" t="s">
        <v>4734</v>
      </c>
    </row>
    <row r="1042" spans="1:3">
      <c r="A1042" t="s">
        <v>3834</v>
      </c>
      <c r="B1042" t="s">
        <v>3835</v>
      </c>
    </row>
    <row r="1043" spans="1:3">
      <c r="A1043" t="s">
        <v>3836</v>
      </c>
      <c r="B1043" t="s">
        <v>3837</v>
      </c>
      <c r="C1043" t="s">
        <v>4735</v>
      </c>
    </row>
    <row r="1044" spans="1:3">
      <c r="A1044" t="s">
        <v>3838</v>
      </c>
      <c r="B1044" t="s">
        <v>3839</v>
      </c>
      <c r="C1044" t="s">
        <v>4736</v>
      </c>
    </row>
    <row r="1045" spans="1:3">
      <c r="A1045" t="s">
        <v>3840</v>
      </c>
    </row>
    <row r="1046" spans="1:3">
      <c r="A1046" t="s">
        <v>3841</v>
      </c>
    </row>
    <row r="1047" spans="1:3">
      <c r="A1047" t="s">
        <v>3842</v>
      </c>
      <c r="B1047" t="s">
        <v>3843</v>
      </c>
      <c r="C1047" t="s">
        <v>4737</v>
      </c>
    </row>
    <row r="1048" spans="1:3">
      <c r="A1048" t="s">
        <v>3844</v>
      </c>
    </row>
    <row r="1049" spans="1:3">
      <c r="A1049" t="s">
        <v>3845</v>
      </c>
    </row>
    <row r="1050" spans="1:3">
      <c r="A1050" t="s">
        <v>3846</v>
      </c>
      <c r="B1050" t="s">
        <v>3847</v>
      </c>
    </row>
    <row r="1051" spans="1:3">
      <c r="A1051" t="s">
        <v>3848</v>
      </c>
      <c r="B1051" t="s">
        <v>3849</v>
      </c>
      <c r="C1051" t="s">
        <v>4738</v>
      </c>
    </row>
    <row r="1052" spans="1:3">
      <c r="A1052" t="s">
        <v>3840</v>
      </c>
      <c r="B1052" t="s">
        <v>3850</v>
      </c>
      <c r="C1052" t="s">
        <v>4739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641"/>
  <sheetViews>
    <sheetView view="pageBreakPreview" zoomScale="70" zoomScaleNormal="100" zoomScaleSheetLayoutView="70" workbookViewId="0">
      <pane ySplit="1" topLeftCell="A94" activePane="bottomLeft" state="frozen"/>
      <selection activeCell="A212" sqref="A212"/>
      <selection pane="bottomLeft" activeCell="F97" sqref="F97"/>
    </sheetView>
  </sheetViews>
  <sheetFormatPr defaultColWidth="9.140625" defaultRowHeight="39.950000000000003" customHeight="1"/>
  <cols>
    <col min="1" max="1" width="39" style="51" bestFit="1" customWidth="1"/>
    <col min="2" max="2" width="20.85546875" style="51" customWidth="1"/>
    <col min="3" max="3" width="33.28515625" style="50" customWidth="1"/>
    <col min="4" max="4" width="17" style="50" bestFit="1" customWidth="1"/>
    <col min="5" max="5" width="26.42578125" style="50" customWidth="1"/>
    <col min="6" max="6" width="10.28515625" style="50" bestFit="1" customWidth="1"/>
    <col min="7" max="8" width="10.7109375" style="50" bestFit="1" customWidth="1"/>
    <col min="9" max="9" width="27.7109375" style="50" customWidth="1"/>
    <col min="10" max="10" width="52.140625" style="51" bestFit="1" customWidth="1"/>
    <col min="11" max="11" width="18.7109375" style="51" bestFit="1" customWidth="1"/>
    <col min="12" max="12" width="99.42578125" style="13" hidden="1" customWidth="1"/>
    <col min="13" max="13" width="24.5703125" style="51" customWidth="1"/>
    <col min="14" max="14" width="18.7109375" style="51" customWidth="1"/>
    <col min="15" max="15" width="12.28515625" style="51" customWidth="1"/>
    <col min="16" max="16" width="12" style="51" customWidth="1"/>
    <col min="17" max="16384" width="9.140625" style="50"/>
  </cols>
  <sheetData>
    <row r="1" spans="1:16" ht="39.75" customHeight="1">
      <c r="A1" s="53" t="s">
        <v>0</v>
      </c>
      <c r="B1" s="53" t="s">
        <v>1257</v>
      </c>
      <c r="C1" s="53"/>
      <c r="D1" s="52" t="s">
        <v>2</v>
      </c>
      <c r="E1" s="52"/>
      <c r="F1" s="52" t="s">
        <v>3</v>
      </c>
      <c r="G1" s="52" t="s">
        <v>4</v>
      </c>
      <c r="H1" s="52" t="s">
        <v>5</v>
      </c>
      <c r="I1" s="52"/>
      <c r="J1" s="54" t="s">
        <v>6</v>
      </c>
      <c r="K1" s="54" t="s">
        <v>1054</v>
      </c>
      <c r="L1" s="14" t="s">
        <v>1223</v>
      </c>
      <c r="M1" s="54" t="s">
        <v>1055</v>
      </c>
      <c r="N1" s="54" t="s">
        <v>1056</v>
      </c>
      <c r="O1" s="54" t="s">
        <v>1057</v>
      </c>
      <c r="P1" s="54" t="s">
        <v>1058</v>
      </c>
    </row>
    <row r="2" spans="1:16" ht="24.95" customHeight="1">
      <c r="A2" s="55" t="s">
        <v>7</v>
      </c>
      <c r="B2" s="55" t="s">
        <v>1297</v>
      </c>
      <c r="C2" s="55" t="s">
        <v>7</v>
      </c>
      <c r="D2" s="55" t="s">
        <v>8</v>
      </c>
      <c r="E2" s="55" t="s">
        <v>7</v>
      </c>
      <c r="F2" s="55" t="s">
        <v>9</v>
      </c>
      <c r="G2" s="55">
        <v>22</v>
      </c>
      <c r="H2" s="55">
        <v>78</v>
      </c>
      <c r="I2" s="55" t="s">
        <v>7</v>
      </c>
      <c r="J2" s="56" t="s">
        <v>66</v>
      </c>
      <c r="K2" s="56" t="s">
        <v>1061</v>
      </c>
      <c r="M2" s="50" t="s">
        <v>1062</v>
      </c>
      <c r="N2" s="56" t="s">
        <v>1060</v>
      </c>
      <c r="O2" s="56" t="s">
        <v>1063</v>
      </c>
      <c r="P2" s="56" t="s">
        <v>1059</v>
      </c>
    </row>
    <row r="3" spans="1:16" ht="24.95" customHeight="1">
      <c r="A3" s="55" t="s">
        <v>895</v>
      </c>
      <c r="B3" s="55" t="s">
        <v>1297</v>
      </c>
      <c r="C3" s="55" t="s">
        <v>895</v>
      </c>
      <c r="D3" s="55" t="s">
        <v>8</v>
      </c>
      <c r="E3" s="55" t="s">
        <v>895</v>
      </c>
      <c r="F3" s="55">
        <v>0.88</v>
      </c>
      <c r="G3" s="55" t="s">
        <v>9</v>
      </c>
      <c r="H3" s="55" t="s">
        <v>9</v>
      </c>
      <c r="I3" s="55" t="s">
        <v>895</v>
      </c>
      <c r="J3" s="56" t="s">
        <v>66</v>
      </c>
      <c r="K3" s="56" t="s">
        <v>9</v>
      </c>
      <c r="L3" s="16"/>
      <c r="M3" s="56"/>
      <c r="N3" s="55"/>
      <c r="O3" s="55"/>
      <c r="P3" s="60"/>
    </row>
    <row r="4" spans="1:16" ht="24.95" customHeight="1">
      <c r="A4" s="55" t="s">
        <v>38</v>
      </c>
      <c r="B4" s="55" t="s">
        <v>1297</v>
      </c>
      <c r="C4" s="55" t="s">
        <v>38</v>
      </c>
      <c r="D4" s="55" t="s">
        <v>8</v>
      </c>
      <c r="E4" s="55" t="s">
        <v>38</v>
      </c>
      <c r="F4" s="55" t="s">
        <v>99</v>
      </c>
      <c r="G4" s="55" t="s">
        <v>9</v>
      </c>
      <c r="H4" s="55" t="s">
        <v>9</v>
      </c>
      <c r="I4" s="55" t="s">
        <v>38</v>
      </c>
      <c r="J4" s="56" t="s">
        <v>67</v>
      </c>
      <c r="K4" s="56" t="s">
        <v>9</v>
      </c>
      <c r="L4" s="16"/>
      <c r="M4" s="56"/>
      <c r="N4" s="55"/>
      <c r="O4" s="55"/>
      <c r="P4" s="55"/>
    </row>
    <row r="5" spans="1:16" ht="39.950000000000003" customHeight="1">
      <c r="A5" s="56" t="s">
        <v>11</v>
      </c>
      <c r="B5" s="55" t="s">
        <v>1297</v>
      </c>
      <c r="C5" s="56" t="s">
        <v>11</v>
      </c>
      <c r="D5" s="55" t="s">
        <v>8</v>
      </c>
      <c r="E5" s="56" t="s">
        <v>11</v>
      </c>
      <c r="F5" s="55">
        <v>44</v>
      </c>
      <c r="G5" s="55">
        <v>132</v>
      </c>
      <c r="H5" s="55" t="s">
        <v>9</v>
      </c>
      <c r="I5" s="56" t="s">
        <v>11</v>
      </c>
      <c r="J5" s="56" t="s">
        <v>68</v>
      </c>
      <c r="K5" s="56" t="s">
        <v>1065</v>
      </c>
      <c r="L5" s="16"/>
      <c r="M5" s="56" t="s">
        <v>1066</v>
      </c>
      <c r="N5" s="56" t="s">
        <v>1060</v>
      </c>
      <c r="O5" s="55" t="s">
        <v>1064</v>
      </c>
      <c r="P5" s="55" t="s">
        <v>1067</v>
      </c>
    </row>
    <row r="6" spans="1:16" ht="24.95" customHeight="1">
      <c r="A6" s="55" t="s">
        <v>10</v>
      </c>
      <c r="B6" s="55" t="s">
        <v>1297</v>
      </c>
      <c r="C6" s="55" t="s">
        <v>10</v>
      </c>
      <c r="D6" s="55" t="s">
        <v>8</v>
      </c>
      <c r="E6" s="55" t="s">
        <v>10</v>
      </c>
      <c r="F6" s="55">
        <v>176</v>
      </c>
      <c r="G6" s="55" t="s">
        <v>9</v>
      </c>
      <c r="H6" s="55" t="s">
        <v>9</v>
      </c>
      <c r="I6" s="55" t="s">
        <v>10</v>
      </c>
      <c r="J6" s="56" t="s">
        <v>68</v>
      </c>
      <c r="K6" s="56" t="s">
        <v>1065</v>
      </c>
      <c r="L6" s="16"/>
      <c r="M6" s="56" t="s">
        <v>1066</v>
      </c>
      <c r="N6" s="55" t="s">
        <v>1060</v>
      </c>
      <c r="O6" s="55" t="s">
        <v>1064</v>
      </c>
      <c r="P6" s="55" t="s">
        <v>1067</v>
      </c>
    </row>
    <row r="7" spans="1:16" ht="24.95" customHeight="1">
      <c r="A7" s="55" t="s">
        <v>39</v>
      </c>
      <c r="B7" s="55" t="s">
        <v>1297</v>
      </c>
      <c r="C7" s="55" t="s">
        <v>39</v>
      </c>
      <c r="D7" s="55" t="s">
        <v>8</v>
      </c>
      <c r="E7" s="55" t="s">
        <v>39</v>
      </c>
      <c r="F7" s="55">
        <v>176</v>
      </c>
      <c r="G7" s="55" t="s">
        <v>9</v>
      </c>
      <c r="H7" s="55" t="s">
        <v>9</v>
      </c>
      <c r="I7" s="55" t="s">
        <v>39</v>
      </c>
      <c r="J7" s="56" t="s">
        <v>68</v>
      </c>
      <c r="K7" s="56" t="s">
        <v>1065</v>
      </c>
      <c r="L7" s="16"/>
      <c r="M7" s="56" t="s">
        <v>1066</v>
      </c>
      <c r="N7" s="55" t="s">
        <v>1060</v>
      </c>
      <c r="O7" s="55" t="s">
        <v>1064</v>
      </c>
      <c r="P7" s="55" t="s">
        <v>1067</v>
      </c>
    </row>
    <row r="8" spans="1:16" ht="24.95" customHeight="1">
      <c r="A8" s="55" t="s">
        <v>40</v>
      </c>
      <c r="B8" s="55" t="s">
        <v>1297</v>
      </c>
      <c r="C8" s="55" t="s">
        <v>40</v>
      </c>
      <c r="D8" s="55" t="s">
        <v>8</v>
      </c>
      <c r="E8" s="55" t="s">
        <v>40</v>
      </c>
      <c r="F8" s="55" t="s">
        <v>104</v>
      </c>
      <c r="G8" s="55" t="s">
        <v>9</v>
      </c>
      <c r="H8" s="55" t="s">
        <v>9</v>
      </c>
      <c r="I8" s="55" t="s">
        <v>40</v>
      </c>
      <c r="J8" s="56" t="s">
        <v>41</v>
      </c>
      <c r="K8" s="56" t="s">
        <v>9</v>
      </c>
      <c r="L8" s="36"/>
      <c r="M8" s="61"/>
      <c r="N8" s="55"/>
      <c r="O8" s="55"/>
      <c r="P8" s="55"/>
    </row>
    <row r="9" spans="1:16" ht="39.950000000000003" customHeight="1">
      <c r="A9" s="56" t="s">
        <v>42</v>
      </c>
      <c r="B9" s="55" t="s">
        <v>1297</v>
      </c>
      <c r="C9" s="56" t="s">
        <v>42</v>
      </c>
      <c r="D9" s="55" t="s">
        <v>8</v>
      </c>
      <c r="E9" s="56" t="s">
        <v>42</v>
      </c>
      <c r="F9" s="55">
        <v>352</v>
      </c>
      <c r="G9" s="55" t="s">
        <v>9</v>
      </c>
      <c r="H9" s="55">
        <v>310</v>
      </c>
      <c r="I9" s="56" t="s">
        <v>42</v>
      </c>
      <c r="J9" s="56" t="s">
        <v>68</v>
      </c>
      <c r="K9" s="57" t="s">
        <v>1065</v>
      </c>
      <c r="L9" s="35"/>
      <c r="M9" s="56" t="s">
        <v>1073</v>
      </c>
      <c r="N9" s="56" t="s">
        <v>1060</v>
      </c>
      <c r="O9" s="56" t="s">
        <v>1064</v>
      </c>
      <c r="P9" s="56" t="s">
        <v>1074</v>
      </c>
    </row>
    <row r="10" spans="1:16" ht="39.950000000000003" customHeight="1">
      <c r="A10" s="56" t="s">
        <v>43</v>
      </c>
      <c r="B10" s="55" t="s">
        <v>1297</v>
      </c>
      <c r="C10" s="56" t="s">
        <v>43</v>
      </c>
      <c r="D10" s="55" t="s">
        <v>8</v>
      </c>
      <c r="E10" s="56" t="s">
        <v>43</v>
      </c>
      <c r="F10" s="55">
        <v>4.4000000000000004</v>
      </c>
      <c r="G10" s="55" t="s">
        <v>9</v>
      </c>
      <c r="H10" s="55"/>
      <c r="I10" s="56" t="s">
        <v>43</v>
      </c>
      <c r="J10" s="56" t="s">
        <v>77</v>
      </c>
      <c r="K10" s="56" t="s">
        <v>1065</v>
      </c>
      <c r="L10" s="34"/>
      <c r="M10" s="62" t="s">
        <v>1066</v>
      </c>
      <c r="N10" s="56" t="s">
        <v>1060</v>
      </c>
      <c r="O10" s="55" t="s">
        <v>1064</v>
      </c>
      <c r="P10" s="55" t="s">
        <v>1067</v>
      </c>
    </row>
    <row r="11" spans="1:16" ht="24.95" customHeight="1">
      <c r="A11" s="55" t="s">
        <v>44</v>
      </c>
      <c r="B11" s="55" t="s">
        <v>1297</v>
      </c>
      <c r="C11" s="55" t="s">
        <v>44</v>
      </c>
      <c r="D11" s="55" t="s">
        <v>8</v>
      </c>
      <c r="E11" s="55" t="s">
        <v>44</v>
      </c>
      <c r="F11" s="55">
        <v>17.600000000000001</v>
      </c>
      <c r="G11" s="55" t="s">
        <v>9</v>
      </c>
      <c r="H11" s="55" t="s">
        <v>9</v>
      </c>
      <c r="I11" s="55" t="s">
        <v>44</v>
      </c>
      <c r="J11" s="56" t="s">
        <v>68</v>
      </c>
      <c r="K11" s="56" t="s">
        <v>9</v>
      </c>
      <c r="L11" s="16"/>
      <c r="M11" s="56"/>
      <c r="N11" s="55"/>
      <c r="O11" s="55"/>
      <c r="P11" s="55"/>
    </row>
    <row r="12" spans="1:16" ht="24.95" customHeight="1">
      <c r="A12" s="55" t="s">
        <v>45</v>
      </c>
      <c r="B12" s="55" t="s">
        <v>1297</v>
      </c>
      <c r="C12" s="55" t="s">
        <v>45</v>
      </c>
      <c r="D12" s="55" t="s">
        <v>8</v>
      </c>
      <c r="E12" s="55" t="s">
        <v>45</v>
      </c>
      <c r="F12" s="55">
        <v>132</v>
      </c>
      <c r="G12" s="55" t="s">
        <v>9</v>
      </c>
      <c r="H12" s="55" t="s">
        <v>9</v>
      </c>
      <c r="I12" s="55" t="s">
        <v>45</v>
      </c>
      <c r="J12" s="56" t="s">
        <v>68</v>
      </c>
      <c r="K12" s="56" t="s">
        <v>1065</v>
      </c>
      <c r="L12" s="16"/>
      <c r="M12" s="56" t="s">
        <v>1066</v>
      </c>
      <c r="N12" s="55" t="s">
        <v>1060</v>
      </c>
      <c r="O12" s="55" t="s">
        <v>1064</v>
      </c>
      <c r="P12" s="55" t="s">
        <v>1067</v>
      </c>
    </row>
    <row r="13" spans="1:16" ht="36.75" customHeight="1">
      <c r="A13" s="55" t="s">
        <v>46</v>
      </c>
      <c r="B13" s="55" t="s">
        <v>1297</v>
      </c>
      <c r="C13" s="55" t="s">
        <v>46</v>
      </c>
      <c r="D13" s="55" t="s">
        <v>8</v>
      </c>
      <c r="E13" s="55" t="s">
        <v>46</v>
      </c>
      <c r="F13" s="55">
        <v>88</v>
      </c>
      <c r="G13" s="55">
        <v>132</v>
      </c>
      <c r="H13" s="55" t="s">
        <v>9</v>
      </c>
      <c r="I13" s="55" t="s">
        <v>46</v>
      </c>
      <c r="J13" s="56" t="s">
        <v>71</v>
      </c>
      <c r="K13" s="56" t="s">
        <v>1065</v>
      </c>
      <c r="L13" s="16"/>
      <c r="M13" s="56" t="s">
        <v>1068</v>
      </c>
      <c r="N13" s="55" t="s">
        <v>1060</v>
      </c>
      <c r="O13" s="55" t="s">
        <v>1064</v>
      </c>
      <c r="P13" s="55" t="s">
        <v>1069</v>
      </c>
    </row>
    <row r="14" spans="1:16" ht="50.25" customHeight="1">
      <c r="A14" s="55" t="s">
        <v>47</v>
      </c>
      <c r="B14" s="55" t="s">
        <v>1297</v>
      </c>
      <c r="C14" s="55" t="s">
        <v>47</v>
      </c>
      <c r="D14" s="55" t="s">
        <v>8</v>
      </c>
      <c r="E14" s="55" t="s">
        <v>47</v>
      </c>
      <c r="F14" s="55">
        <v>176</v>
      </c>
      <c r="G14" s="55">
        <v>220</v>
      </c>
      <c r="H14" s="55" t="s">
        <v>9</v>
      </c>
      <c r="I14" s="55" t="s">
        <v>47</v>
      </c>
      <c r="J14" s="56" t="s">
        <v>78</v>
      </c>
      <c r="K14" s="56" t="s">
        <v>1065</v>
      </c>
      <c r="L14" s="16"/>
      <c r="M14" s="56" t="s">
        <v>1070</v>
      </c>
      <c r="N14" s="56" t="s">
        <v>1060</v>
      </c>
      <c r="O14" s="56" t="s">
        <v>1071</v>
      </c>
      <c r="P14" s="56" t="s">
        <v>1072</v>
      </c>
    </row>
    <row r="15" spans="1:16" ht="24.95" customHeight="1">
      <c r="A15" s="55" t="s">
        <v>48</v>
      </c>
      <c r="B15" s="55" t="s">
        <v>1297</v>
      </c>
      <c r="C15" s="55" t="s">
        <v>48</v>
      </c>
      <c r="D15" s="55" t="s">
        <v>8</v>
      </c>
      <c r="E15" s="55" t="s">
        <v>48</v>
      </c>
      <c r="F15" s="55">
        <v>8.7999999999999995E-2</v>
      </c>
      <c r="G15" s="55" t="s">
        <v>9</v>
      </c>
      <c r="H15" s="55" t="s">
        <v>9</v>
      </c>
      <c r="I15" s="55" t="s">
        <v>48</v>
      </c>
      <c r="J15" s="56" t="s">
        <v>52</v>
      </c>
      <c r="K15" s="56" t="s">
        <v>9</v>
      </c>
      <c r="L15" s="16"/>
      <c r="M15" s="56" t="s">
        <v>9</v>
      </c>
      <c r="N15" s="56" t="s">
        <v>9</v>
      </c>
      <c r="O15" s="56" t="s">
        <v>9</v>
      </c>
      <c r="P15" s="56" t="s">
        <v>9</v>
      </c>
    </row>
    <row r="16" spans="1:16" ht="24.95" customHeight="1">
      <c r="A16" s="55" t="s">
        <v>49</v>
      </c>
      <c r="B16" s="55" t="s">
        <v>1297</v>
      </c>
      <c r="C16" s="55" t="s">
        <v>49</v>
      </c>
      <c r="D16" s="55" t="s">
        <v>8</v>
      </c>
      <c r="E16" s="55" t="s">
        <v>49</v>
      </c>
      <c r="F16" s="55">
        <v>176</v>
      </c>
      <c r="G16" s="55">
        <v>220</v>
      </c>
      <c r="H16" s="55" t="s">
        <v>9</v>
      </c>
      <c r="I16" s="55" t="s">
        <v>49</v>
      </c>
      <c r="J16" s="56" t="s">
        <v>68</v>
      </c>
      <c r="K16" s="56" t="s">
        <v>1065</v>
      </c>
      <c r="L16" s="16"/>
      <c r="M16" s="56" t="s">
        <v>1066</v>
      </c>
      <c r="N16" s="55" t="s">
        <v>1060</v>
      </c>
      <c r="O16" s="55" t="s">
        <v>1064</v>
      </c>
      <c r="P16" s="55" t="s">
        <v>1067</v>
      </c>
    </row>
    <row r="17" spans="1:16" ht="24.95" customHeight="1">
      <c r="A17" s="55" t="s">
        <v>50</v>
      </c>
      <c r="B17" s="55" t="s">
        <v>1297</v>
      </c>
      <c r="C17" s="55" t="s">
        <v>50</v>
      </c>
      <c r="D17" s="55" t="s">
        <v>8</v>
      </c>
      <c r="E17" s="55" t="s">
        <v>50</v>
      </c>
      <c r="F17" s="55">
        <v>44</v>
      </c>
      <c r="G17" s="55">
        <v>88</v>
      </c>
      <c r="H17" s="55" t="s">
        <v>9</v>
      </c>
      <c r="I17" s="55" t="s">
        <v>50</v>
      </c>
      <c r="J17" s="56" t="s">
        <v>67</v>
      </c>
      <c r="K17" s="56" t="s">
        <v>9</v>
      </c>
      <c r="L17" s="16"/>
      <c r="M17" s="56" t="s">
        <v>9</v>
      </c>
      <c r="N17" s="56" t="s">
        <v>9</v>
      </c>
      <c r="O17" s="56" t="s">
        <v>9</v>
      </c>
      <c r="P17" s="56" t="s">
        <v>9</v>
      </c>
    </row>
    <row r="18" spans="1:16" ht="36" customHeight="1">
      <c r="A18" s="55" t="s">
        <v>51</v>
      </c>
      <c r="B18" s="55" t="s">
        <v>1297</v>
      </c>
      <c r="C18" s="55" t="s">
        <v>51</v>
      </c>
      <c r="D18" s="55" t="s">
        <v>8</v>
      </c>
      <c r="E18" s="55" t="s">
        <v>51</v>
      </c>
      <c r="F18" s="55" t="s">
        <v>99</v>
      </c>
      <c r="G18" s="55" t="s">
        <v>124</v>
      </c>
      <c r="H18" s="55" t="s">
        <v>9</v>
      </c>
      <c r="I18" s="55" t="s">
        <v>51</v>
      </c>
      <c r="J18" s="56" t="s">
        <v>74</v>
      </c>
      <c r="K18" s="56" t="s">
        <v>1065</v>
      </c>
      <c r="L18" s="16"/>
      <c r="M18" s="56" t="s">
        <v>1075</v>
      </c>
      <c r="N18" s="55" t="s">
        <v>1060</v>
      </c>
      <c r="O18" s="55" t="s">
        <v>1064</v>
      </c>
      <c r="P18" s="63" t="s">
        <v>1078</v>
      </c>
    </row>
    <row r="19" spans="1:16" ht="24.95" customHeight="1">
      <c r="A19" s="55" t="s">
        <v>53</v>
      </c>
      <c r="B19" s="55" t="s">
        <v>1297</v>
      </c>
      <c r="C19" s="55" t="s">
        <v>53</v>
      </c>
      <c r="D19" s="55" t="s">
        <v>9</v>
      </c>
      <c r="E19" s="55" t="s">
        <v>53</v>
      </c>
      <c r="F19" s="55" t="s">
        <v>9</v>
      </c>
      <c r="G19" s="55" t="s">
        <v>9</v>
      </c>
      <c r="H19" s="55" t="s">
        <v>9</v>
      </c>
      <c r="I19" s="55" t="s">
        <v>53</v>
      </c>
      <c r="J19" s="56" t="s">
        <v>54</v>
      </c>
      <c r="K19" s="56" t="s">
        <v>9</v>
      </c>
      <c r="L19" s="16"/>
      <c r="M19" s="56" t="s">
        <v>9</v>
      </c>
      <c r="N19" s="56" t="s">
        <v>9</v>
      </c>
      <c r="O19" s="56" t="s">
        <v>9</v>
      </c>
      <c r="P19" s="56" t="s">
        <v>9</v>
      </c>
    </row>
    <row r="20" spans="1:16" ht="39" customHeight="1">
      <c r="A20" s="55" t="s">
        <v>55</v>
      </c>
      <c r="B20" s="55" t="s">
        <v>1297</v>
      </c>
      <c r="C20" s="55" t="s">
        <v>55</v>
      </c>
      <c r="D20" s="55" t="s">
        <v>8</v>
      </c>
      <c r="E20" s="55" t="s">
        <v>55</v>
      </c>
      <c r="F20" s="55" t="s">
        <v>99</v>
      </c>
      <c r="G20" s="55" t="s">
        <v>9</v>
      </c>
      <c r="H20" s="55" t="s">
        <v>9</v>
      </c>
      <c r="I20" s="55" t="s">
        <v>55</v>
      </c>
      <c r="J20" s="56" t="s">
        <v>72</v>
      </c>
      <c r="K20" s="56" t="s">
        <v>1077</v>
      </c>
      <c r="L20" s="16"/>
      <c r="M20" s="56" t="s">
        <v>1076</v>
      </c>
      <c r="N20" s="55" t="s">
        <v>1060</v>
      </c>
      <c r="O20" s="55" t="s">
        <v>1064</v>
      </c>
      <c r="P20" s="63" t="s">
        <v>1078</v>
      </c>
    </row>
    <row r="21" spans="1:16" ht="39.950000000000003" customHeight="1">
      <c r="A21" s="56" t="s">
        <v>56</v>
      </c>
      <c r="B21" s="55" t="s">
        <v>1297</v>
      </c>
      <c r="C21" s="56" t="s">
        <v>56</v>
      </c>
      <c r="D21" s="55" t="s">
        <v>8</v>
      </c>
      <c r="E21" s="56" t="s">
        <v>56</v>
      </c>
      <c r="F21" s="55">
        <v>220</v>
      </c>
      <c r="G21" s="55">
        <v>440</v>
      </c>
      <c r="H21" s="55">
        <v>780</v>
      </c>
      <c r="I21" s="56" t="s">
        <v>56</v>
      </c>
      <c r="J21" s="56" t="s">
        <v>73</v>
      </c>
      <c r="K21" s="56" t="s">
        <v>1065</v>
      </c>
      <c r="L21" s="16"/>
      <c r="M21" s="56" t="s">
        <v>1079</v>
      </c>
      <c r="N21" s="56" t="s">
        <v>1060</v>
      </c>
      <c r="O21" s="56" t="s">
        <v>1064</v>
      </c>
      <c r="P21" s="64" t="s">
        <v>1082</v>
      </c>
    </row>
    <row r="22" spans="1:16" ht="24.75" customHeight="1">
      <c r="A22" s="55" t="s">
        <v>57</v>
      </c>
      <c r="B22" s="55" t="s">
        <v>1297</v>
      </c>
      <c r="C22" s="55" t="s">
        <v>57</v>
      </c>
      <c r="D22" s="55" t="s">
        <v>58</v>
      </c>
      <c r="E22" s="55" t="s">
        <v>57</v>
      </c>
      <c r="F22" s="55" t="s">
        <v>9</v>
      </c>
      <c r="G22" s="55" t="s">
        <v>94</v>
      </c>
      <c r="H22" s="55" t="s">
        <v>9</v>
      </c>
      <c r="I22" s="55" t="s">
        <v>57</v>
      </c>
      <c r="J22" s="56" t="s">
        <v>69</v>
      </c>
      <c r="K22" s="56" t="s">
        <v>9</v>
      </c>
      <c r="L22" s="16"/>
      <c r="M22" s="56"/>
      <c r="N22" s="55"/>
      <c r="O22" s="55"/>
      <c r="P22" s="63"/>
    </row>
    <row r="23" spans="1:16" ht="24.95" customHeight="1">
      <c r="A23" s="55" t="s">
        <v>59</v>
      </c>
      <c r="B23" s="55" t="s">
        <v>1297</v>
      </c>
      <c r="C23" s="55" t="s">
        <v>59</v>
      </c>
      <c r="D23" s="55" t="s">
        <v>8</v>
      </c>
      <c r="E23" s="55" t="s">
        <v>59</v>
      </c>
      <c r="F23" s="55" t="s">
        <v>104</v>
      </c>
      <c r="G23" s="55" t="s">
        <v>9</v>
      </c>
      <c r="H23" s="55">
        <v>30</v>
      </c>
      <c r="I23" s="55" t="s">
        <v>59</v>
      </c>
      <c r="J23" s="56" t="s">
        <v>75</v>
      </c>
      <c r="K23" s="56" t="s">
        <v>1065</v>
      </c>
      <c r="L23" s="16"/>
      <c r="M23" s="56" t="s">
        <v>1080</v>
      </c>
      <c r="N23" s="55" t="s">
        <v>1060</v>
      </c>
      <c r="O23" s="55" t="s">
        <v>1064</v>
      </c>
      <c r="P23" s="63" t="s">
        <v>1081</v>
      </c>
    </row>
    <row r="24" spans="1:16" ht="39.75" customHeight="1">
      <c r="A24" s="55" t="s">
        <v>60</v>
      </c>
      <c r="B24" s="55" t="s">
        <v>1297</v>
      </c>
      <c r="C24" s="55" t="s">
        <v>60</v>
      </c>
      <c r="D24" s="55" t="s">
        <v>8</v>
      </c>
      <c r="E24" s="55" t="s">
        <v>60</v>
      </c>
      <c r="F24" s="55" t="s">
        <v>99</v>
      </c>
      <c r="G24" s="55" t="s">
        <v>124</v>
      </c>
      <c r="H24" s="55">
        <v>8</v>
      </c>
      <c r="I24" s="55" t="s">
        <v>60</v>
      </c>
      <c r="J24" s="56" t="s">
        <v>70</v>
      </c>
      <c r="K24" s="56" t="s">
        <v>1065</v>
      </c>
      <c r="L24" s="16"/>
      <c r="M24" s="56" t="s">
        <v>1083</v>
      </c>
      <c r="N24" s="65" t="s">
        <v>1060</v>
      </c>
      <c r="O24" s="55" t="s">
        <v>1085</v>
      </c>
      <c r="P24" s="63" t="s">
        <v>1084</v>
      </c>
    </row>
    <row r="25" spans="1:16" ht="24.95" customHeight="1">
      <c r="A25" s="55" t="s">
        <v>61</v>
      </c>
      <c r="B25" s="55" t="s">
        <v>1297</v>
      </c>
      <c r="C25" s="55" t="s">
        <v>61</v>
      </c>
      <c r="D25" s="55" t="s">
        <v>58</v>
      </c>
      <c r="E25" s="55" t="s">
        <v>61</v>
      </c>
      <c r="F25" s="55" t="s">
        <v>94</v>
      </c>
      <c r="G25" s="55" t="s">
        <v>9</v>
      </c>
      <c r="H25" s="55" t="s">
        <v>9</v>
      </c>
      <c r="I25" s="55" t="s">
        <v>61</v>
      </c>
      <c r="J25" s="56" t="s">
        <v>62</v>
      </c>
      <c r="K25" s="56" t="s">
        <v>1113</v>
      </c>
      <c r="L25" s="16"/>
      <c r="M25" s="56" t="s">
        <v>1087</v>
      </c>
      <c r="N25" s="55" t="s">
        <v>1088</v>
      </c>
      <c r="O25" s="63" t="s">
        <v>1090</v>
      </c>
      <c r="P25" s="63" t="s">
        <v>1089</v>
      </c>
    </row>
    <row r="26" spans="1:16" ht="24.95" customHeight="1">
      <c r="A26" s="55" t="s">
        <v>63</v>
      </c>
      <c r="B26" s="55" t="s">
        <v>1297</v>
      </c>
      <c r="C26" s="55" t="s">
        <v>63</v>
      </c>
      <c r="D26" s="55" t="s">
        <v>8</v>
      </c>
      <c r="E26" s="55" t="s">
        <v>63</v>
      </c>
      <c r="F26" s="55" t="s">
        <v>86</v>
      </c>
      <c r="G26" s="55" t="s">
        <v>9</v>
      </c>
      <c r="H26" s="55" t="s">
        <v>9</v>
      </c>
      <c r="I26" s="55" t="s">
        <v>63</v>
      </c>
      <c r="J26" s="56" t="s">
        <v>67</v>
      </c>
      <c r="K26" s="56" t="s">
        <v>1092</v>
      </c>
      <c r="L26" s="16"/>
      <c r="M26" s="56" t="s">
        <v>1091</v>
      </c>
      <c r="N26" s="55" t="s">
        <v>1060</v>
      </c>
      <c r="O26" s="55" t="s">
        <v>1094</v>
      </c>
      <c r="P26" s="63" t="s">
        <v>1093</v>
      </c>
    </row>
    <row r="27" spans="1:16" ht="24.95" customHeight="1">
      <c r="A27" s="55" t="s">
        <v>64</v>
      </c>
      <c r="B27" s="55" t="s">
        <v>1297</v>
      </c>
      <c r="C27" s="55" t="s">
        <v>64</v>
      </c>
      <c r="D27" s="55" t="s">
        <v>58</v>
      </c>
      <c r="E27" s="55" t="s">
        <v>64</v>
      </c>
      <c r="F27" s="55" t="s">
        <v>94</v>
      </c>
      <c r="G27" s="55" t="s">
        <v>9</v>
      </c>
      <c r="H27" s="55" t="s">
        <v>9</v>
      </c>
      <c r="I27" s="55" t="s">
        <v>64</v>
      </c>
      <c r="J27" s="56" t="s">
        <v>76</v>
      </c>
      <c r="K27" s="56" t="s">
        <v>1096</v>
      </c>
      <c r="L27" s="16"/>
      <c r="M27" s="56" t="s">
        <v>1095</v>
      </c>
      <c r="N27" s="55" t="s">
        <v>1060</v>
      </c>
      <c r="O27" s="55">
        <v>0.2</v>
      </c>
      <c r="P27" s="63" t="s">
        <v>1097</v>
      </c>
    </row>
    <row r="28" spans="1:16" ht="24.95" customHeight="1">
      <c r="A28" s="55" t="s">
        <v>65</v>
      </c>
      <c r="B28" s="55" t="s">
        <v>1297</v>
      </c>
      <c r="C28" s="55" t="s">
        <v>65</v>
      </c>
      <c r="D28" s="55" t="s">
        <v>8</v>
      </c>
      <c r="E28" s="55" t="s">
        <v>65</v>
      </c>
      <c r="F28" s="55" t="s">
        <v>9</v>
      </c>
      <c r="G28" s="55" t="s">
        <v>86</v>
      </c>
      <c r="H28" s="55" t="s">
        <v>9</v>
      </c>
      <c r="I28" s="55" t="s">
        <v>65</v>
      </c>
      <c r="J28" s="56" t="s">
        <v>67</v>
      </c>
      <c r="K28" s="56" t="s">
        <v>1086</v>
      </c>
      <c r="L28" s="16"/>
      <c r="M28" s="56" t="s">
        <v>1098</v>
      </c>
      <c r="N28" s="55" t="s">
        <v>1060</v>
      </c>
      <c r="O28" s="55">
        <v>2</v>
      </c>
      <c r="P28" s="63" t="s">
        <v>1099</v>
      </c>
    </row>
    <row r="29" spans="1:16" ht="24.95" customHeight="1">
      <c r="A29" s="55" t="s">
        <v>265</v>
      </c>
      <c r="B29" s="55" t="s">
        <v>1297</v>
      </c>
      <c r="C29" s="55" t="s">
        <v>265</v>
      </c>
      <c r="D29" s="55" t="s">
        <v>8</v>
      </c>
      <c r="E29" s="55" t="s">
        <v>265</v>
      </c>
      <c r="F29" s="58" t="s">
        <v>9</v>
      </c>
      <c r="G29" s="59">
        <v>4.1500000000000004</v>
      </c>
      <c r="H29" s="55">
        <v>8</v>
      </c>
      <c r="I29" s="55" t="s">
        <v>265</v>
      </c>
      <c r="J29" s="56" t="s">
        <v>898</v>
      </c>
      <c r="K29" s="56" t="s">
        <v>9</v>
      </c>
      <c r="L29" s="16"/>
      <c r="M29" s="56"/>
      <c r="N29" s="55"/>
      <c r="O29" s="55"/>
      <c r="P29" s="63"/>
    </row>
    <row r="30" spans="1:16" ht="39.950000000000003" customHeight="1">
      <c r="A30" s="56" t="s">
        <v>90</v>
      </c>
      <c r="B30" s="56" t="s">
        <v>1268</v>
      </c>
      <c r="C30" s="56" t="s">
        <v>90</v>
      </c>
      <c r="D30" s="55" t="s">
        <v>8</v>
      </c>
      <c r="E30" s="56" t="s">
        <v>90</v>
      </c>
      <c r="F30" s="55" t="s">
        <v>9</v>
      </c>
      <c r="G30" s="55">
        <v>1.76</v>
      </c>
      <c r="H30" s="55">
        <v>4</v>
      </c>
      <c r="I30" s="56" t="s">
        <v>90</v>
      </c>
      <c r="J30" s="56" t="s">
        <v>899</v>
      </c>
      <c r="K30" s="56" t="s">
        <v>1061</v>
      </c>
      <c r="L30" s="16"/>
      <c r="M30" s="66" t="s">
        <v>1251</v>
      </c>
      <c r="N30" s="56" t="s">
        <v>1122</v>
      </c>
      <c r="O30" s="56">
        <v>0.5</v>
      </c>
      <c r="P30" s="64" t="s">
        <v>1150</v>
      </c>
    </row>
    <row r="31" spans="1:16" ht="24.95" customHeight="1">
      <c r="A31" s="55" t="s">
        <v>87</v>
      </c>
      <c r="B31" s="55" t="s">
        <v>1297</v>
      </c>
      <c r="C31" s="55" t="s">
        <v>87</v>
      </c>
      <c r="D31" s="55" t="s">
        <v>8</v>
      </c>
      <c r="E31" s="55" t="s">
        <v>87</v>
      </c>
      <c r="F31" s="55" t="s">
        <v>88</v>
      </c>
      <c r="G31" s="55" t="s">
        <v>9</v>
      </c>
      <c r="H31" s="55" t="s">
        <v>9</v>
      </c>
      <c r="I31" s="55" t="s">
        <v>87</v>
      </c>
      <c r="J31" s="56" t="s">
        <v>89</v>
      </c>
      <c r="K31" s="56" t="s">
        <v>9</v>
      </c>
      <c r="L31" s="16"/>
      <c r="M31" s="56"/>
      <c r="N31" s="55"/>
      <c r="O31" s="55"/>
      <c r="P31" s="63"/>
    </row>
    <row r="32" spans="1:16" ht="24.95" customHeight="1">
      <c r="A32" s="55" t="s">
        <v>91</v>
      </c>
      <c r="B32" s="55" t="s">
        <v>1297</v>
      </c>
      <c r="C32" s="55" t="s">
        <v>91</v>
      </c>
      <c r="D32" s="55" t="s">
        <v>8</v>
      </c>
      <c r="E32" s="55" t="s">
        <v>91</v>
      </c>
      <c r="F32" s="55" t="s">
        <v>92</v>
      </c>
      <c r="G32" s="55" t="s">
        <v>9</v>
      </c>
      <c r="H32" s="55" t="s">
        <v>9</v>
      </c>
      <c r="I32" s="55" t="s">
        <v>91</v>
      </c>
      <c r="J32" s="56" t="s">
        <v>900</v>
      </c>
      <c r="K32" s="56" t="s">
        <v>9</v>
      </c>
      <c r="L32" s="16"/>
      <c r="M32" s="56"/>
      <c r="N32" s="55"/>
      <c r="O32" s="55"/>
      <c r="P32" s="63"/>
    </row>
    <row r="33" spans="1:16" ht="24.95" customHeight="1">
      <c r="A33" s="55" t="s">
        <v>93</v>
      </c>
      <c r="B33" s="55" t="s">
        <v>1297</v>
      </c>
      <c r="C33" s="55" t="s">
        <v>93</v>
      </c>
      <c r="D33" s="55" t="s">
        <v>58</v>
      </c>
      <c r="E33" s="55" t="s">
        <v>93</v>
      </c>
      <c r="F33" s="55" t="s">
        <v>94</v>
      </c>
      <c r="G33" s="55" t="s">
        <v>9</v>
      </c>
      <c r="H33" s="55" t="s">
        <v>9</v>
      </c>
      <c r="I33" s="55" t="s">
        <v>93</v>
      </c>
      <c r="J33" s="56" t="s">
        <v>147</v>
      </c>
      <c r="K33" s="56" t="s">
        <v>9</v>
      </c>
      <c r="L33" s="16"/>
      <c r="M33" s="56"/>
      <c r="N33" s="55"/>
      <c r="O33" s="55"/>
      <c r="P33" s="63"/>
    </row>
    <row r="34" spans="1:16" ht="24.95" customHeight="1">
      <c r="A34" s="55" t="s">
        <v>95</v>
      </c>
      <c r="B34" s="55" t="s">
        <v>1297</v>
      </c>
      <c r="C34" s="55" t="s">
        <v>95</v>
      </c>
      <c r="D34" s="55" t="s">
        <v>58</v>
      </c>
      <c r="E34" s="55" t="s">
        <v>95</v>
      </c>
      <c r="F34" s="55" t="s">
        <v>94</v>
      </c>
      <c r="G34" s="55" t="s">
        <v>9</v>
      </c>
      <c r="H34" s="55" t="s">
        <v>9</v>
      </c>
      <c r="I34" s="55" t="s">
        <v>95</v>
      </c>
      <c r="J34" s="56" t="s">
        <v>96</v>
      </c>
      <c r="K34" s="56" t="s">
        <v>9</v>
      </c>
      <c r="L34" s="16"/>
      <c r="M34" s="56"/>
      <c r="N34" s="55"/>
      <c r="O34" s="55"/>
      <c r="P34" s="63"/>
    </row>
    <row r="35" spans="1:16" ht="24.95" customHeight="1">
      <c r="A35" s="55" t="s">
        <v>97</v>
      </c>
      <c r="B35" s="55" t="s">
        <v>1297</v>
      </c>
      <c r="C35" s="55" t="s">
        <v>97</v>
      </c>
      <c r="D35" s="55" t="s">
        <v>8</v>
      </c>
      <c r="E35" s="55" t="s">
        <v>97</v>
      </c>
      <c r="F35" s="55" t="s">
        <v>92</v>
      </c>
      <c r="G35" s="55" t="s">
        <v>86</v>
      </c>
      <c r="H35" s="55" t="s">
        <v>874</v>
      </c>
      <c r="I35" s="55" t="s">
        <v>97</v>
      </c>
      <c r="J35" s="56" t="s">
        <v>901</v>
      </c>
      <c r="K35" s="56" t="s">
        <v>1086</v>
      </c>
      <c r="L35" s="16"/>
      <c r="M35" s="56" t="s">
        <v>1100</v>
      </c>
      <c r="N35" s="56" t="s">
        <v>1114</v>
      </c>
      <c r="O35" s="64" t="s">
        <v>1090</v>
      </c>
      <c r="P35" s="64" t="s">
        <v>1117</v>
      </c>
    </row>
    <row r="36" spans="1:16" ht="24.95" customHeight="1">
      <c r="A36" s="55" t="s">
        <v>98</v>
      </c>
      <c r="B36" s="55" t="s">
        <v>1297</v>
      </c>
      <c r="C36" s="55" t="s">
        <v>98</v>
      </c>
      <c r="D36" s="55" t="s">
        <v>8</v>
      </c>
      <c r="E36" s="55" t="s">
        <v>98</v>
      </c>
      <c r="F36" s="55" t="s">
        <v>94</v>
      </c>
      <c r="G36" s="55" t="s">
        <v>99</v>
      </c>
      <c r="H36" s="55">
        <v>4</v>
      </c>
      <c r="I36" s="55" t="s">
        <v>98</v>
      </c>
      <c r="J36" s="56" t="s">
        <v>902</v>
      </c>
      <c r="K36" s="56" t="s">
        <v>1061</v>
      </c>
      <c r="L36" s="16"/>
      <c r="M36" s="56" t="s">
        <v>1115</v>
      </c>
      <c r="N36" s="55" t="s">
        <v>1060</v>
      </c>
      <c r="O36" s="55" t="s">
        <v>1116</v>
      </c>
      <c r="P36" s="63" t="s">
        <v>1078</v>
      </c>
    </row>
    <row r="37" spans="1:16" ht="39.950000000000003" customHeight="1">
      <c r="A37" s="56" t="s">
        <v>100</v>
      </c>
      <c r="B37" s="56" t="s">
        <v>1290</v>
      </c>
      <c r="C37" s="56" t="s">
        <v>100</v>
      </c>
      <c r="D37" s="55" t="s">
        <v>58</v>
      </c>
      <c r="E37" s="56" t="s">
        <v>100</v>
      </c>
      <c r="F37" s="55">
        <v>0.88</v>
      </c>
      <c r="G37" s="55">
        <v>2.64</v>
      </c>
      <c r="H37" s="55" t="s">
        <v>9</v>
      </c>
      <c r="I37" s="56" t="s">
        <v>100</v>
      </c>
      <c r="J37" s="56" t="s">
        <v>902</v>
      </c>
      <c r="K37" s="56" t="s">
        <v>1061</v>
      </c>
      <c r="L37" s="16"/>
      <c r="M37" s="56" t="s">
        <v>1251</v>
      </c>
      <c r="N37" s="56" t="s">
        <v>1122</v>
      </c>
      <c r="O37" s="56" t="s">
        <v>1127</v>
      </c>
      <c r="P37" s="64" t="s">
        <v>1128</v>
      </c>
    </row>
    <row r="38" spans="1:16" ht="24.95" customHeight="1">
      <c r="A38" s="55" t="s">
        <v>103</v>
      </c>
      <c r="B38" s="55" t="s">
        <v>1297</v>
      </c>
      <c r="C38" s="55" t="s">
        <v>103</v>
      </c>
      <c r="D38" s="55" t="s">
        <v>8</v>
      </c>
      <c r="E38" s="55" t="s">
        <v>103</v>
      </c>
      <c r="F38" s="55" t="s">
        <v>104</v>
      </c>
      <c r="G38" s="55" t="s">
        <v>9</v>
      </c>
      <c r="H38" s="55" t="s">
        <v>9</v>
      </c>
      <c r="I38" s="55" t="s">
        <v>103</v>
      </c>
      <c r="J38" s="56" t="s">
        <v>903</v>
      </c>
      <c r="K38" s="56"/>
      <c r="L38" s="16"/>
      <c r="M38" s="56"/>
      <c r="N38" s="55"/>
      <c r="O38" s="55"/>
      <c r="P38" s="63"/>
    </row>
    <row r="39" spans="1:16" ht="24.95" customHeight="1">
      <c r="A39" s="55" t="s">
        <v>105</v>
      </c>
      <c r="B39" s="55" t="s">
        <v>1297</v>
      </c>
      <c r="C39" s="55" t="s">
        <v>105</v>
      </c>
      <c r="D39" s="55" t="s">
        <v>8</v>
      </c>
      <c r="E39" s="55" t="s">
        <v>105</v>
      </c>
      <c r="F39" s="55" t="s">
        <v>92</v>
      </c>
      <c r="G39" s="55" t="s">
        <v>9</v>
      </c>
      <c r="H39" s="55" t="s">
        <v>9</v>
      </c>
      <c r="I39" s="55" t="s">
        <v>105</v>
      </c>
      <c r="J39" s="56" t="s">
        <v>899</v>
      </c>
      <c r="K39" s="56"/>
      <c r="L39" s="16"/>
      <c r="M39" s="56"/>
      <c r="N39" s="55"/>
      <c r="O39" s="55"/>
      <c r="P39" s="63"/>
    </row>
    <row r="40" spans="1:16" ht="39.950000000000003" customHeight="1">
      <c r="A40" s="56" t="s">
        <v>106</v>
      </c>
      <c r="B40" s="55" t="s">
        <v>1297</v>
      </c>
      <c r="C40" s="56" t="s">
        <v>106</v>
      </c>
      <c r="D40" s="55" t="s">
        <v>8</v>
      </c>
      <c r="E40" s="56" t="s">
        <v>106</v>
      </c>
      <c r="F40" s="55">
        <v>1.76</v>
      </c>
      <c r="G40" s="55">
        <v>3.52</v>
      </c>
      <c r="H40" s="55" t="s">
        <v>9</v>
      </c>
      <c r="I40" s="56" t="s">
        <v>106</v>
      </c>
      <c r="J40" s="56" t="s">
        <v>904</v>
      </c>
      <c r="K40" s="56" t="s">
        <v>1061</v>
      </c>
      <c r="L40" s="16"/>
      <c r="M40" s="56" t="s">
        <v>1252</v>
      </c>
      <c r="N40" s="56" t="s">
        <v>1122</v>
      </c>
      <c r="O40" s="56" t="s">
        <v>1127</v>
      </c>
      <c r="P40" s="64" t="s">
        <v>1128</v>
      </c>
    </row>
    <row r="41" spans="1:16" ht="24.95" customHeight="1">
      <c r="A41" s="55" t="s">
        <v>108</v>
      </c>
      <c r="B41" s="55" t="s">
        <v>1297</v>
      </c>
      <c r="C41" s="55" t="s">
        <v>108</v>
      </c>
      <c r="D41" s="55" t="s">
        <v>58</v>
      </c>
      <c r="E41" s="55" t="s">
        <v>108</v>
      </c>
      <c r="F41" s="55" t="s">
        <v>101</v>
      </c>
      <c r="G41" s="55" t="s">
        <v>86</v>
      </c>
      <c r="H41" s="55" t="s">
        <v>9</v>
      </c>
      <c r="I41" s="55" t="s">
        <v>108</v>
      </c>
      <c r="J41" s="56" t="s">
        <v>902</v>
      </c>
      <c r="K41" s="56" t="s">
        <v>1086</v>
      </c>
      <c r="L41" s="16"/>
      <c r="M41" s="56" t="s">
        <v>1123</v>
      </c>
      <c r="N41" s="56" t="s">
        <v>1124</v>
      </c>
      <c r="O41" s="56" t="s">
        <v>1125</v>
      </c>
      <c r="P41" s="64" t="s">
        <v>1126</v>
      </c>
    </row>
    <row r="42" spans="1:16" ht="24.95" customHeight="1">
      <c r="A42" s="55" t="s">
        <v>109</v>
      </c>
      <c r="B42" s="55" t="s">
        <v>1297</v>
      </c>
      <c r="C42" s="55" t="s">
        <v>109</v>
      </c>
      <c r="D42" s="55" t="s">
        <v>8</v>
      </c>
      <c r="E42" s="55" t="s">
        <v>109</v>
      </c>
      <c r="F42" s="55" t="s">
        <v>9</v>
      </c>
      <c r="G42" s="55">
        <v>0.35</v>
      </c>
      <c r="H42" s="55" t="s">
        <v>9</v>
      </c>
      <c r="I42" s="55" t="s">
        <v>109</v>
      </c>
      <c r="J42" s="56" t="s">
        <v>902</v>
      </c>
      <c r="K42" s="56" t="s">
        <v>1061</v>
      </c>
      <c r="L42" s="16"/>
      <c r="M42" s="56" t="s">
        <v>1129</v>
      </c>
      <c r="N42" s="56" t="s">
        <v>1132</v>
      </c>
      <c r="O42" s="56" t="s">
        <v>1130</v>
      </c>
      <c r="P42" s="64" t="s">
        <v>1131</v>
      </c>
    </row>
    <row r="43" spans="1:16" ht="24.95" customHeight="1">
      <c r="A43" s="55" t="s">
        <v>111</v>
      </c>
      <c r="B43" s="55" t="s">
        <v>1297</v>
      </c>
      <c r="C43" s="55" t="s">
        <v>111</v>
      </c>
      <c r="D43" s="55" t="s">
        <v>58</v>
      </c>
      <c r="E43" s="55" t="s">
        <v>111</v>
      </c>
      <c r="F43" s="55">
        <v>0.08</v>
      </c>
      <c r="G43" s="55" t="s">
        <v>9</v>
      </c>
      <c r="H43" s="55" t="s">
        <v>9</v>
      </c>
      <c r="I43" s="55" t="s">
        <v>111</v>
      </c>
      <c r="J43" s="56" t="s">
        <v>905</v>
      </c>
      <c r="K43" s="56"/>
      <c r="L43" s="16"/>
      <c r="M43" s="56"/>
      <c r="N43" s="55"/>
      <c r="O43" s="55"/>
      <c r="P43" s="63"/>
    </row>
    <row r="44" spans="1:16" ht="24.95" customHeight="1">
      <c r="A44" s="55" t="s">
        <v>112</v>
      </c>
      <c r="B44" s="55" t="s">
        <v>1297</v>
      </c>
      <c r="C44" s="55" t="s">
        <v>112</v>
      </c>
      <c r="D44" s="55" t="s">
        <v>8</v>
      </c>
      <c r="E44" s="55" t="s">
        <v>112</v>
      </c>
      <c r="F44" s="55" t="s">
        <v>99</v>
      </c>
      <c r="G44" s="55" t="s">
        <v>9</v>
      </c>
      <c r="H44" s="55" t="s">
        <v>9</v>
      </c>
      <c r="I44" s="55" t="s">
        <v>112</v>
      </c>
      <c r="J44" s="56" t="s">
        <v>902</v>
      </c>
      <c r="K44" s="56"/>
      <c r="L44" s="16"/>
      <c r="M44" s="56"/>
      <c r="N44" s="55"/>
      <c r="O44" s="55"/>
      <c r="P44" s="63"/>
    </row>
    <row r="45" spans="1:16" ht="39" customHeight="1">
      <c r="A45" s="56" t="s">
        <v>113</v>
      </c>
      <c r="B45" s="55" t="s">
        <v>1297</v>
      </c>
      <c r="C45" s="56" t="s">
        <v>113</v>
      </c>
      <c r="D45" s="55" t="s">
        <v>58</v>
      </c>
      <c r="E45" s="56" t="s">
        <v>113</v>
      </c>
      <c r="F45" s="55">
        <v>0.18</v>
      </c>
      <c r="G45" s="55" t="s">
        <v>9</v>
      </c>
      <c r="H45" s="55" t="s">
        <v>9</v>
      </c>
      <c r="I45" s="56" t="s">
        <v>113</v>
      </c>
      <c r="J45" s="56" t="s">
        <v>115</v>
      </c>
      <c r="K45" s="56" t="s">
        <v>1135</v>
      </c>
      <c r="L45" s="16"/>
      <c r="M45" s="56" t="s">
        <v>1133</v>
      </c>
      <c r="N45" s="56" t="s">
        <v>1122</v>
      </c>
      <c r="O45" s="56" t="s">
        <v>1134</v>
      </c>
      <c r="P45" s="64" t="s">
        <v>1136</v>
      </c>
    </row>
    <row r="46" spans="1:16" ht="24.95" customHeight="1">
      <c r="A46" s="55" t="s">
        <v>116</v>
      </c>
      <c r="B46" s="55" t="s">
        <v>1297</v>
      </c>
      <c r="C46" s="55" t="s">
        <v>116</v>
      </c>
      <c r="D46" s="55" t="s">
        <v>58</v>
      </c>
      <c r="E46" s="55" t="s">
        <v>116</v>
      </c>
      <c r="F46" s="55" t="s">
        <v>99</v>
      </c>
      <c r="G46" s="55" t="s">
        <v>9</v>
      </c>
      <c r="H46" s="55" t="s">
        <v>9</v>
      </c>
      <c r="I46" s="55" t="s">
        <v>116</v>
      </c>
      <c r="J46" s="56" t="s">
        <v>9</v>
      </c>
      <c r="K46" s="56"/>
      <c r="L46" s="16"/>
      <c r="M46" s="56"/>
      <c r="N46" s="55"/>
      <c r="O46" s="55"/>
      <c r="P46" s="63"/>
    </row>
    <row r="47" spans="1:16" ht="24.95" customHeight="1">
      <c r="A47" s="55" t="s">
        <v>117</v>
      </c>
      <c r="B47" s="55" t="s">
        <v>1297</v>
      </c>
      <c r="C47" s="55" t="s">
        <v>117</v>
      </c>
      <c r="D47" s="55" t="s">
        <v>8</v>
      </c>
      <c r="E47" s="55" t="s">
        <v>117</v>
      </c>
      <c r="F47" s="55" t="s">
        <v>101</v>
      </c>
      <c r="G47" s="55" t="s">
        <v>9</v>
      </c>
      <c r="H47" s="55" t="s">
        <v>9</v>
      </c>
      <c r="I47" s="55" t="s">
        <v>117</v>
      </c>
      <c r="J47" s="56" t="s">
        <v>903</v>
      </c>
      <c r="K47" s="56"/>
      <c r="L47" s="16"/>
      <c r="M47" s="56"/>
      <c r="N47" s="55"/>
      <c r="O47" s="55"/>
      <c r="P47" s="63"/>
    </row>
    <row r="48" spans="1:16" ht="24.95" customHeight="1">
      <c r="A48" s="55" t="s">
        <v>118</v>
      </c>
      <c r="B48" s="55" t="s">
        <v>1297</v>
      </c>
      <c r="C48" s="55" t="s">
        <v>118</v>
      </c>
      <c r="D48" s="55" t="s">
        <v>8</v>
      </c>
      <c r="E48" s="55" t="s">
        <v>118</v>
      </c>
      <c r="F48" s="55" t="s">
        <v>92</v>
      </c>
      <c r="G48" s="55" t="s">
        <v>9</v>
      </c>
      <c r="H48" s="55" t="s">
        <v>9</v>
      </c>
      <c r="I48" s="55" t="s">
        <v>118</v>
      </c>
      <c r="J48" s="56" t="s">
        <v>147</v>
      </c>
      <c r="K48" s="56"/>
      <c r="L48" s="16"/>
      <c r="M48" s="56"/>
      <c r="N48" s="55"/>
      <c r="O48" s="55"/>
      <c r="P48" s="63"/>
    </row>
    <row r="49" spans="1:16" ht="24.95" customHeight="1">
      <c r="A49" s="55" t="s">
        <v>119</v>
      </c>
      <c r="B49" s="55" t="s">
        <v>1297</v>
      </c>
      <c r="C49" s="55" t="s">
        <v>119</v>
      </c>
      <c r="D49" s="55" t="s">
        <v>58</v>
      </c>
      <c r="E49" s="55" t="s">
        <v>119</v>
      </c>
      <c r="F49" s="55">
        <v>0.03</v>
      </c>
      <c r="G49" s="55" t="s">
        <v>9</v>
      </c>
      <c r="H49" s="55" t="s">
        <v>9</v>
      </c>
      <c r="I49" s="55" t="s">
        <v>119</v>
      </c>
      <c r="J49" s="56" t="s">
        <v>121</v>
      </c>
      <c r="K49" s="56"/>
      <c r="L49" s="16"/>
      <c r="M49" s="56"/>
      <c r="N49" s="55"/>
      <c r="O49" s="55"/>
      <c r="P49" s="63"/>
    </row>
    <row r="50" spans="1:16" ht="24.95" customHeight="1">
      <c r="A50" s="55" t="s">
        <v>122</v>
      </c>
      <c r="B50" s="55" t="s">
        <v>1297</v>
      </c>
      <c r="C50" s="55" t="s">
        <v>122</v>
      </c>
      <c r="D50" s="55" t="s">
        <v>8</v>
      </c>
      <c r="E50" s="55" t="s">
        <v>122</v>
      </c>
      <c r="F50" s="55" t="s">
        <v>86</v>
      </c>
      <c r="G50" s="55" t="s">
        <v>9</v>
      </c>
      <c r="H50" s="55" t="s">
        <v>9</v>
      </c>
      <c r="I50" s="55" t="s">
        <v>122</v>
      </c>
      <c r="J50" s="56" t="s">
        <v>906</v>
      </c>
      <c r="K50" s="56"/>
      <c r="L50" s="16"/>
      <c r="M50" s="56"/>
      <c r="N50" s="55"/>
      <c r="O50" s="55"/>
      <c r="P50" s="63"/>
    </row>
    <row r="51" spans="1:16" ht="24.95" customHeight="1">
      <c r="A51" s="55" t="s">
        <v>123</v>
      </c>
      <c r="B51" s="55" t="s">
        <v>1297</v>
      </c>
      <c r="C51" s="55" t="s">
        <v>123</v>
      </c>
      <c r="D51" s="55" t="s">
        <v>8</v>
      </c>
      <c r="E51" s="55" t="s">
        <v>123</v>
      </c>
      <c r="F51" s="55" t="s">
        <v>94</v>
      </c>
      <c r="G51" s="55" t="s">
        <v>124</v>
      </c>
      <c r="H51" s="55" t="s">
        <v>9</v>
      </c>
      <c r="I51" s="55" t="s">
        <v>123</v>
      </c>
      <c r="J51" s="56" t="s">
        <v>907</v>
      </c>
      <c r="K51" s="56"/>
      <c r="L51" s="16"/>
      <c r="M51" s="56"/>
      <c r="N51" s="55"/>
      <c r="O51" s="55"/>
      <c r="P51" s="63"/>
    </row>
    <row r="52" spans="1:16" ht="24.95" customHeight="1">
      <c r="A52" s="55" t="s">
        <v>125</v>
      </c>
      <c r="B52" s="55" t="s">
        <v>1297</v>
      </c>
      <c r="C52" s="55" t="s">
        <v>125</v>
      </c>
      <c r="D52" s="55" t="s">
        <v>8</v>
      </c>
      <c r="E52" s="55" t="s">
        <v>125</v>
      </c>
      <c r="F52" s="55" t="s">
        <v>92</v>
      </c>
      <c r="G52" s="55" t="s">
        <v>9</v>
      </c>
      <c r="H52" s="55" t="s">
        <v>9</v>
      </c>
      <c r="I52" s="55" t="s">
        <v>125</v>
      </c>
      <c r="J52" s="56" t="s">
        <v>147</v>
      </c>
      <c r="K52" s="56"/>
      <c r="L52" s="16"/>
      <c r="M52" s="56"/>
      <c r="N52" s="55"/>
      <c r="O52" s="55"/>
      <c r="P52" s="63"/>
    </row>
    <row r="53" spans="1:16" ht="24.95" customHeight="1">
      <c r="A53" s="55" t="s">
        <v>126</v>
      </c>
      <c r="B53" s="55" t="s">
        <v>1297</v>
      </c>
      <c r="C53" s="55" t="s">
        <v>126</v>
      </c>
      <c r="D53" s="55" t="s">
        <v>8</v>
      </c>
      <c r="E53" s="55" t="s">
        <v>126</v>
      </c>
      <c r="F53" s="55" t="s">
        <v>86</v>
      </c>
      <c r="G53" s="55" t="s">
        <v>9</v>
      </c>
      <c r="H53" s="55">
        <v>8</v>
      </c>
      <c r="I53" s="55" t="s">
        <v>126</v>
      </c>
      <c r="J53" s="56" t="s">
        <v>908</v>
      </c>
      <c r="K53" s="56"/>
      <c r="L53" s="16"/>
      <c r="M53" s="56"/>
      <c r="N53" s="55"/>
      <c r="O53" s="55"/>
      <c r="P53" s="63"/>
    </row>
    <row r="54" spans="1:16" ht="24.95" customHeight="1">
      <c r="A54" s="55" t="s">
        <v>127</v>
      </c>
      <c r="B54" s="55" t="s">
        <v>1297</v>
      </c>
      <c r="C54" s="55" t="s">
        <v>127</v>
      </c>
      <c r="D54" s="55" t="s">
        <v>8</v>
      </c>
      <c r="E54" s="55" t="s">
        <v>127</v>
      </c>
      <c r="F54" s="55" t="s">
        <v>86</v>
      </c>
      <c r="G54" s="55" t="s">
        <v>9</v>
      </c>
      <c r="H54" s="55">
        <v>16</v>
      </c>
      <c r="I54" s="55" t="s">
        <v>127</v>
      </c>
      <c r="J54" s="56" t="s">
        <v>909</v>
      </c>
      <c r="K54" s="56"/>
      <c r="L54" s="16"/>
      <c r="M54" s="56"/>
      <c r="N54" s="55"/>
      <c r="O54" s="55"/>
      <c r="P54" s="63"/>
    </row>
    <row r="55" spans="1:16" ht="24.95" customHeight="1">
      <c r="A55" s="55" t="s">
        <v>128</v>
      </c>
      <c r="B55" s="55" t="s">
        <v>1297</v>
      </c>
      <c r="C55" s="55" t="s">
        <v>128</v>
      </c>
      <c r="D55" s="55" t="s">
        <v>8</v>
      </c>
      <c r="E55" s="55" t="s">
        <v>128</v>
      </c>
      <c r="F55" s="55" t="s">
        <v>9</v>
      </c>
      <c r="G55" s="55">
        <v>0.08</v>
      </c>
      <c r="H55" s="55" t="s">
        <v>9</v>
      </c>
      <c r="I55" s="55" t="s">
        <v>128</v>
      </c>
      <c r="J55" s="56" t="s">
        <v>910</v>
      </c>
      <c r="K55" s="56"/>
      <c r="L55" s="16"/>
      <c r="M55" s="56"/>
      <c r="N55" s="55"/>
      <c r="O55" s="55"/>
      <c r="P55" s="63"/>
    </row>
    <row r="56" spans="1:16" ht="24.95" customHeight="1">
      <c r="A56" s="55" t="s">
        <v>129</v>
      </c>
      <c r="B56" s="55" t="s">
        <v>1297</v>
      </c>
      <c r="C56" s="55" t="s">
        <v>129</v>
      </c>
      <c r="D56" s="55" t="s">
        <v>8</v>
      </c>
      <c r="E56" s="55" t="s">
        <v>129</v>
      </c>
      <c r="F56" s="55" t="s">
        <v>86</v>
      </c>
      <c r="G56" s="55" t="s">
        <v>9</v>
      </c>
      <c r="H56" s="55" t="s">
        <v>9</v>
      </c>
      <c r="I56" s="55" t="s">
        <v>129</v>
      </c>
      <c r="J56" s="56" t="s">
        <v>911</v>
      </c>
      <c r="K56" s="56"/>
      <c r="L56" s="16"/>
      <c r="M56" s="56"/>
      <c r="N56" s="55"/>
      <c r="O56" s="55"/>
      <c r="P56" s="63"/>
    </row>
    <row r="57" spans="1:16" ht="24.95" customHeight="1">
      <c r="A57" s="55" t="s">
        <v>130</v>
      </c>
      <c r="B57" s="55" t="s">
        <v>1297</v>
      </c>
      <c r="C57" s="55" t="s">
        <v>130</v>
      </c>
      <c r="D57" s="55" t="s">
        <v>8</v>
      </c>
      <c r="E57" s="55" t="s">
        <v>130</v>
      </c>
      <c r="F57" s="55">
        <v>88</v>
      </c>
      <c r="G57" s="55" t="s">
        <v>9</v>
      </c>
      <c r="H57" s="55" t="s">
        <v>9</v>
      </c>
      <c r="I57" s="55" t="s">
        <v>130</v>
      </c>
      <c r="J57" s="56" t="s">
        <v>131</v>
      </c>
      <c r="K57" s="56"/>
      <c r="L57" s="16"/>
      <c r="M57" s="56"/>
      <c r="N57" s="55"/>
      <c r="O57" s="55"/>
      <c r="P57" s="63"/>
    </row>
    <row r="58" spans="1:16" ht="24.95" customHeight="1">
      <c r="A58" s="55" t="s">
        <v>133</v>
      </c>
      <c r="B58" s="55" t="s">
        <v>1297</v>
      </c>
      <c r="C58" s="55" t="s">
        <v>133</v>
      </c>
      <c r="D58" s="55" t="s">
        <v>58</v>
      </c>
      <c r="E58" s="55" t="s">
        <v>133</v>
      </c>
      <c r="F58" s="55" t="s">
        <v>101</v>
      </c>
      <c r="G58" s="55" t="s">
        <v>9</v>
      </c>
      <c r="H58" s="55" t="s">
        <v>9</v>
      </c>
      <c r="I58" s="55" t="s">
        <v>133</v>
      </c>
      <c r="J58" s="56" t="s">
        <v>132</v>
      </c>
      <c r="K58" s="56"/>
      <c r="L58" s="16"/>
      <c r="M58" s="56"/>
      <c r="N58" s="55"/>
      <c r="O58" s="55"/>
      <c r="P58" s="63"/>
    </row>
    <row r="59" spans="1:16" ht="24.95" customHeight="1">
      <c r="A59" s="55" t="s">
        <v>134</v>
      </c>
      <c r="B59" s="55" t="s">
        <v>1297</v>
      </c>
      <c r="C59" s="55" t="s">
        <v>134</v>
      </c>
      <c r="D59" s="55" t="s">
        <v>58</v>
      </c>
      <c r="E59" s="55" t="s">
        <v>134</v>
      </c>
      <c r="F59" s="55" t="s">
        <v>114</v>
      </c>
      <c r="G59" s="55" t="s">
        <v>9</v>
      </c>
      <c r="H59" s="55" t="s">
        <v>9</v>
      </c>
      <c r="I59" s="55" t="s">
        <v>134</v>
      </c>
      <c r="J59" s="56" t="s">
        <v>135</v>
      </c>
      <c r="K59" s="56"/>
      <c r="L59" s="16"/>
      <c r="M59" s="56"/>
      <c r="N59" s="55"/>
      <c r="O59" s="55"/>
      <c r="P59" s="63"/>
    </row>
    <row r="60" spans="1:16" ht="24.95" customHeight="1">
      <c r="A60" s="55" t="s">
        <v>136</v>
      </c>
      <c r="B60" s="55" t="s">
        <v>1297</v>
      </c>
      <c r="C60" s="55" t="s">
        <v>136</v>
      </c>
      <c r="D60" s="55" t="s">
        <v>8</v>
      </c>
      <c r="E60" s="55" t="s">
        <v>136</v>
      </c>
      <c r="F60" s="55" t="s">
        <v>92</v>
      </c>
      <c r="G60" s="55" t="s">
        <v>9</v>
      </c>
      <c r="H60" s="55" t="s">
        <v>9</v>
      </c>
      <c r="I60" s="55" t="s">
        <v>136</v>
      </c>
      <c r="J60" s="56" t="s">
        <v>912</v>
      </c>
      <c r="K60" s="56"/>
      <c r="L60" s="16"/>
      <c r="M60" s="56"/>
      <c r="N60" s="55"/>
      <c r="O60" s="55"/>
      <c r="P60" s="63"/>
    </row>
    <row r="61" spans="1:16" ht="24.95" customHeight="1">
      <c r="A61" s="55" t="s">
        <v>897</v>
      </c>
      <c r="B61" s="55" t="s">
        <v>1297</v>
      </c>
      <c r="C61" s="55" t="s">
        <v>897</v>
      </c>
      <c r="D61" s="55" t="s">
        <v>8</v>
      </c>
      <c r="E61" s="55" t="s">
        <v>897</v>
      </c>
      <c r="F61" s="55" t="s">
        <v>9</v>
      </c>
      <c r="G61" s="55">
        <v>880</v>
      </c>
      <c r="H61" s="55">
        <v>780</v>
      </c>
      <c r="I61" s="55" t="s">
        <v>897</v>
      </c>
      <c r="J61" s="56" t="s">
        <v>899</v>
      </c>
      <c r="K61" s="56"/>
      <c r="L61" s="16"/>
      <c r="M61" s="56"/>
      <c r="N61" s="56"/>
      <c r="O61" s="56"/>
      <c r="P61" s="64"/>
    </row>
    <row r="62" spans="1:16" ht="39.950000000000003" customHeight="1">
      <c r="A62" s="56" t="s">
        <v>137</v>
      </c>
      <c r="B62" s="55" t="s">
        <v>1297</v>
      </c>
      <c r="C62" s="56" t="s">
        <v>137</v>
      </c>
      <c r="D62" s="55" t="s">
        <v>8</v>
      </c>
      <c r="E62" s="56" t="s">
        <v>137</v>
      </c>
      <c r="F62" s="55">
        <v>17.600000000000001</v>
      </c>
      <c r="G62" s="55" t="s">
        <v>9</v>
      </c>
      <c r="H62" s="55">
        <v>40</v>
      </c>
      <c r="I62" s="56" t="s">
        <v>137</v>
      </c>
      <c r="J62" s="56" t="s">
        <v>147</v>
      </c>
      <c r="K62" s="56" t="s">
        <v>1065</v>
      </c>
      <c r="L62" s="16" t="s">
        <v>1230</v>
      </c>
      <c r="M62" s="56" t="s">
        <v>1229</v>
      </c>
      <c r="N62" s="56" t="s">
        <v>1060</v>
      </c>
      <c r="O62" s="55" t="s">
        <v>1163</v>
      </c>
      <c r="P62" s="63" t="s">
        <v>1158</v>
      </c>
    </row>
    <row r="63" spans="1:16" ht="24.95" customHeight="1">
      <c r="A63" s="55" t="s">
        <v>138</v>
      </c>
      <c r="B63" s="55" t="s">
        <v>1297</v>
      </c>
      <c r="C63" s="55" t="s">
        <v>138</v>
      </c>
      <c r="D63" s="55" t="s">
        <v>8</v>
      </c>
      <c r="E63" s="55" t="s">
        <v>138</v>
      </c>
      <c r="F63" s="55">
        <v>88</v>
      </c>
      <c r="G63" s="55" t="s">
        <v>9</v>
      </c>
      <c r="H63" s="55">
        <v>115</v>
      </c>
      <c r="I63" s="55" t="s">
        <v>138</v>
      </c>
      <c r="J63" s="56" t="s">
        <v>913</v>
      </c>
      <c r="K63" s="56"/>
      <c r="L63" s="16"/>
      <c r="M63" s="56"/>
      <c r="N63" s="55"/>
      <c r="O63" s="55"/>
      <c r="P63" s="63"/>
    </row>
    <row r="64" spans="1:16" ht="24.95" customHeight="1">
      <c r="A64" s="55" t="s">
        <v>139</v>
      </c>
      <c r="B64" s="55" t="s">
        <v>1297</v>
      </c>
      <c r="C64" s="55" t="s">
        <v>139</v>
      </c>
      <c r="D64" s="55" t="s">
        <v>8</v>
      </c>
      <c r="E64" s="55" t="s">
        <v>139</v>
      </c>
      <c r="F64" s="55">
        <v>88</v>
      </c>
      <c r="G64" s="55" t="s">
        <v>9</v>
      </c>
      <c r="H64" s="55">
        <v>78</v>
      </c>
      <c r="I64" s="55" t="s">
        <v>139</v>
      </c>
      <c r="J64" s="56" t="s">
        <v>140</v>
      </c>
      <c r="K64" s="56"/>
      <c r="L64" s="16"/>
      <c r="M64" s="56"/>
      <c r="N64" s="55"/>
      <c r="O64" s="55"/>
      <c r="P64" s="63"/>
    </row>
    <row r="65" spans="1:16" ht="24.95" customHeight="1">
      <c r="A65" s="55" t="s">
        <v>141</v>
      </c>
      <c r="B65" s="55" t="s">
        <v>1297</v>
      </c>
      <c r="C65" s="55" t="s">
        <v>141</v>
      </c>
      <c r="D65" s="55" t="s">
        <v>8</v>
      </c>
      <c r="E65" s="55" t="s">
        <v>141</v>
      </c>
      <c r="F65" s="55">
        <v>0.18</v>
      </c>
      <c r="G65" s="55" t="s">
        <v>9</v>
      </c>
      <c r="H65" s="55">
        <v>4</v>
      </c>
      <c r="I65" s="55" t="s">
        <v>141</v>
      </c>
      <c r="J65" s="56" t="s">
        <v>147</v>
      </c>
      <c r="K65" s="56"/>
      <c r="L65" s="16"/>
      <c r="M65" s="56"/>
      <c r="N65" s="55"/>
      <c r="O65" s="55"/>
      <c r="P65" s="63"/>
    </row>
    <row r="66" spans="1:16" ht="24.95" customHeight="1">
      <c r="A66" s="55" t="s">
        <v>142</v>
      </c>
      <c r="B66" s="55" t="s">
        <v>1297</v>
      </c>
      <c r="C66" s="55" t="s">
        <v>142</v>
      </c>
      <c r="D66" s="55" t="s">
        <v>8</v>
      </c>
      <c r="E66" s="55" t="s">
        <v>142</v>
      </c>
      <c r="F66" s="55">
        <v>88</v>
      </c>
      <c r="G66" s="55">
        <v>110</v>
      </c>
      <c r="H66" s="55">
        <v>78</v>
      </c>
      <c r="I66" s="55" t="s">
        <v>142</v>
      </c>
      <c r="J66" s="56" t="s">
        <v>147</v>
      </c>
      <c r="K66" s="56"/>
      <c r="L66" s="16"/>
      <c r="M66" s="56"/>
      <c r="N66" s="55"/>
      <c r="O66" s="55"/>
      <c r="P66" s="63"/>
    </row>
    <row r="67" spans="1:16" ht="39.950000000000003" customHeight="1">
      <c r="A67" s="56" t="s">
        <v>143</v>
      </c>
      <c r="B67" s="55" t="s">
        <v>1297</v>
      </c>
      <c r="C67" s="56" t="s">
        <v>143</v>
      </c>
      <c r="D67" s="55" t="s">
        <v>8</v>
      </c>
      <c r="E67" s="56" t="s">
        <v>143</v>
      </c>
      <c r="F67" s="55">
        <v>44</v>
      </c>
      <c r="G67" s="55" t="s">
        <v>9</v>
      </c>
      <c r="H67" s="55">
        <v>40</v>
      </c>
      <c r="I67" s="56" t="s">
        <v>143</v>
      </c>
      <c r="J67" s="56" t="s">
        <v>903</v>
      </c>
      <c r="K67" s="56" t="s">
        <v>1065</v>
      </c>
      <c r="L67" s="16" t="s">
        <v>1228</v>
      </c>
      <c r="M67" s="56" t="s">
        <v>1229</v>
      </c>
      <c r="N67" s="56" t="s">
        <v>1060</v>
      </c>
      <c r="O67" s="55" t="s">
        <v>1163</v>
      </c>
      <c r="P67" s="63" t="s">
        <v>1158</v>
      </c>
    </row>
    <row r="68" spans="1:16" ht="24.95" customHeight="1">
      <c r="A68" s="55" t="s">
        <v>144</v>
      </c>
      <c r="B68" s="55" t="s">
        <v>1297</v>
      </c>
      <c r="C68" s="55" t="s">
        <v>144</v>
      </c>
      <c r="D68" s="55" t="s">
        <v>8</v>
      </c>
      <c r="E68" s="55" t="s">
        <v>144</v>
      </c>
      <c r="F68" s="55">
        <v>44</v>
      </c>
      <c r="G68" s="55" t="s">
        <v>9</v>
      </c>
      <c r="H68" s="55" t="s">
        <v>9</v>
      </c>
      <c r="I68" s="55" t="s">
        <v>144</v>
      </c>
      <c r="J68" s="56" t="s">
        <v>899</v>
      </c>
      <c r="K68" s="56"/>
      <c r="L68" s="16"/>
      <c r="M68" s="56"/>
      <c r="N68" s="55"/>
      <c r="O68" s="55"/>
      <c r="P68" s="63"/>
    </row>
    <row r="69" spans="1:16" ht="39.950000000000003" customHeight="1">
      <c r="A69" s="56" t="s">
        <v>1051</v>
      </c>
      <c r="B69" s="55" t="s">
        <v>1297</v>
      </c>
      <c r="C69" s="56" t="s">
        <v>1051</v>
      </c>
      <c r="D69" s="55" t="s">
        <v>8</v>
      </c>
      <c r="E69" s="56" t="s">
        <v>1051</v>
      </c>
      <c r="F69" s="55">
        <v>176</v>
      </c>
      <c r="G69" s="55">
        <v>352</v>
      </c>
      <c r="H69" s="55">
        <v>310</v>
      </c>
      <c r="I69" s="56" t="s">
        <v>1051</v>
      </c>
      <c r="J69" s="56" t="s">
        <v>975</v>
      </c>
      <c r="K69" s="56" t="s">
        <v>1065</v>
      </c>
      <c r="L69" s="16" t="s">
        <v>1224</v>
      </c>
      <c r="M69" s="56" t="s">
        <v>1225</v>
      </c>
      <c r="N69" s="56" t="s">
        <v>1060</v>
      </c>
      <c r="O69" s="55" t="s">
        <v>1226</v>
      </c>
      <c r="P69" s="63" t="s">
        <v>1227</v>
      </c>
    </row>
    <row r="70" spans="1:16" ht="24.95" customHeight="1">
      <c r="A70" s="55" t="s">
        <v>145</v>
      </c>
      <c r="B70" s="55" t="s">
        <v>1297</v>
      </c>
      <c r="C70" s="55" t="s">
        <v>145</v>
      </c>
      <c r="D70" s="55" t="s">
        <v>8</v>
      </c>
      <c r="E70" s="55" t="s">
        <v>145</v>
      </c>
      <c r="F70" s="55" t="s">
        <v>101</v>
      </c>
      <c r="G70" s="55" t="s">
        <v>9</v>
      </c>
      <c r="H70" s="55" t="s">
        <v>9</v>
      </c>
      <c r="I70" s="55" t="s">
        <v>145</v>
      </c>
      <c r="J70" s="56" t="s">
        <v>914</v>
      </c>
      <c r="K70" s="56"/>
      <c r="L70" s="16"/>
      <c r="M70" s="56"/>
      <c r="N70" s="55"/>
      <c r="O70" s="55"/>
      <c r="P70" s="63"/>
    </row>
    <row r="71" spans="1:16" ht="24.95" customHeight="1">
      <c r="A71" s="55" t="s">
        <v>146</v>
      </c>
      <c r="B71" s="55" t="s">
        <v>1297</v>
      </c>
      <c r="C71" s="55" t="s">
        <v>146</v>
      </c>
      <c r="D71" s="55" t="s">
        <v>8</v>
      </c>
      <c r="E71" s="55" t="s">
        <v>146</v>
      </c>
      <c r="F71" s="55">
        <v>88</v>
      </c>
      <c r="G71" s="55" t="s">
        <v>9</v>
      </c>
      <c r="H71" s="55">
        <v>156</v>
      </c>
      <c r="I71" s="55" t="s">
        <v>146</v>
      </c>
      <c r="J71" s="56" t="s">
        <v>147</v>
      </c>
      <c r="K71" s="56"/>
      <c r="L71" s="16"/>
      <c r="M71" s="56"/>
      <c r="N71" s="55"/>
      <c r="O71" s="55"/>
      <c r="P71" s="63"/>
    </row>
    <row r="72" spans="1:16" ht="24.95" customHeight="1">
      <c r="A72" s="55" t="s">
        <v>148</v>
      </c>
      <c r="B72" s="55" t="s">
        <v>1297</v>
      </c>
      <c r="C72" s="55" t="s">
        <v>148</v>
      </c>
      <c r="D72" s="55" t="s">
        <v>58</v>
      </c>
      <c r="E72" s="55" t="s">
        <v>148</v>
      </c>
      <c r="F72" s="55">
        <v>0.04</v>
      </c>
      <c r="G72" s="55" t="s">
        <v>9</v>
      </c>
      <c r="H72" s="55" t="s">
        <v>9</v>
      </c>
      <c r="I72" s="55" t="s">
        <v>148</v>
      </c>
      <c r="J72" s="56" t="s">
        <v>150</v>
      </c>
      <c r="K72" s="56"/>
      <c r="L72" s="16"/>
      <c r="M72" s="56"/>
      <c r="N72" s="55"/>
      <c r="O72" s="55"/>
      <c r="P72" s="63"/>
    </row>
    <row r="73" spans="1:16" ht="24.95" customHeight="1">
      <c r="A73" s="55" t="s">
        <v>151</v>
      </c>
      <c r="B73" s="55" t="s">
        <v>1297</v>
      </c>
      <c r="C73" s="55" t="s">
        <v>151</v>
      </c>
      <c r="D73" s="55" t="s">
        <v>58</v>
      </c>
      <c r="E73" s="55" t="s">
        <v>151</v>
      </c>
      <c r="F73" s="55" t="s">
        <v>88</v>
      </c>
      <c r="G73" s="55" t="s">
        <v>9</v>
      </c>
      <c r="H73" s="55" t="s">
        <v>9</v>
      </c>
      <c r="I73" s="55" t="s">
        <v>151</v>
      </c>
      <c r="J73" s="56" t="s">
        <v>152</v>
      </c>
      <c r="K73" s="56"/>
      <c r="L73" s="16"/>
      <c r="M73" s="56"/>
      <c r="N73" s="55"/>
      <c r="O73" s="55"/>
      <c r="P73" s="63"/>
    </row>
    <row r="74" spans="1:16" ht="24.95" customHeight="1">
      <c r="A74" s="55" t="s">
        <v>153</v>
      </c>
      <c r="B74" s="55" t="s">
        <v>1297</v>
      </c>
      <c r="C74" s="55" t="s">
        <v>153</v>
      </c>
      <c r="D74" s="55" t="s">
        <v>58</v>
      </c>
      <c r="E74" s="55" t="s">
        <v>153</v>
      </c>
      <c r="F74" s="55" t="s">
        <v>101</v>
      </c>
      <c r="G74" s="55" t="s">
        <v>9</v>
      </c>
      <c r="H74" s="55" t="s">
        <v>9</v>
      </c>
      <c r="I74" s="55" t="s">
        <v>153</v>
      </c>
      <c r="J74" s="56" t="s">
        <v>915</v>
      </c>
      <c r="K74" s="56"/>
      <c r="L74" s="16"/>
      <c r="M74" s="56"/>
      <c r="N74" s="55"/>
      <c r="O74" s="55"/>
      <c r="P74" s="63"/>
    </row>
    <row r="75" spans="1:16" ht="24.95" customHeight="1">
      <c r="A75" s="55" t="s">
        <v>154</v>
      </c>
      <c r="B75" s="55" t="s">
        <v>1297</v>
      </c>
      <c r="C75" s="55" t="s">
        <v>154</v>
      </c>
      <c r="D75" s="55" t="s">
        <v>58</v>
      </c>
      <c r="E75" s="55" t="s">
        <v>154</v>
      </c>
      <c r="F75" s="55" t="s">
        <v>99</v>
      </c>
      <c r="G75" s="55" t="s">
        <v>9</v>
      </c>
      <c r="H75" s="55" t="s">
        <v>9</v>
      </c>
      <c r="I75" s="55" t="s">
        <v>154</v>
      </c>
      <c r="J75" s="56" t="s">
        <v>155</v>
      </c>
      <c r="K75" s="56"/>
      <c r="L75" s="16"/>
      <c r="M75" s="56"/>
      <c r="N75" s="55"/>
      <c r="O75" s="55"/>
      <c r="P75" s="63"/>
    </row>
    <row r="76" spans="1:16" ht="24.95" customHeight="1">
      <c r="A76" s="55" t="s">
        <v>156</v>
      </c>
      <c r="B76" s="55" t="s">
        <v>1297</v>
      </c>
      <c r="C76" s="55" t="s">
        <v>156</v>
      </c>
      <c r="D76" s="55" t="s">
        <v>9</v>
      </c>
      <c r="E76" s="55" t="s">
        <v>156</v>
      </c>
      <c r="F76" s="55" t="s">
        <v>9</v>
      </c>
      <c r="G76" s="55" t="s">
        <v>9</v>
      </c>
      <c r="H76" s="55" t="s">
        <v>9</v>
      </c>
      <c r="I76" s="55" t="s">
        <v>156</v>
      </c>
      <c r="J76" s="56" t="s">
        <v>157</v>
      </c>
      <c r="K76" s="56"/>
      <c r="L76" s="16"/>
      <c r="M76" s="56"/>
      <c r="N76" s="55"/>
      <c r="O76" s="55"/>
      <c r="P76" s="63"/>
    </row>
    <row r="77" spans="1:16" ht="27.75" customHeight="1">
      <c r="A77" s="55" t="s">
        <v>158</v>
      </c>
      <c r="B77" s="55" t="s">
        <v>1297</v>
      </c>
      <c r="C77" s="55" t="s">
        <v>158</v>
      </c>
      <c r="D77" s="55" t="s">
        <v>8</v>
      </c>
      <c r="E77" s="55" t="s">
        <v>158</v>
      </c>
      <c r="F77" s="55" t="s">
        <v>92</v>
      </c>
      <c r="G77" s="55" t="s">
        <v>9</v>
      </c>
      <c r="H77" s="55" t="s">
        <v>9</v>
      </c>
      <c r="I77" s="55" t="s">
        <v>158</v>
      </c>
      <c r="J77" s="56" t="s">
        <v>159</v>
      </c>
      <c r="K77" s="56"/>
      <c r="L77" s="16"/>
      <c r="M77" s="56"/>
      <c r="N77" s="55"/>
      <c r="O77" s="55"/>
      <c r="P77" s="63"/>
    </row>
    <row r="78" spans="1:16" ht="24.95" customHeight="1">
      <c r="A78" s="55" t="s">
        <v>160</v>
      </c>
      <c r="B78" s="55" t="s">
        <v>1297</v>
      </c>
      <c r="C78" s="55" t="s">
        <v>160</v>
      </c>
      <c r="D78" s="55" t="s">
        <v>58</v>
      </c>
      <c r="E78" s="55" t="s">
        <v>160</v>
      </c>
      <c r="F78" s="55" t="s">
        <v>114</v>
      </c>
      <c r="G78" s="55" t="s">
        <v>9</v>
      </c>
      <c r="H78" s="55" t="s">
        <v>9</v>
      </c>
      <c r="I78" s="55" t="s">
        <v>160</v>
      </c>
      <c r="J78" s="56" t="s">
        <v>161</v>
      </c>
      <c r="K78" s="56"/>
      <c r="L78" s="16"/>
      <c r="M78" s="56"/>
      <c r="N78" s="55"/>
      <c r="O78" s="55"/>
      <c r="P78" s="63"/>
    </row>
    <row r="79" spans="1:16" ht="39.950000000000003" customHeight="1">
      <c r="A79" s="56" t="s">
        <v>162</v>
      </c>
      <c r="B79" s="55" t="s">
        <v>1297</v>
      </c>
      <c r="C79" s="56" t="s">
        <v>162</v>
      </c>
      <c r="D79" s="55" t="s">
        <v>8</v>
      </c>
      <c r="E79" s="56" t="s">
        <v>162</v>
      </c>
      <c r="F79" s="55">
        <v>22</v>
      </c>
      <c r="G79" s="55">
        <v>30.8</v>
      </c>
      <c r="H79" s="55">
        <v>20</v>
      </c>
      <c r="I79" s="56" t="s">
        <v>162</v>
      </c>
      <c r="J79" s="56" t="s">
        <v>916</v>
      </c>
      <c r="K79" s="56" t="s">
        <v>1119</v>
      </c>
      <c r="L79" s="16"/>
      <c r="M79" s="56" t="s">
        <v>1118</v>
      </c>
      <c r="N79" s="56" t="s">
        <v>1122</v>
      </c>
      <c r="O79" s="56" t="s">
        <v>1120</v>
      </c>
      <c r="P79" s="64" t="s">
        <v>1121</v>
      </c>
    </row>
    <row r="80" spans="1:16" ht="24.95" customHeight="1">
      <c r="A80" s="55" t="s">
        <v>163</v>
      </c>
      <c r="B80" s="55" t="s">
        <v>1297</v>
      </c>
      <c r="C80" s="55" t="s">
        <v>163</v>
      </c>
      <c r="D80" s="55" t="s">
        <v>8</v>
      </c>
      <c r="E80" s="55" t="s">
        <v>163</v>
      </c>
      <c r="F80" s="55" t="s">
        <v>101</v>
      </c>
      <c r="G80" s="55" t="s">
        <v>102</v>
      </c>
      <c r="H80" s="55" t="s">
        <v>9</v>
      </c>
      <c r="I80" s="55" t="s">
        <v>163</v>
      </c>
      <c r="J80" s="56" t="s">
        <v>917</v>
      </c>
      <c r="K80" s="56"/>
      <c r="L80" s="16"/>
      <c r="M80" s="56"/>
      <c r="N80" s="55"/>
      <c r="O80" s="55"/>
      <c r="P80" s="63"/>
    </row>
    <row r="81" spans="1:16" ht="24.95" customHeight="1">
      <c r="A81" s="55" t="s">
        <v>164</v>
      </c>
      <c r="B81" s="55" t="s">
        <v>1297</v>
      </c>
      <c r="C81" s="55" t="s">
        <v>164</v>
      </c>
      <c r="D81" s="55" t="s">
        <v>58</v>
      </c>
      <c r="E81" s="55" t="s">
        <v>164</v>
      </c>
      <c r="F81" s="55">
        <v>1.7600000000000001E-3</v>
      </c>
      <c r="G81" s="55">
        <v>4.4000000000000003E-3</v>
      </c>
      <c r="H81" s="55" t="s">
        <v>9</v>
      </c>
      <c r="I81" s="55" t="s">
        <v>164</v>
      </c>
      <c r="J81" s="56" t="s">
        <v>902</v>
      </c>
      <c r="K81" s="56"/>
      <c r="L81" s="16"/>
      <c r="M81" s="56"/>
      <c r="N81" s="55"/>
      <c r="O81" s="55"/>
      <c r="P81" s="63"/>
    </row>
    <row r="82" spans="1:16" ht="24.95" customHeight="1">
      <c r="A82" s="55" t="s">
        <v>165</v>
      </c>
      <c r="B82" s="55" t="s">
        <v>1297</v>
      </c>
      <c r="C82" s="55" t="s">
        <v>165</v>
      </c>
      <c r="D82" s="55" t="s">
        <v>58</v>
      </c>
      <c r="E82" s="55" t="s">
        <v>165</v>
      </c>
      <c r="F82" s="55" t="s">
        <v>9</v>
      </c>
      <c r="G82" s="55" t="s">
        <v>166</v>
      </c>
      <c r="H82" s="55" t="s">
        <v>9</v>
      </c>
      <c r="I82" s="55" t="s">
        <v>165</v>
      </c>
      <c r="J82" s="56" t="s">
        <v>167</v>
      </c>
      <c r="K82" s="56"/>
      <c r="L82" s="16"/>
      <c r="M82" s="56"/>
      <c r="N82" s="55"/>
      <c r="O82" s="55"/>
      <c r="P82" s="63"/>
    </row>
    <row r="83" spans="1:16" ht="24.95" customHeight="1">
      <c r="A83" s="55" t="s">
        <v>168</v>
      </c>
      <c r="B83" s="55" t="s">
        <v>1297</v>
      </c>
      <c r="C83" s="55" t="s">
        <v>168</v>
      </c>
      <c r="D83" s="55" t="s">
        <v>8</v>
      </c>
      <c r="E83" s="55" t="s">
        <v>168</v>
      </c>
      <c r="F83" s="55" t="s">
        <v>169</v>
      </c>
      <c r="G83" s="55" t="s">
        <v>9</v>
      </c>
      <c r="H83" s="55" t="s">
        <v>9</v>
      </c>
      <c r="I83" s="55" t="s">
        <v>168</v>
      </c>
      <c r="J83" s="56" t="s">
        <v>170</v>
      </c>
      <c r="K83" s="56"/>
      <c r="L83" s="16"/>
      <c r="M83" s="56"/>
      <c r="N83" s="55"/>
      <c r="O83" s="55"/>
      <c r="P83" s="63"/>
    </row>
    <row r="84" spans="1:16" ht="24.95" customHeight="1">
      <c r="A84" s="55" t="s">
        <v>171</v>
      </c>
      <c r="B84" s="55" t="s">
        <v>1297</v>
      </c>
      <c r="C84" s="55" t="s">
        <v>171</v>
      </c>
      <c r="D84" s="55" t="s">
        <v>58</v>
      </c>
      <c r="E84" s="55" t="s">
        <v>171</v>
      </c>
      <c r="F84" s="55" t="s">
        <v>172</v>
      </c>
      <c r="G84" s="55" t="s">
        <v>173</v>
      </c>
      <c r="H84" s="55" t="s">
        <v>9</v>
      </c>
      <c r="I84" s="55" t="s">
        <v>171</v>
      </c>
      <c r="J84" s="56" t="s">
        <v>174</v>
      </c>
      <c r="K84" s="56"/>
      <c r="L84" s="16"/>
      <c r="M84" s="56"/>
      <c r="N84" s="55"/>
      <c r="O84" s="55"/>
      <c r="P84" s="63"/>
    </row>
    <row r="85" spans="1:16" ht="24.95" customHeight="1">
      <c r="A85" s="55" t="s">
        <v>175</v>
      </c>
      <c r="B85" s="55" t="s">
        <v>1297</v>
      </c>
      <c r="C85" s="55" t="s">
        <v>175</v>
      </c>
      <c r="D85" s="55" t="s">
        <v>58</v>
      </c>
      <c r="E85" s="55" t="s">
        <v>175</v>
      </c>
      <c r="F85" s="55" t="s">
        <v>92</v>
      </c>
      <c r="G85" s="55" t="s">
        <v>9</v>
      </c>
      <c r="H85" s="55" t="s">
        <v>9</v>
      </c>
      <c r="I85" s="55" t="s">
        <v>175</v>
      </c>
      <c r="J85" s="56" t="s">
        <v>918</v>
      </c>
      <c r="K85" s="56"/>
      <c r="L85" s="16"/>
      <c r="M85" s="56"/>
      <c r="N85" s="55"/>
      <c r="O85" s="55"/>
      <c r="P85" s="63"/>
    </row>
    <row r="86" spans="1:16" ht="24.95" customHeight="1">
      <c r="A86" s="55" t="s">
        <v>176</v>
      </c>
      <c r="B86" s="55" t="s">
        <v>1297</v>
      </c>
      <c r="C86" s="55" t="s">
        <v>176</v>
      </c>
      <c r="D86" s="55" t="s">
        <v>58</v>
      </c>
      <c r="E86" s="55" t="s">
        <v>176</v>
      </c>
      <c r="F86" s="55" t="s">
        <v>177</v>
      </c>
      <c r="G86" s="55" t="s">
        <v>9</v>
      </c>
      <c r="H86" s="55" t="s">
        <v>9</v>
      </c>
      <c r="I86" s="55" t="s">
        <v>176</v>
      </c>
      <c r="J86" s="56" t="s">
        <v>178</v>
      </c>
      <c r="K86" s="56"/>
      <c r="L86" s="16"/>
      <c r="M86" s="56"/>
      <c r="N86" s="55"/>
      <c r="O86" s="55"/>
      <c r="P86" s="63"/>
    </row>
    <row r="87" spans="1:16" ht="24.95" customHeight="1">
      <c r="A87" s="55" t="s">
        <v>179</v>
      </c>
      <c r="B87" s="55" t="s">
        <v>1297</v>
      </c>
      <c r="C87" s="55" t="s">
        <v>179</v>
      </c>
      <c r="D87" s="55" t="s">
        <v>58</v>
      </c>
      <c r="E87" s="55" t="s">
        <v>179</v>
      </c>
      <c r="F87" s="55" t="s">
        <v>180</v>
      </c>
      <c r="G87" s="55" t="s">
        <v>9</v>
      </c>
      <c r="H87" s="55" t="s">
        <v>9</v>
      </c>
      <c r="I87" s="55" t="s">
        <v>179</v>
      </c>
      <c r="J87" s="56" t="s">
        <v>919</v>
      </c>
      <c r="K87" s="56"/>
      <c r="L87" s="16"/>
      <c r="M87" s="56"/>
      <c r="N87" s="55"/>
      <c r="O87" s="55"/>
      <c r="P87" s="63"/>
    </row>
    <row r="88" spans="1:16" ht="24.95" customHeight="1">
      <c r="A88" s="55" t="s">
        <v>181</v>
      </c>
      <c r="B88" s="55" t="s">
        <v>1104</v>
      </c>
      <c r="C88" s="55" t="s">
        <v>181</v>
      </c>
      <c r="D88" s="55" t="s">
        <v>58</v>
      </c>
      <c r="E88" s="55" t="s">
        <v>181</v>
      </c>
      <c r="F88" s="55" t="s">
        <v>169</v>
      </c>
      <c r="G88" s="55" t="s">
        <v>9</v>
      </c>
      <c r="H88" s="55" t="s">
        <v>9</v>
      </c>
      <c r="I88" s="55" t="s">
        <v>181</v>
      </c>
      <c r="J88" s="56" t="s">
        <v>182</v>
      </c>
      <c r="K88" s="56"/>
      <c r="L88" s="16"/>
      <c r="M88" s="56"/>
      <c r="N88" s="55"/>
      <c r="O88" s="55"/>
      <c r="P88" s="63"/>
    </row>
    <row r="89" spans="1:16" ht="24.95" customHeight="1">
      <c r="A89" s="55" t="s">
        <v>183</v>
      </c>
      <c r="B89" s="55" t="s">
        <v>1105</v>
      </c>
      <c r="C89" s="55" t="s">
        <v>183</v>
      </c>
      <c r="D89" s="55" t="s">
        <v>8</v>
      </c>
      <c r="E89" s="55" t="s">
        <v>183</v>
      </c>
      <c r="F89" s="55" t="s">
        <v>166</v>
      </c>
      <c r="G89" s="55" t="s">
        <v>9</v>
      </c>
      <c r="H89" s="55" t="s">
        <v>875</v>
      </c>
      <c r="I89" s="55" t="s">
        <v>183</v>
      </c>
      <c r="J89" s="56" t="s">
        <v>184</v>
      </c>
      <c r="K89" s="56"/>
      <c r="L89" s="16"/>
      <c r="M89" s="56"/>
      <c r="N89" s="55"/>
      <c r="O89" s="55"/>
      <c r="P89" s="63"/>
    </row>
    <row r="90" spans="1:16" ht="24.95" customHeight="1">
      <c r="A90" s="55" t="s">
        <v>185</v>
      </c>
      <c r="B90" s="55" t="s">
        <v>1297</v>
      </c>
      <c r="C90" s="55" t="s">
        <v>185</v>
      </c>
      <c r="D90" s="55" t="s">
        <v>186</v>
      </c>
      <c r="E90" s="55" t="s">
        <v>185</v>
      </c>
      <c r="F90" s="55" t="s">
        <v>88</v>
      </c>
      <c r="G90" s="55" t="s">
        <v>9</v>
      </c>
      <c r="H90" s="55" t="s">
        <v>9</v>
      </c>
      <c r="I90" s="55" t="s">
        <v>185</v>
      </c>
      <c r="J90" s="56" t="s">
        <v>187</v>
      </c>
      <c r="K90" s="56"/>
      <c r="L90" s="16"/>
      <c r="M90" s="56"/>
      <c r="N90" s="55"/>
      <c r="O90" s="55"/>
      <c r="P90" s="63"/>
    </row>
    <row r="91" spans="1:16" ht="24.95" customHeight="1">
      <c r="A91" s="55" t="s">
        <v>188</v>
      </c>
      <c r="B91" s="55" t="s">
        <v>1297</v>
      </c>
      <c r="C91" s="55" t="s">
        <v>188</v>
      </c>
      <c r="D91" s="55" t="s">
        <v>58</v>
      </c>
      <c r="E91" s="55" t="s">
        <v>188</v>
      </c>
      <c r="F91" s="55" t="s">
        <v>92</v>
      </c>
      <c r="G91" s="55" t="s">
        <v>9</v>
      </c>
      <c r="H91" s="55" t="s">
        <v>9</v>
      </c>
      <c r="I91" s="55" t="s">
        <v>188</v>
      </c>
      <c r="J91" s="56" t="s">
        <v>912</v>
      </c>
      <c r="K91" s="56"/>
      <c r="L91" s="16"/>
      <c r="M91" s="56"/>
      <c r="N91" s="55"/>
      <c r="O91" s="55"/>
      <c r="P91" s="63"/>
    </row>
    <row r="92" spans="1:16" ht="24.95" customHeight="1">
      <c r="A92" s="55" t="s">
        <v>189</v>
      </c>
      <c r="B92" s="55" t="s">
        <v>1297</v>
      </c>
      <c r="C92" s="55" t="s">
        <v>189</v>
      </c>
      <c r="D92" s="55" t="s">
        <v>58</v>
      </c>
      <c r="E92" s="55" t="s">
        <v>189</v>
      </c>
      <c r="F92" s="55" t="s">
        <v>86</v>
      </c>
      <c r="G92" s="55" t="s">
        <v>9</v>
      </c>
      <c r="H92" s="55" t="s">
        <v>9</v>
      </c>
      <c r="I92" s="55" t="s">
        <v>189</v>
      </c>
      <c r="J92" s="56" t="s">
        <v>190</v>
      </c>
      <c r="K92" s="56"/>
      <c r="L92" s="16"/>
      <c r="M92" s="56"/>
      <c r="N92" s="55"/>
      <c r="O92" s="55"/>
      <c r="P92" s="63"/>
    </row>
    <row r="93" spans="1:16" ht="24.95" customHeight="1">
      <c r="A93" s="55" t="s">
        <v>191</v>
      </c>
      <c r="B93" s="55" t="s">
        <v>1297</v>
      </c>
      <c r="C93" s="55" t="s">
        <v>191</v>
      </c>
      <c r="D93" s="55" t="s">
        <v>58</v>
      </c>
      <c r="E93" s="55" t="s">
        <v>191</v>
      </c>
      <c r="F93" s="55" t="s">
        <v>9</v>
      </c>
      <c r="G93" s="55" t="s">
        <v>192</v>
      </c>
      <c r="H93" s="55" t="s">
        <v>9</v>
      </c>
      <c r="I93" s="55" t="s">
        <v>191</v>
      </c>
      <c r="J93" s="56" t="s">
        <v>193</v>
      </c>
      <c r="K93" s="56"/>
      <c r="L93" s="16"/>
      <c r="M93" s="56"/>
      <c r="N93" s="55"/>
      <c r="O93" s="55"/>
      <c r="P93" s="63"/>
    </row>
    <row r="94" spans="1:16" ht="24.95" customHeight="1">
      <c r="A94" s="55" t="s">
        <v>194</v>
      </c>
      <c r="B94" s="55" t="s">
        <v>1297</v>
      </c>
      <c r="C94" s="55" t="s">
        <v>194</v>
      </c>
      <c r="D94" s="55" t="s">
        <v>58</v>
      </c>
      <c r="E94" s="55" t="s">
        <v>194</v>
      </c>
      <c r="F94" s="55" t="s">
        <v>114</v>
      </c>
      <c r="G94" s="55" t="s">
        <v>9</v>
      </c>
      <c r="H94" s="55" t="s">
        <v>9</v>
      </c>
      <c r="I94" s="55" t="s">
        <v>194</v>
      </c>
      <c r="J94" s="56" t="s">
        <v>195</v>
      </c>
      <c r="K94" s="56"/>
      <c r="L94" s="16"/>
      <c r="M94" s="56"/>
      <c r="N94" s="55"/>
      <c r="O94" s="55"/>
      <c r="P94" s="63"/>
    </row>
    <row r="95" spans="1:16" ht="24.95" customHeight="1">
      <c r="A95" s="55" t="s">
        <v>196</v>
      </c>
      <c r="B95" s="55" t="s">
        <v>1297</v>
      </c>
      <c r="C95" s="55" t="s">
        <v>196</v>
      </c>
      <c r="D95" s="55" t="s">
        <v>58</v>
      </c>
      <c r="E95" s="55" t="s">
        <v>196</v>
      </c>
      <c r="F95" s="55" t="s">
        <v>92</v>
      </c>
      <c r="G95" s="55" t="s">
        <v>9</v>
      </c>
      <c r="H95" s="55" t="s">
        <v>9</v>
      </c>
      <c r="I95" s="55" t="s">
        <v>196</v>
      </c>
      <c r="J95" s="56" t="s">
        <v>920</v>
      </c>
      <c r="K95" s="56"/>
      <c r="L95" s="16"/>
      <c r="M95" s="56"/>
      <c r="N95" s="55"/>
      <c r="O95" s="55"/>
      <c r="P95" s="63"/>
    </row>
    <row r="96" spans="1:16" ht="24.95" customHeight="1">
      <c r="A96" s="55" t="s">
        <v>197</v>
      </c>
      <c r="B96" s="55" t="s">
        <v>1297</v>
      </c>
      <c r="C96" s="55" t="s">
        <v>197</v>
      </c>
      <c r="D96" s="55" t="s">
        <v>58</v>
      </c>
      <c r="E96" s="55" t="s">
        <v>197</v>
      </c>
      <c r="F96" s="55" t="s">
        <v>101</v>
      </c>
      <c r="G96" s="55" t="s">
        <v>9</v>
      </c>
      <c r="H96" s="50" t="s">
        <v>9</v>
      </c>
      <c r="I96" s="55" t="s">
        <v>197</v>
      </c>
      <c r="J96" s="56" t="s">
        <v>921</v>
      </c>
      <c r="K96" s="56"/>
      <c r="L96" s="16"/>
      <c r="M96" s="56"/>
      <c r="N96" s="55"/>
      <c r="O96" s="55"/>
      <c r="P96" s="63"/>
    </row>
    <row r="97" spans="1:16" ht="39" customHeight="1">
      <c r="A97" s="56" t="s">
        <v>198</v>
      </c>
      <c r="B97" s="56" t="s">
        <v>1298</v>
      </c>
      <c r="C97" s="56" t="s">
        <v>198</v>
      </c>
      <c r="D97" s="55" t="s">
        <v>8</v>
      </c>
      <c r="E97" s="56" t="s">
        <v>198</v>
      </c>
      <c r="F97" s="55">
        <v>0.44</v>
      </c>
      <c r="G97" s="55">
        <v>2.2000000000000002</v>
      </c>
      <c r="H97" s="55" t="s">
        <v>9</v>
      </c>
      <c r="I97" s="56" t="s">
        <v>198</v>
      </c>
      <c r="J97" s="56" t="s">
        <v>200</v>
      </c>
      <c r="K97" s="56" t="s">
        <v>1143</v>
      </c>
      <c r="L97" s="16"/>
      <c r="M97" s="56" t="s">
        <v>1137</v>
      </c>
      <c r="N97" s="56" t="s">
        <v>1060</v>
      </c>
      <c r="O97" s="67" t="s">
        <v>1141</v>
      </c>
      <c r="P97" s="64" t="s">
        <v>1142</v>
      </c>
    </row>
    <row r="98" spans="1:16" ht="24.95" customHeight="1">
      <c r="A98" s="55" t="s">
        <v>201</v>
      </c>
      <c r="B98" s="55" t="s">
        <v>1297</v>
      </c>
      <c r="C98" s="55" t="s">
        <v>201</v>
      </c>
      <c r="D98" s="55" t="s">
        <v>9</v>
      </c>
      <c r="E98" s="55" t="s">
        <v>201</v>
      </c>
      <c r="F98" s="55" t="s">
        <v>9</v>
      </c>
      <c r="G98" s="55" t="s">
        <v>9</v>
      </c>
      <c r="H98" s="55" t="s">
        <v>9</v>
      </c>
      <c r="I98" s="55" t="s">
        <v>201</v>
      </c>
      <c r="J98" s="56" t="s">
        <v>202</v>
      </c>
      <c r="K98" s="56"/>
      <c r="L98" s="16"/>
      <c r="M98" s="56"/>
      <c r="N98" s="55"/>
      <c r="O98" s="55"/>
      <c r="P98" s="63"/>
    </row>
    <row r="99" spans="1:16" ht="24.95" customHeight="1">
      <c r="A99" s="55" t="s">
        <v>203</v>
      </c>
      <c r="B99" s="55" t="s">
        <v>1297</v>
      </c>
      <c r="C99" s="55" t="s">
        <v>203</v>
      </c>
      <c r="D99" s="55" t="s">
        <v>9</v>
      </c>
      <c r="E99" s="55" t="s">
        <v>203</v>
      </c>
      <c r="F99" s="55" t="s">
        <v>9</v>
      </c>
      <c r="G99" s="55" t="s">
        <v>9</v>
      </c>
      <c r="H99" s="55" t="s">
        <v>9</v>
      </c>
      <c r="I99" s="55" t="s">
        <v>203</v>
      </c>
      <c r="J99" s="56" t="s">
        <v>204</v>
      </c>
      <c r="K99" s="56"/>
      <c r="L99" s="16"/>
      <c r="M99" s="56"/>
      <c r="N99" s="55"/>
      <c r="O99" s="55"/>
      <c r="P99" s="63"/>
    </row>
    <row r="100" spans="1:16" ht="24.95" customHeight="1">
      <c r="A100" s="55" t="s">
        <v>205</v>
      </c>
      <c r="B100" s="55" t="s">
        <v>1297</v>
      </c>
      <c r="C100" s="55" t="s">
        <v>205</v>
      </c>
      <c r="D100" s="55" t="s">
        <v>9</v>
      </c>
      <c r="E100" s="55" t="s">
        <v>205</v>
      </c>
      <c r="F100" s="55" t="s">
        <v>9</v>
      </c>
      <c r="G100" s="55" t="s">
        <v>9</v>
      </c>
      <c r="H100" s="55" t="s">
        <v>9</v>
      </c>
      <c r="I100" s="55" t="s">
        <v>205</v>
      </c>
      <c r="J100" s="56" t="s">
        <v>135</v>
      </c>
      <c r="K100" s="56"/>
      <c r="L100" s="16"/>
      <c r="M100" s="56"/>
      <c r="N100" s="55"/>
      <c r="O100" s="55"/>
      <c r="P100" s="63"/>
    </row>
    <row r="101" spans="1:16" ht="24.95" customHeight="1">
      <c r="A101" s="55" t="s">
        <v>206</v>
      </c>
      <c r="B101" s="55" t="s">
        <v>1297</v>
      </c>
      <c r="C101" s="55" t="s">
        <v>206</v>
      </c>
      <c r="D101" s="55" t="s">
        <v>9</v>
      </c>
      <c r="E101" s="55" t="s">
        <v>206</v>
      </c>
      <c r="F101" s="55" t="s">
        <v>9</v>
      </c>
      <c r="G101" s="55" t="s">
        <v>9</v>
      </c>
      <c r="H101" s="55" t="s">
        <v>9</v>
      </c>
      <c r="I101" s="55" t="s">
        <v>206</v>
      </c>
      <c r="J101" s="56" t="s">
        <v>135</v>
      </c>
      <c r="K101" s="56"/>
      <c r="L101" s="16"/>
      <c r="M101" s="56"/>
      <c r="N101" s="55"/>
      <c r="O101" s="55"/>
      <c r="P101" s="63"/>
    </row>
    <row r="102" spans="1:16" ht="24.95" customHeight="1">
      <c r="A102" s="55" t="s">
        <v>207</v>
      </c>
      <c r="B102" s="55" t="s">
        <v>1259</v>
      </c>
      <c r="C102" s="55" t="s">
        <v>207</v>
      </c>
      <c r="D102" s="55" t="s">
        <v>58</v>
      </c>
      <c r="E102" s="55" t="s">
        <v>207</v>
      </c>
      <c r="F102" s="55" t="s">
        <v>208</v>
      </c>
      <c r="G102" s="55" t="s">
        <v>9</v>
      </c>
      <c r="H102" s="55" t="s">
        <v>9</v>
      </c>
      <c r="I102" s="55" t="s">
        <v>207</v>
      </c>
      <c r="J102" s="56" t="s">
        <v>209</v>
      </c>
      <c r="K102" s="56"/>
      <c r="L102" s="16"/>
      <c r="M102" s="56"/>
      <c r="N102" s="55"/>
      <c r="O102" s="55"/>
      <c r="P102" s="63"/>
    </row>
    <row r="103" spans="1:16" ht="24.95" customHeight="1">
      <c r="A103" s="55" t="s">
        <v>210</v>
      </c>
      <c r="B103" s="55" t="s">
        <v>1297</v>
      </c>
      <c r="C103" s="55" t="s">
        <v>210</v>
      </c>
      <c r="D103" s="55" t="s">
        <v>8</v>
      </c>
      <c r="E103" s="55" t="s">
        <v>210</v>
      </c>
      <c r="F103" s="55" t="s">
        <v>114</v>
      </c>
      <c r="G103" s="55" t="s">
        <v>9</v>
      </c>
      <c r="H103" s="55" t="s">
        <v>9</v>
      </c>
      <c r="I103" s="55" t="s">
        <v>210</v>
      </c>
      <c r="J103" s="56" t="s">
        <v>115</v>
      </c>
      <c r="K103" s="56"/>
      <c r="L103" s="16"/>
      <c r="M103" s="56"/>
      <c r="N103" s="55"/>
      <c r="O103" s="55"/>
      <c r="P103" s="63"/>
    </row>
    <row r="104" spans="1:16" ht="24.95" customHeight="1">
      <c r="A104" s="55" t="s">
        <v>211</v>
      </c>
      <c r="B104" s="55" t="s">
        <v>1297</v>
      </c>
      <c r="C104" s="55" t="s">
        <v>211</v>
      </c>
      <c r="D104" s="55" t="s">
        <v>58</v>
      </c>
      <c r="E104" s="55" t="s">
        <v>211</v>
      </c>
      <c r="F104" s="55" t="s">
        <v>94</v>
      </c>
      <c r="G104" s="55" t="s">
        <v>9</v>
      </c>
      <c r="H104" s="55" t="s">
        <v>9</v>
      </c>
      <c r="I104" s="55" t="s">
        <v>211</v>
      </c>
      <c r="J104" s="56" t="s">
        <v>115</v>
      </c>
      <c r="K104" s="56"/>
      <c r="L104" s="16"/>
      <c r="M104" s="56"/>
      <c r="N104" s="55"/>
      <c r="O104" s="55"/>
      <c r="P104" s="63"/>
    </row>
    <row r="105" spans="1:16" ht="24.95" customHeight="1">
      <c r="A105" s="55" t="s">
        <v>212</v>
      </c>
      <c r="B105" s="55" t="s">
        <v>1297</v>
      </c>
      <c r="C105" s="55" t="s">
        <v>212</v>
      </c>
      <c r="D105" s="55" t="s">
        <v>58</v>
      </c>
      <c r="E105" s="55" t="s">
        <v>212</v>
      </c>
      <c r="F105" s="55" t="s">
        <v>213</v>
      </c>
      <c r="G105" s="55" t="s">
        <v>9</v>
      </c>
      <c r="H105" s="55" t="s">
        <v>9</v>
      </c>
      <c r="I105" s="55" t="s">
        <v>212</v>
      </c>
      <c r="J105" s="56" t="s">
        <v>214</v>
      </c>
      <c r="K105" s="56"/>
      <c r="L105" s="16"/>
      <c r="M105" s="56"/>
      <c r="N105" s="55"/>
      <c r="O105" s="55"/>
      <c r="P105" s="63"/>
    </row>
    <row r="106" spans="1:16" ht="24.95" customHeight="1">
      <c r="A106" s="55" t="s">
        <v>215</v>
      </c>
      <c r="B106" s="55" t="s">
        <v>1297</v>
      </c>
      <c r="C106" s="55" t="s">
        <v>215</v>
      </c>
      <c r="D106" s="55" t="s">
        <v>58</v>
      </c>
      <c r="E106" s="55" t="s">
        <v>215</v>
      </c>
      <c r="F106" s="55" t="s">
        <v>86</v>
      </c>
      <c r="G106" s="55" t="s">
        <v>216</v>
      </c>
      <c r="H106" s="55" t="s">
        <v>9</v>
      </c>
      <c r="I106" s="55" t="s">
        <v>215</v>
      </c>
      <c r="J106" s="56" t="s">
        <v>899</v>
      </c>
      <c r="K106" s="56"/>
      <c r="L106" s="16"/>
      <c r="M106" s="56"/>
      <c r="N106" s="55"/>
      <c r="O106" s="55"/>
      <c r="P106" s="63"/>
    </row>
    <row r="107" spans="1:16" ht="24.95" customHeight="1">
      <c r="A107" s="55" t="s">
        <v>217</v>
      </c>
      <c r="B107" s="55" t="s">
        <v>1297</v>
      </c>
      <c r="C107" s="55" t="s">
        <v>217</v>
      </c>
      <c r="D107" s="55" t="s">
        <v>58</v>
      </c>
      <c r="E107" s="55" t="s">
        <v>217</v>
      </c>
      <c r="F107" s="55" t="s">
        <v>99</v>
      </c>
      <c r="G107" s="55" t="s">
        <v>9</v>
      </c>
      <c r="H107" s="55" t="s">
        <v>9</v>
      </c>
      <c r="I107" s="55" t="s">
        <v>217</v>
      </c>
      <c r="J107" s="56" t="s">
        <v>218</v>
      </c>
      <c r="K107" s="56"/>
      <c r="L107" s="16"/>
      <c r="M107" s="56"/>
      <c r="N107" s="55"/>
      <c r="O107" s="55"/>
      <c r="P107" s="63"/>
    </row>
    <row r="108" spans="1:16" ht="24.95" customHeight="1">
      <c r="A108" s="55" t="s">
        <v>219</v>
      </c>
      <c r="B108" s="55" t="s">
        <v>1297</v>
      </c>
      <c r="C108" s="55" t="s">
        <v>219</v>
      </c>
      <c r="D108" s="55" t="s">
        <v>8</v>
      </c>
      <c r="E108" s="55" t="s">
        <v>219</v>
      </c>
      <c r="F108" s="55" t="s">
        <v>88</v>
      </c>
      <c r="G108" s="55" t="s">
        <v>114</v>
      </c>
      <c r="H108" s="55" t="s">
        <v>9</v>
      </c>
      <c r="I108" s="55" t="s">
        <v>219</v>
      </c>
      <c r="J108" s="56" t="s">
        <v>147</v>
      </c>
      <c r="K108" s="56"/>
      <c r="L108" s="16"/>
      <c r="M108" s="56"/>
      <c r="N108" s="55"/>
      <c r="O108" s="55"/>
      <c r="P108" s="63"/>
    </row>
    <row r="109" spans="1:16" ht="24.95" customHeight="1">
      <c r="A109" s="55" t="s">
        <v>220</v>
      </c>
      <c r="B109" s="55" t="s">
        <v>1263</v>
      </c>
      <c r="C109" s="55" t="s">
        <v>220</v>
      </c>
      <c r="D109" s="55" t="s">
        <v>8</v>
      </c>
      <c r="E109" s="55" t="s">
        <v>220</v>
      </c>
      <c r="F109" s="55" t="s">
        <v>94</v>
      </c>
      <c r="G109" s="55" t="s">
        <v>9</v>
      </c>
      <c r="H109" s="55">
        <v>156</v>
      </c>
      <c r="I109" s="55" t="s">
        <v>220</v>
      </c>
      <c r="J109" s="56" t="s">
        <v>221</v>
      </c>
      <c r="K109" s="56"/>
      <c r="L109" s="16"/>
      <c r="M109" s="56"/>
      <c r="N109" s="55"/>
      <c r="O109" s="55"/>
      <c r="P109" s="63"/>
    </row>
    <row r="110" spans="1:16" ht="24.95" customHeight="1">
      <c r="A110" s="55" t="s">
        <v>222</v>
      </c>
      <c r="B110" s="55" t="s">
        <v>1264</v>
      </c>
      <c r="C110" s="55" t="s">
        <v>222</v>
      </c>
      <c r="D110" s="55" t="s">
        <v>8</v>
      </c>
      <c r="E110" s="55" t="s">
        <v>222</v>
      </c>
      <c r="F110" s="55" t="s">
        <v>9</v>
      </c>
      <c r="G110" s="55" t="s">
        <v>294</v>
      </c>
      <c r="H110" s="55" t="s">
        <v>9</v>
      </c>
      <c r="I110" s="55" t="s">
        <v>222</v>
      </c>
      <c r="J110" s="56" t="s">
        <v>899</v>
      </c>
      <c r="K110" s="56"/>
      <c r="L110" s="16"/>
      <c r="M110" s="56"/>
      <c r="N110" s="55"/>
      <c r="O110" s="55"/>
      <c r="P110" s="63"/>
    </row>
    <row r="111" spans="1:16" ht="24.95" customHeight="1">
      <c r="A111" s="55" t="s">
        <v>223</v>
      </c>
      <c r="B111" s="55" t="s">
        <v>1265</v>
      </c>
      <c r="C111" s="55" t="s">
        <v>223</v>
      </c>
      <c r="D111" s="55" t="s">
        <v>8</v>
      </c>
      <c r="E111" s="55" t="s">
        <v>223</v>
      </c>
      <c r="F111" s="55" t="s">
        <v>101</v>
      </c>
      <c r="G111" s="55" t="s">
        <v>9</v>
      </c>
      <c r="H111" s="55">
        <v>12</v>
      </c>
      <c r="I111" s="55" t="s">
        <v>223</v>
      </c>
      <c r="J111" s="56" t="s">
        <v>922</v>
      </c>
      <c r="K111" s="56"/>
      <c r="L111" s="16"/>
      <c r="M111" s="56"/>
      <c r="N111" s="55"/>
      <c r="O111" s="55"/>
      <c r="P111" s="63"/>
    </row>
    <row r="112" spans="1:16" ht="24.95" customHeight="1">
      <c r="A112" s="55" t="s">
        <v>224</v>
      </c>
      <c r="B112" s="55" t="s">
        <v>1297</v>
      </c>
      <c r="C112" s="55" t="s">
        <v>224</v>
      </c>
      <c r="D112" s="55" t="s">
        <v>8</v>
      </c>
      <c r="E112" s="55" t="s">
        <v>224</v>
      </c>
      <c r="F112" s="55" t="s">
        <v>92</v>
      </c>
      <c r="G112" s="55" t="s">
        <v>9</v>
      </c>
      <c r="H112" s="55" t="s">
        <v>9</v>
      </c>
      <c r="I112" s="55" t="s">
        <v>224</v>
      </c>
      <c r="J112" s="56" t="s">
        <v>225</v>
      </c>
      <c r="K112" s="56"/>
      <c r="L112" s="16"/>
      <c r="M112" s="56"/>
      <c r="N112" s="55"/>
      <c r="O112" s="55"/>
      <c r="P112" s="63"/>
    </row>
    <row r="113" spans="1:16" ht="24.95" customHeight="1">
      <c r="A113" s="55" t="s">
        <v>226</v>
      </c>
      <c r="B113" s="55" t="s">
        <v>1261</v>
      </c>
      <c r="C113" s="55" t="s">
        <v>226</v>
      </c>
      <c r="D113" s="55" t="s">
        <v>8</v>
      </c>
      <c r="E113" s="55" t="s">
        <v>226</v>
      </c>
      <c r="F113" s="55" t="s">
        <v>88</v>
      </c>
      <c r="G113" s="55" t="s">
        <v>114</v>
      </c>
      <c r="H113" s="55" t="s">
        <v>876</v>
      </c>
      <c r="I113" s="55" t="s">
        <v>226</v>
      </c>
      <c r="J113" s="56" t="s">
        <v>923</v>
      </c>
      <c r="K113" s="56"/>
      <c r="L113" s="16"/>
      <c r="M113" s="56"/>
      <c r="N113" s="55"/>
      <c r="O113" s="55"/>
      <c r="P113" s="63"/>
    </row>
    <row r="114" spans="1:16" ht="24.95" customHeight="1">
      <c r="A114" s="55" t="s">
        <v>227</v>
      </c>
      <c r="B114" s="55" t="s">
        <v>1262</v>
      </c>
      <c r="C114" s="55" t="s">
        <v>227</v>
      </c>
      <c r="D114" s="55" t="s">
        <v>8</v>
      </c>
      <c r="E114" s="55" t="s">
        <v>227</v>
      </c>
      <c r="F114" s="55" t="s">
        <v>92</v>
      </c>
      <c r="G114" s="55" t="s">
        <v>9</v>
      </c>
      <c r="H114" s="55" t="s">
        <v>877</v>
      </c>
      <c r="I114" s="55" t="s">
        <v>227</v>
      </c>
      <c r="J114" s="56" t="s">
        <v>924</v>
      </c>
      <c r="K114" s="56"/>
      <c r="L114" s="16"/>
      <c r="M114" s="56"/>
      <c r="N114" s="55"/>
      <c r="O114" s="55"/>
      <c r="P114" s="63"/>
    </row>
    <row r="115" spans="1:16" ht="65.25" customHeight="1">
      <c r="A115" s="55" t="s">
        <v>228</v>
      </c>
      <c r="B115" s="55" t="s">
        <v>1297</v>
      </c>
      <c r="C115" s="55" t="s">
        <v>228</v>
      </c>
      <c r="D115" s="55" t="s">
        <v>8</v>
      </c>
      <c r="E115" s="55" t="s">
        <v>228</v>
      </c>
      <c r="F115" s="55" t="s">
        <v>88</v>
      </c>
      <c r="G115" s="55" t="s">
        <v>9</v>
      </c>
      <c r="H115" s="55" t="s">
        <v>9</v>
      </c>
      <c r="I115" s="55" t="s">
        <v>228</v>
      </c>
      <c r="J115" s="56" t="s">
        <v>229</v>
      </c>
      <c r="K115" s="56"/>
      <c r="L115" s="16"/>
      <c r="M115" s="56"/>
      <c r="N115" s="55"/>
      <c r="O115" s="55"/>
      <c r="P115" s="63"/>
    </row>
    <row r="116" spans="1:16" ht="24.95" customHeight="1">
      <c r="A116" s="55" t="s">
        <v>230</v>
      </c>
      <c r="B116" s="55" t="s">
        <v>1297</v>
      </c>
      <c r="C116" s="55" t="s">
        <v>230</v>
      </c>
      <c r="D116" s="55" t="s">
        <v>8</v>
      </c>
      <c r="E116" s="55" t="s">
        <v>230</v>
      </c>
      <c r="F116" s="55" t="s">
        <v>86</v>
      </c>
      <c r="G116" s="55" t="s">
        <v>9</v>
      </c>
      <c r="H116" s="55">
        <v>780</v>
      </c>
      <c r="I116" s="55" t="s">
        <v>230</v>
      </c>
      <c r="J116" s="56" t="s">
        <v>135</v>
      </c>
      <c r="K116" s="56"/>
      <c r="L116" s="16"/>
      <c r="M116" s="56"/>
      <c r="N116" s="55"/>
      <c r="O116" s="55"/>
      <c r="P116" s="63"/>
    </row>
    <row r="117" spans="1:16" ht="39.950000000000003" customHeight="1">
      <c r="A117" s="56" t="s">
        <v>231</v>
      </c>
      <c r="B117" s="55" t="s">
        <v>1297</v>
      </c>
      <c r="C117" s="56" t="s">
        <v>231</v>
      </c>
      <c r="D117" s="55" t="s">
        <v>8</v>
      </c>
      <c r="E117" s="56" t="s">
        <v>231</v>
      </c>
      <c r="F117" s="55" t="s">
        <v>9</v>
      </c>
      <c r="G117" s="55">
        <v>880</v>
      </c>
      <c r="H117" s="55" t="s">
        <v>9</v>
      </c>
      <c r="I117" s="56" t="s">
        <v>231</v>
      </c>
      <c r="J117" s="56" t="s">
        <v>140</v>
      </c>
      <c r="K117" s="56" t="s">
        <v>1146</v>
      </c>
      <c r="L117" s="16" t="s">
        <v>1145</v>
      </c>
      <c r="M117" s="56" t="s">
        <v>1144</v>
      </c>
      <c r="N117" s="56" t="s">
        <v>1060</v>
      </c>
      <c r="O117" s="56" t="s">
        <v>1147</v>
      </c>
      <c r="P117" s="64" t="s">
        <v>1148</v>
      </c>
    </row>
    <row r="118" spans="1:16" ht="24.95" customHeight="1">
      <c r="A118" s="55" t="s">
        <v>232</v>
      </c>
      <c r="B118" s="55" t="s">
        <v>1297</v>
      </c>
      <c r="C118" s="55" t="s">
        <v>232</v>
      </c>
      <c r="D118" s="55" t="s">
        <v>8</v>
      </c>
      <c r="E118" s="55" t="s">
        <v>232</v>
      </c>
      <c r="F118" s="55">
        <v>220</v>
      </c>
      <c r="G118" s="55" t="s">
        <v>9</v>
      </c>
      <c r="H118" s="55" t="s">
        <v>9</v>
      </c>
      <c r="I118" s="55" t="s">
        <v>232</v>
      </c>
      <c r="J118" s="56" t="s">
        <v>233</v>
      </c>
      <c r="K118" s="56"/>
      <c r="L118" s="16"/>
      <c r="M118" s="56"/>
      <c r="N118" s="55"/>
      <c r="O118" s="55"/>
      <c r="P118" s="63"/>
    </row>
    <row r="119" spans="1:16" ht="24.95" customHeight="1">
      <c r="A119" s="55" t="s">
        <v>234</v>
      </c>
      <c r="B119" s="55" t="s">
        <v>1297</v>
      </c>
      <c r="C119" s="55" t="s">
        <v>234</v>
      </c>
      <c r="D119" s="55" t="s">
        <v>8</v>
      </c>
      <c r="E119" s="55" t="s">
        <v>234</v>
      </c>
      <c r="F119" s="55" t="s">
        <v>92</v>
      </c>
      <c r="G119" s="55" t="s">
        <v>9</v>
      </c>
      <c r="H119" s="55" t="s">
        <v>877</v>
      </c>
      <c r="I119" s="55" t="s">
        <v>234</v>
      </c>
      <c r="J119" s="56" t="s">
        <v>899</v>
      </c>
      <c r="K119" s="56"/>
      <c r="L119" s="16"/>
      <c r="M119" s="56"/>
      <c r="N119" s="55"/>
      <c r="O119" s="55"/>
      <c r="P119" s="63"/>
    </row>
    <row r="120" spans="1:16" ht="24.95" customHeight="1">
      <c r="A120" s="55" t="s">
        <v>235</v>
      </c>
      <c r="B120" s="55" t="s">
        <v>1297</v>
      </c>
      <c r="C120" s="55" t="s">
        <v>235</v>
      </c>
      <c r="D120" s="55" t="s">
        <v>8</v>
      </c>
      <c r="E120" s="55" t="s">
        <v>235</v>
      </c>
      <c r="F120" s="55" t="s">
        <v>9</v>
      </c>
      <c r="G120" s="55" t="s">
        <v>94</v>
      </c>
      <c r="H120" s="55">
        <v>4</v>
      </c>
      <c r="I120" s="55" t="s">
        <v>235</v>
      </c>
      <c r="J120" s="56" t="s">
        <v>925</v>
      </c>
      <c r="K120" s="56"/>
      <c r="L120" s="16"/>
      <c r="M120" s="56"/>
      <c r="N120" s="55"/>
      <c r="O120" s="55"/>
      <c r="P120" s="63"/>
    </row>
    <row r="121" spans="1:16" ht="24.95" customHeight="1">
      <c r="A121" s="55" t="s">
        <v>236</v>
      </c>
      <c r="B121" s="55" t="s">
        <v>1297</v>
      </c>
      <c r="C121" s="55" t="s">
        <v>236</v>
      </c>
      <c r="D121" s="55" t="s">
        <v>8</v>
      </c>
      <c r="E121" s="55" t="s">
        <v>236</v>
      </c>
      <c r="F121" s="55" t="s">
        <v>94</v>
      </c>
      <c r="G121" s="55" t="s">
        <v>9</v>
      </c>
      <c r="H121" s="55" t="s">
        <v>9</v>
      </c>
      <c r="I121" s="55" t="s">
        <v>236</v>
      </c>
      <c r="J121" s="56" t="s">
        <v>902</v>
      </c>
      <c r="K121" s="56"/>
      <c r="L121" s="16"/>
      <c r="M121" s="56"/>
      <c r="N121" s="55"/>
      <c r="O121" s="55"/>
      <c r="P121" s="63"/>
    </row>
    <row r="122" spans="1:16" ht="39.950000000000003" customHeight="1">
      <c r="A122" s="56" t="s">
        <v>237</v>
      </c>
      <c r="B122" s="55" t="s">
        <v>1297</v>
      </c>
      <c r="C122" s="56" t="s">
        <v>237</v>
      </c>
      <c r="D122" s="55" t="s">
        <v>8</v>
      </c>
      <c r="E122" s="56" t="s">
        <v>237</v>
      </c>
      <c r="F122" s="55">
        <v>20</v>
      </c>
      <c r="G122" s="55" t="s">
        <v>9</v>
      </c>
      <c r="H122" s="55"/>
      <c r="I122" s="56" t="s">
        <v>237</v>
      </c>
      <c r="J122" s="56" t="s">
        <v>147</v>
      </c>
      <c r="K122" s="56" t="s">
        <v>1065</v>
      </c>
      <c r="L122" s="16"/>
      <c r="M122" s="56" t="s">
        <v>1151</v>
      </c>
      <c r="N122" s="56" t="s">
        <v>1060</v>
      </c>
      <c r="O122" s="56" t="s">
        <v>1152</v>
      </c>
      <c r="P122" s="63" t="s">
        <v>1153</v>
      </c>
    </row>
    <row r="123" spans="1:16" s="12" customFormat="1" ht="24.95" customHeight="1">
      <c r="A123" s="15" t="s">
        <v>238</v>
      </c>
      <c r="B123" s="15" t="s">
        <v>1266</v>
      </c>
      <c r="C123" s="15" t="s">
        <v>238</v>
      </c>
      <c r="D123" s="15" t="s">
        <v>58</v>
      </c>
      <c r="E123" s="15" t="s">
        <v>238</v>
      </c>
      <c r="F123" s="15" t="s">
        <v>169</v>
      </c>
      <c r="G123" s="15" t="s">
        <v>9</v>
      </c>
      <c r="H123" s="15" t="s">
        <v>9</v>
      </c>
      <c r="I123" s="15" t="s">
        <v>238</v>
      </c>
      <c r="J123" s="16" t="s">
        <v>239</v>
      </c>
      <c r="K123" s="16"/>
      <c r="L123" s="16"/>
      <c r="M123" s="16"/>
      <c r="N123" s="15"/>
      <c r="O123" s="15"/>
      <c r="P123" s="37"/>
    </row>
    <row r="124" spans="1:16" s="12" customFormat="1" ht="24.95" customHeight="1">
      <c r="A124" s="15" t="s">
        <v>240</v>
      </c>
      <c r="B124" s="55" t="s">
        <v>1297</v>
      </c>
      <c r="C124" s="15" t="s">
        <v>240</v>
      </c>
      <c r="D124" s="15" t="s">
        <v>58</v>
      </c>
      <c r="E124" s="15" t="s">
        <v>240</v>
      </c>
      <c r="F124" s="15" t="s">
        <v>92</v>
      </c>
      <c r="G124" s="15" t="s">
        <v>101</v>
      </c>
      <c r="H124" s="15" t="s">
        <v>9</v>
      </c>
      <c r="I124" s="15" t="s">
        <v>240</v>
      </c>
      <c r="J124" s="16" t="s">
        <v>241</v>
      </c>
      <c r="K124" s="16"/>
      <c r="L124" s="16"/>
      <c r="M124" s="16"/>
      <c r="N124" s="15"/>
      <c r="O124" s="15"/>
      <c r="P124" s="37"/>
    </row>
    <row r="125" spans="1:16" ht="24.95" customHeight="1">
      <c r="A125" s="55" t="s">
        <v>242</v>
      </c>
      <c r="B125" s="55" t="s">
        <v>1297</v>
      </c>
      <c r="C125" s="55" t="s">
        <v>242</v>
      </c>
      <c r="D125" s="55" t="s">
        <v>8</v>
      </c>
      <c r="E125" s="55" t="s">
        <v>242</v>
      </c>
      <c r="F125" s="55" t="s">
        <v>86</v>
      </c>
      <c r="G125" s="55" t="s">
        <v>102</v>
      </c>
      <c r="H125" s="55" t="s">
        <v>9</v>
      </c>
      <c r="I125" s="55" t="s">
        <v>242</v>
      </c>
      <c r="J125" s="56" t="s">
        <v>927</v>
      </c>
      <c r="K125" s="56"/>
      <c r="L125" s="16"/>
      <c r="M125" s="56"/>
      <c r="N125" s="55"/>
      <c r="O125" s="55"/>
      <c r="P125" s="63"/>
    </row>
    <row r="126" spans="1:16" ht="24.95" customHeight="1">
      <c r="A126" s="55" t="s">
        <v>243</v>
      </c>
      <c r="B126" s="55" t="s">
        <v>1297</v>
      </c>
      <c r="C126" s="55" t="s">
        <v>243</v>
      </c>
      <c r="D126" s="55" t="s">
        <v>58</v>
      </c>
      <c r="E126" s="55" t="s">
        <v>243</v>
      </c>
      <c r="F126" s="55" t="s">
        <v>86</v>
      </c>
      <c r="G126" s="55" t="s">
        <v>9</v>
      </c>
      <c r="H126" s="55" t="s">
        <v>9</v>
      </c>
      <c r="I126" s="55" t="s">
        <v>243</v>
      </c>
      <c r="J126" s="56" t="s">
        <v>244</v>
      </c>
      <c r="K126" s="56"/>
      <c r="L126" s="16"/>
      <c r="M126" s="56"/>
      <c r="N126" s="55"/>
      <c r="O126" s="55"/>
      <c r="P126" s="63"/>
    </row>
    <row r="127" spans="1:16" ht="24.95" customHeight="1">
      <c r="A127" s="55" t="s">
        <v>245</v>
      </c>
      <c r="B127" s="55" t="s">
        <v>1297</v>
      </c>
      <c r="C127" s="55" t="s">
        <v>245</v>
      </c>
      <c r="D127" s="55" t="s">
        <v>58</v>
      </c>
      <c r="E127" s="55" t="s">
        <v>245</v>
      </c>
      <c r="F127" s="55" t="s">
        <v>94</v>
      </c>
      <c r="G127" s="55" t="s">
        <v>9</v>
      </c>
      <c r="H127" s="55" t="s">
        <v>9</v>
      </c>
      <c r="I127" s="55" t="s">
        <v>245</v>
      </c>
      <c r="J127" s="56" t="s">
        <v>899</v>
      </c>
      <c r="K127" s="56"/>
      <c r="L127" s="16"/>
      <c r="M127" s="56"/>
      <c r="N127" s="55"/>
      <c r="O127" s="55"/>
      <c r="P127" s="63"/>
    </row>
    <row r="128" spans="1:16" ht="24.95" customHeight="1">
      <c r="A128" s="55" t="s">
        <v>246</v>
      </c>
      <c r="B128" s="55" t="s">
        <v>1297</v>
      </c>
      <c r="C128" s="55" t="s">
        <v>246</v>
      </c>
      <c r="D128" s="55" t="s">
        <v>58</v>
      </c>
      <c r="E128" s="55" t="s">
        <v>246</v>
      </c>
      <c r="F128" s="55" t="s">
        <v>88</v>
      </c>
      <c r="G128" s="55" t="s">
        <v>9</v>
      </c>
      <c r="H128" s="55" t="s">
        <v>9</v>
      </c>
      <c r="I128" s="55" t="s">
        <v>246</v>
      </c>
      <c r="J128" s="56" t="s">
        <v>928</v>
      </c>
      <c r="K128" s="56"/>
      <c r="L128" s="16"/>
      <c r="M128" s="56"/>
      <c r="N128" s="55"/>
      <c r="O128" s="55"/>
      <c r="P128" s="63"/>
    </row>
    <row r="129" spans="1:16" ht="24.95" customHeight="1">
      <c r="A129" s="55" t="s">
        <v>247</v>
      </c>
      <c r="B129" s="55" t="s">
        <v>1297</v>
      </c>
      <c r="C129" s="55" t="s">
        <v>247</v>
      </c>
      <c r="D129" s="55" t="s">
        <v>58</v>
      </c>
      <c r="E129" s="55" t="s">
        <v>247</v>
      </c>
      <c r="F129" s="55" t="s">
        <v>94</v>
      </c>
      <c r="G129" s="55" t="s">
        <v>9</v>
      </c>
      <c r="H129" s="55" t="s">
        <v>9</v>
      </c>
      <c r="I129" s="55" t="s">
        <v>247</v>
      </c>
      <c r="J129" s="56" t="s">
        <v>928</v>
      </c>
      <c r="K129" s="56"/>
      <c r="L129" s="16"/>
      <c r="M129" s="56"/>
      <c r="N129" s="55"/>
      <c r="O129" s="55"/>
      <c r="P129" s="63"/>
    </row>
    <row r="130" spans="1:16" ht="24.95" customHeight="1">
      <c r="A130" s="55" t="s">
        <v>248</v>
      </c>
      <c r="B130" s="55" t="s">
        <v>1297</v>
      </c>
      <c r="C130" s="55" t="s">
        <v>248</v>
      </c>
      <c r="D130" s="55" t="s">
        <v>58</v>
      </c>
      <c r="E130" s="55" t="s">
        <v>248</v>
      </c>
      <c r="F130" s="55" t="s">
        <v>92</v>
      </c>
      <c r="G130" s="55" t="s">
        <v>9</v>
      </c>
      <c r="H130" s="55" t="s">
        <v>9</v>
      </c>
      <c r="I130" s="55" t="s">
        <v>248</v>
      </c>
      <c r="J130" s="56" t="s">
        <v>249</v>
      </c>
      <c r="K130" s="56"/>
      <c r="L130" s="16"/>
      <c r="M130" s="56"/>
      <c r="N130" s="55"/>
      <c r="O130" s="55"/>
      <c r="P130" s="63"/>
    </row>
    <row r="131" spans="1:16" ht="24.95" customHeight="1">
      <c r="A131" s="55" t="s">
        <v>250</v>
      </c>
      <c r="B131" s="55" t="s">
        <v>1297</v>
      </c>
      <c r="C131" s="55" t="s">
        <v>250</v>
      </c>
      <c r="D131" s="55" t="s">
        <v>58</v>
      </c>
      <c r="E131" s="55" t="s">
        <v>250</v>
      </c>
      <c r="F131" s="55" t="s">
        <v>99</v>
      </c>
      <c r="G131" s="55" t="s">
        <v>9</v>
      </c>
      <c r="H131" s="55" t="s">
        <v>9</v>
      </c>
      <c r="I131" s="55" t="s">
        <v>250</v>
      </c>
      <c r="J131" s="56" t="s">
        <v>899</v>
      </c>
      <c r="K131" s="56"/>
      <c r="L131" s="16"/>
      <c r="M131" s="56"/>
      <c r="N131" s="55"/>
      <c r="O131" s="55"/>
      <c r="P131" s="63"/>
    </row>
    <row r="132" spans="1:16" ht="24.95" customHeight="1">
      <c r="A132" s="55" t="s">
        <v>251</v>
      </c>
      <c r="B132" s="55" t="s">
        <v>1297</v>
      </c>
      <c r="C132" s="55" t="s">
        <v>251</v>
      </c>
      <c r="D132" s="55" t="s">
        <v>58</v>
      </c>
      <c r="E132" s="55" t="s">
        <v>251</v>
      </c>
      <c r="F132" s="55" t="s">
        <v>88</v>
      </c>
      <c r="G132" s="55" t="s">
        <v>9</v>
      </c>
      <c r="H132" s="55" t="s">
        <v>9</v>
      </c>
      <c r="I132" s="55" t="s">
        <v>251</v>
      </c>
      <c r="J132" s="56" t="s">
        <v>195</v>
      </c>
      <c r="K132" s="56"/>
      <c r="L132" s="16"/>
      <c r="M132" s="56"/>
      <c r="N132" s="55"/>
      <c r="O132" s="55"/>
      <c r="P132" s="63"/>
    </row>
    <row r="133" spans="1:16" ht="24.95" customHeight="1">
      <c r="A133" s="55" t="s">
        <v>252</v>
      </c>
      <c r="B133" s="55" t="s">
        <v>1297</v>
      </c>
      <c r="C133" s="55" t="s">
        <v>252</v>
      </c>
      <c r="D133" s="55" t="s">
        <v>58</v>
      </c>
      <c r="E133" s="55" t="s">
        <v>252</v>
      </c>
      <c r="F133" s="55" t="s">
        <v>110</v>
      </c>
      <c r="G133" s="55" t="s">
        <v>9</v>
      </c>
      <c r="H133" s="55" t="s">
        <v>9</v>
      </c>
      <c r="I133" s="55" t="s">
        <v>252</v>
      </c>
      <c r="J133" s="56" t="s">
        <v>253</v>
      </c>
      <c r="K133" s="56"/>
      <c r="L133" s="16"/>
      <c r="M133" s="56"/>
      <c r="N133" s="55"/>
      <c r="O133" s="55"/>
      <c r="P133" s="63"/>
    </row>
    <row r="134" spans="1:16" ht="24.95" customHeight="1">
      <c r="A134" s="55" t="s">
        <v>254</v>
      </c>
      <c r="B134" s="55" t="s">
        <v>1297</v>
      </c>
      <c r="C134" s="55" t="s">
        <v>254</v>
      </c>
      <c r="D134" s="55" t="s">
        <v>8</v>
      </c>
      <c r="E134" s="55" t="s">
        <v>254</v>
      </c>
      <c r="F134" s="55" t="s">
        <v>94</v>
      </c>
      <c r="G134" s="55" t="s">
        <v>9</v>
      </c>
      <c r="H134" s="55" t="s">
        <v>9</v>
      </c>
      <c r="I134" s="55" t="s">
        <v>254</v>
      </c>
      <c r="J134" s="56" t="s">
        <v>929</v>
      </c>
      <c r="K134" s="56"/>
      <c r="L134" s="16"/>
      <c r="M134" s="56"/>
      <c r="N134" s="55"/>
      <c r="O134" s="55"/>
      <c r="P134" s="63"/>
    </row>
    <row r="135" spans="1:16" ht="24.95" customHeight="1">
      <c r="A135" s="55" t="s">
        <v>255</v>
      </c>
      <c r="B135" s="55" t="s">
        <v>1297</v>
      </c>
      <c r="C135" s="55" t="s">
        <v>255</v>
      </c>
      <c r="D135" s="55" t="s">
        <v>58</v>
      </c>
      <c r="E135" s="55" t="s">
        <v>255</v>
      </c>
      <c r="F135" s="55" t="s">
        <v>99</v>
      </c>
      <c r="G135" s="55" t="s">
        <v>9</v>
      </c>
      <c r="H135" s="55" t="s">
        <v>9</v>
      </c>
      <c r="I135" s="55" t="s">
        <v>255</v>
      </c>
      <c r="J135" s="56" t="s">
        <v>899</v>
      </c>
      <c r="K135" s="56"/>
      <c r="L135" s="16"/>
      <c r="M135" s="56"/>
      <c r="N135" s="55"/>
      <c r="O135" s="55"/>
      <c r="P135" s="63"/>
    </row>
    <row r="136" spans="1:16" ht="24.95" customHeight="1">
      <c r="A136" s="55" t="s">
        <v>256</v>
      </c>
      <c r="B136" s="55" t="s">
        <v>1297</v>
      </c>
      <c r="C136" s="55" t="s">
        <v>256</v>
      </c>
      <c r="D136" s="55" t="s">
        <v>58</v>
      </c>
      <c r="E136" s="55" t="s">
        <v>256</v>
      </c>
      <c r="F136" s="55" t="s">
        <v>107</v>
      </c>
      <c r="G136" s="55" t="s">
        <v>9</v>
      </c>
      <c r="H136" s="55" t="s">
        <v>9</v>
      </c>
      <c r="I136" s="55" t="s">
        <v>256</v>
      </c>
      <c r="J136" s="56" t="s">
        <v>930</v>
      </c>
      <c r="K136" s="56"/>
      <c r="L136" s="16"/>
      <c r="M136" s="56"/>
      <c r="N136" s="55"/>
      <c r="O136" s="55"/>
      <c r="P136" s="63"/>
    </row>
    <row r="137" spans="1:16" ht="24.95" customHeight="1">
      <c r="A137" s="55" t="s">
        <v>257</v>
      </c>
      <c r="B137" s="55" t="s">
        <v>1297</v>
      </c>
      <c r="C137" s="55" t="s">
        <v>257</v>
      </c>
      <c r="D137" s="55" t="s">
        <v>8</v>
      </c>
      <c r="E137" s="55" t="s">
        <v>257</v>
      </c>
      <c r="F137" s="55" t="s">
        <v>92</v>
      </c>
      <c r="G137" s="55" t="s">
        <v>258</v>
      </c>
      <c r="H137" s="55" t="s">
        <v>9</v>
      </c>
      <c r="I137" s="55" t="s">
        <v>257</v>
      </c>
      <c r="J137" s="56" t="s">
        <v>931</v>
      </c>
      <c r="K137" s="56"/>
      <c r="L137" s="16"/>
      <c r="M137" s="56"/>
      <c r="N137" s="55"/>
      <c r="O137" s="55"/>
      <c r="P137" s="63"/>
    </row>
    <row r="138" spans="1:16" ht="39.950000000000003" customHeight="1">
      <c r="A138" s="56" t="s">
        <v>259</v>
      </c>
      <c r="B138" s="56" t="s">
        <v>1260</v>
      </c>
      <c r="C138" s="56" t="s">
        <v>259</v>
      </c>
      <c r="D138" s="15" t="s">
        <v>58</v>
      </c>
      <c r="E138" s="56" t="s">
        <v>259</v>
      </c>
      <c r="F138" s="55">
        <v>0.04</v>
      </c>
      <c r="G138" s="55" t="s">
        <v>9</v>
      </c>
      <c r="H138" s="55" t="s">
        <v>9</v>
      </c>
      <c r="I138" s="56" t="s">
        <v>259</v>
      </c>
      <c r="J138" s="56" t="s">
        <v>260</v>
      </c>
      <c r="K138" s="56" t="s">
        <v>1135</v>
      </c>
      <c r="L138" s="16" t="s">
        <v>1154</v>
      </c>
      <c r="M138" s="68" t="s">
        <v>1231</v>
      </c>
      <c r="N138" s="56" t="s">
        <v>1232</v>
      </c>
      <c r="O138" s="56" t="s">
        <v>1155</v>
      </c>
      <c r="P138" s="64" t="s">
        <v>1156</v>
      </c>
    </row>
    <row r="139" spans="1:16" s="12" customFormat="1" ht="24.95" customHeight="1">
      <c r="A139" s="15" t="s">
        <v>262</v>
      </c>
      <c r="B139" s="55" t="s">
        <v>1297</v>
      </c>
      <c r="C139" s="15" t="s">
        <v>262</v>
      </c>
      <c r="D139" s="15" t="s">
        <v>58</v>
      </c>
      <c r="E139" s="15" t="s">
        <v>262</v>
      </c>
      <c r="F139" s="15" t="s">
        <v>86</v>
      </c>
      <c r="G139" s="15" t="s">
        <v>9</v>
      </c>
      <c r="H139" s="15" t="s">
        <v>9</v>
      </c>
      <c r="I139" s="15" t="s">
        <v>262</v>
      </c>
      <c r="J139" s="16" t="s">
        <v>903</v>
      </c>
      <c r="K139" s="16"/>
      <c r="L139" s="16"/>
      <c r="M139" s="16"/>
      <c r="N139" s="15"/>
      <c r="O139" s="15"/>
      <c r="P139" s="37"/>
    </row>
    <row r="140" spans="1:16" s="12" customFormat="1" ht="24.95" customHeight="1">
      <c r="A140" s="15" t="s">
        <v>263</v>
      </c>
      <c r="B140" s="55" t="s">
        <v>1297</v>
      </c>
      <c r="C140" s="15" t="s">
        <v>263</v>
      </c>
      <c r="D140" s="15" t="s">
        <v>58</v>
      </c>
      <c r="E140" s="15" t="s">
        <v>263</v>
      </c>
      <c r="F140" s="15" t="s">
        <v>92</v>
      </c>
      <c r="G140" s="15" t="s">
        <v>9</v>
      </c>
      <c r="H140" s="15" t="s">
        <v>9</v>
      </c>
      <c r="I140" s="15" t="s">
        <v>263</v>
      </c>
      <c r="J140" s="16" t="s">
        <v>147</v>
      </c>
      <c r="K140" s="16"/>
      <c r="L140" s="16"/>
      <c r="M140" s="16"/>
      <c r="N140" s="15"/>
      <c r="O140" s="15"/>
      <c r="P140" s="37"/>
    </row>
    <row r="141" spans="1:16" s="12" customFormat="1" ht="24.95" customHeight="1">
      <c r="A141" s="15" t="s">
        <v>264</v>
      </c>
      <c r="B141" s="55" t="s">
        <v>1297</v>
      </c>
      <c r="C141" s="15" t="s">
        <v>264</v>
      </c>
      <c r="D141" s="15" t="s">
        <v>8</v>
      </c>
      <c r="E141" s="15" t="s">
        <v>264</v>
      </c>
      <c r="F141" s="21" t="s">
        <v>9</v>
      </c>
      <c r="G141" s="21">
        <v>4136</v>
      </c>
      <c r="H141" s="15" t="s">
        <v>9</v>
      </c>
      <c r="I141" s="15" t="s">
        <v>264</v>
      </c>
      <c r="J141" s="16" t="s">
        <v>898</v>
      </c>
      <c r="K141" s="16"/>
      <c r="L141" s="16"/>
      <c r="M141" s="16"/>
      <c r="N141" s="15"/>
      <c r="O141" s="15"/>
      <c r="P141" s="37"/>
    </row>
    <row r="142" spans="1:16" s="12" customFormat="1" ht="24.95" customHeight="1">
      <c r="A142" s="15" t="s">
        <v>266</v>
      </c>
      <c r="B142" s="55" t="s">
        <v>1297</v>
      </c>
      <c r="C142" s="15" t="s">
        <v>266</v>
      </c>
      <c r="D142" s="15" t="s">
        <v>8</v>
      </c>
      <c r="E142" s="15" t="s">
        <v>266</v>
      </c>
      <c r="F142" s="15" t="s">
        <v>114</v>
      </c>
      <c r="G142" s="15" t="s">
        <v>9</v>
      </c>
      <c r="H142" s="15" t="s">
        <v>9</v>
      </c>
      <c r="I142" s="15" t="s">
        <v>266</v>
      </c>
      <c r="J142" s="16" t="s">
        <v>922</v>
      </c>
      <c r="K142" s="16"/>
      <c r="L142" s="16"/>
      <c r="M142" s="16"/>
      <c r="N142" s="15"/>
      <c r="O142" s="15"/>
      <c r="P142" s="37"/>
    </row>
    <row r="143" spans="1:16" s="12" customFormat="1" ht="24.95" customHeight="1">
      <c r="A143" s="15" t="s">
        <v>267</v>
      </c>
      <c r="B143" s="55" t="s">
        <v>1297</v>
      </c>
      <c r="C143" s="15" t="s">
        <v>267</v>
      </c>
      <c r="D143" s="15" t="s">
        <v>8</v>
      </c>
      <c r="E143" s="15" t="s">
        <v>267</v>
      </c>
      <c r="F143" s="15" t="s">
        <v>114</v>
      </c>
      <c r="G143" s="15" t="s">
        <v>9</v>
      </c>
      <c r="H143" s="15" t="s">
        <v>9</v>
      </c>
      <c r="I143" s="15" t="s">
        <v>267</v>
      </c>
      <c r="J143" s="16" t="s">
        <v>147</v>
      </c>
      <c r="K143" s="16"/>
      <c r="L143" s="16"/>
      <c r="M143" s="16"/>
      <c r="N143" s="15"/>
      <c r="O143" s="15"/>
      <c r="P143" s="37"/>
    </row>
    <row r="144" spans="1:16" s="12" customFormat="1" ht="24.95" customHeight="1">
      <c r="A144" s="15" t="s">
        <v>268</v>
      </c>
      <c r="B144" s="55" t="s">
        <v>1297</v>
      </c>
      <c r="C144" s="15" t="s">
        <v>268</v>
      </c>
      <c r="D144" s="15" t="s">
        <v>8</v>
      </c>
      <c r="E144" s="15" t="s">
        <v>268</v>
      </c>
      <c r="F144" s="15" t="s">
        <v>9</v>
      </c>
      <c r="G144" s="15">
        <v>4.4000000000000004</v>
      </c>
      <c r="H144" s="15">
        <v>8</v>
      </c>
      <c r="I144" s="15" t="s">
        <v>268</v>
      </c>
      <c r="J144" s="16" t="s">
        <v>932</v>
      </c>
      <c r="K144" s="16"/>
      <c r="L144" s="16"/>
      <c r="M144" s="16"/>
      <c r="N144" s="15"/>
      <c r="O144" s="15"/>
      <c r="P144" s="37"/>
    </row>
    <row r="145" spans="1:16" s="12" customFormat="1" ht="24.95" customHeight="1">
      <c r="A145" s="15" t="s">
        <v>269</v>
      </c>
      <c r="B145" s="55" t="s">
        <v>1297</v>
      </c>
      <c r="C145" s="15" t="s">
        <v>269</v>
      </c>
      <c r="D145" s="15" t="s">
        <v>8</v>
      </c>
      <c r="E145" s="15" t="s">
        <v>269</v>
      </c>
      <c r="F145" s="15">
        <v>88</v>
      </c>
      <c r="G145" s="15" t="s">
        <v>9</v>
      </c>
      <c r="H145" s="15">
        <v>235</v>
      </c>
      <c r="I145" s="15" t="s">
        <v>269</v>
      </c>
      <c r="J145" s="16" t="s">
        <v>140</v>
      </c>
      <c r="K145" s="16"/>
      <c r="L145" s="16"/>
      <c r="M145" s="16"/>
      <c r="N145" s="15"/>
      <c r="O145" s="15"/>
      <c r="P145" s="37"/>
    </row>
    <row r="146" spans="1:16" s="12" customFormat="1" ht="24.95" customHeight="1">
      <c r="A146" s="15" t="s">
        <v>270</v>
      </c>
      <c r="B146" s="55" t="s">
        <v>1297</v>
      </c>
      <c r="C146" s="15" t="s">
        <v>270</v>
      </c>
      <c r="D146" s="15" t="s">
        <v>8</v>
      </c>
      <c r="E146" s="15" t="s">
        <v>270</v>
      </c>
      <c r="F146" s="15">
        <v>44</v>
      </c>
      <c r="G146" s="15" t="s">
        <v>9</v>
      </c>
      <c r="H146" s="15">
        <v>40</v>
      </c>
      <c r="I146" s="15" t="s">
        <v>270</v>
      </c>
      <c r="J146" s="16" t="s">
        <v>933</v>
      </c>
      <c r="K146" s="16"/>
      <c r="L146" s="16"/>
      <c r="M146" s="16"/>
      <c r="N146" s="15"/>
      <c r="O146" s="15"/>
      <c r="P146" s="37"/>
    </row>
    <row r="147" spans="1:16" ht="24.95" customHeight="1">
      <c r="A147" s="56" t="s">
        <v>271</v>
      </c>
      <c r="B147" s="55" t="s">
        <v>1297</v>
      </c>
      <c r="C147" s="56" t="s">
        <v>271</v>
      </c>
      <c r="D147" s="55" t="s">
        <v>8</v>
      </c>
      <c r="E147" s="56" t="s">
        <v>271</v>
      </c>
      <c r="F147" s="55">
        <v>17.600000000000001</v>
      </c>
      <c r="G147" s="55">
        <v>44</v>
      </c>
      <c r="H147" s="55" t="s">
        <v>9</v>
      </c>
      <c r="I147" s="56" t="s">
        <v>271</v>
      </c>
      <c r="J147" s="56" t="s">
        <v>147</v>
      </c>
      <c r="K147" s="56" t="s">
        <v>1065</v>
      </c>
      <c r="L147" s="16" t="s">
        <v>1157</v>
      </c>
      <c r="M147" s="56" t="s">
        <v>1234</v>
      </c>
      <c r="N147" s="56" t="s">
        <v>1233</v>
      </c>
      <c r="O147" s="55" t="s">
        <v>1159</v>
      </c>
      <c r="P147" s="63" t="s">
        <v>1158</v>
      </c>
    </row>
    <row r="148" spans="1:16" s="12" customFormat="1" ht="24.95" customHeight="1">
      <c r="A148" s="15" t="s">
        <v>272</v>
      </c>
      <c r="B148" s="55" t="s">
        <v>1297</v>
      </c>
      <c r="C148" s="15" t="s">
        <v>272</v>
      </c>
      <c r="D148" s="15" t="s">
        <v>8</v>
      </c>
      <c r="E148" s="15" t="s">
        <v>272</v>
      </c>
      <c r="F148" s="15">
        <v>264</v>
      </c>
      <c r="G148" s="15" t="s">
        <v>9</v>
      </c>
      <c r="H148" s="15" t="s">
        <v>9</v>
      </c>
      <c r="I148" s="15" t="s">
        <v>272</v>
      </c>
      <c r="J148" s="16" t="s">
        <v>147</v>
      </c>
      <c r="K148" s="16"/>
      <c r="L148" s="16"/>
      <c r="M148" s="16"/>
      <c r="N148" s="15"/>
      <c r="O148" s="15"/>
      <c r="P148" s="37"/>
    </row>
    <row r="149" spans="1:16" s="12" customFormat="1" ht="24.95" customHeight="1">
      <c r="A149" s="15" t="s">
        <v>273</v>
      </c>
      <c r="B149" s="55" t="s">
        <v>1297</v>
      </c>
      <c r="C149" s="15" t="s">
        <v>273</v>
      </c>
      <c r="D149" s="15" t="s">
        <v>8</v>
      </c>
      <c r="E149" s="15" t="s">
        <v>273</v>
      </c>
      <c r="F149" s="15" t="s">
        <v>99</v>
      </c>
      <c r="G149" s="15" t="s">
        <v>9</v>
      </c>
      <c r="H149" s="15">
        <v>8</v>
      </c>
      <c r="I149" s="15" t="s">
        <v>273</v>
      </c>
      <c r="J149" s="16" t="s">
        <v>147</v>
      </c>
      <c r="K149" s="16"/>
      <c r="L149" s="16"/>
      <c r="M149" s="16"/>
      <c r="N149" s="15"/>
      <c r="O149" s="15"/>
      <c r="P149" s="37"/>
    </row>
    <row r="150" spans="1:16" s="12" customFormat="1" ht="24.95" customHeight="1">
      <c r="A150" s="15" t="s">
        <v>274</v>
      </c>
      <c r="B150" s="55" t="s">
        <v>1297</v>
      </c>
      <c r="C150" s="15" t="s">
        <v>274</v>
      </c>
      <c r="D150" s="15" t="s">
        <v>58</v>
      </c>
      <c r="E150" s="15" t="s">
        <v>274</v>
      </c>
      <c r="F150" s="15" t="s">
        <v>92</v>
      </c>
      <c r="G150" s="15" t="s">
        <v>9</v>
      </c>
      <c r="H150" s="15" t="s">
        <v>9</v>
      </c>
      <c r="I150" s="15" t="s">
        <v>274</v>
      </c>
      <c r="J150" s="16" t="s">
        <v>275</v>
      </c>
      <c r="K150" s="16"/>
      <c r="L150" s="16"/>
      <c r="M150" s="16"/>
      <c r="N150" s="15"/>
      <c r="O150" s="15"/>
      <c r="P150" s="37"/>
    </row>
    <row r="151" spans="1:16" s="12" customFormat="1" ht="24.95" customHeight="1">
      <c r="A151" s="15" t="s">
        <v>276</v>
      </c>
      <c r="B151" s="55" t="s">
        <v>1297</v>
      </c>
      <c r="C151" s="15" t="s">
        <v>276</v>
      </c>
      <c r="D151" s="15" t="s">
        <v>8</v>
      </c>
      <c r="E151" s="15" t="s">
        <v>276</v>
      </c>
      <c r="F151" s="15">
        <v>66</v>
      </c>
      <c r="G151" s="15" t="s">
        <v>9</v>
      </c>
      <c r="H151" s="15" t="s">
        <v>9</v>
      </c>
      <c r="I151" s="15" t="s">
        <v>276</v>
      </c>
      <c r="J151" s="16" t="s">
        <v>147</v>
      </c>
      <c r="K151" s="16"/>
      <c r="L151" s="16"/>
      <c r="M151" s="16"/>
      <c r="N151" s="15"/>
      <c r="O151" s="15"/>
      <c r="P151" s="37"/>
    </row>
    <row r="152" spans="1:16" s="12" customFormat="1" ht="24.95" customHeight="1">
      <c r="A152" s="15" t="s">
        <v>277</v>
      </c>
      <c r="B152" s="55" t="s">
        <v>1297</v>
      </c>
      <c r="C152" s="15" t="s">
        <v>277</v>
      </c>
      <c r="D152" s="15" t="s">
        <v>8</v>
      </c>
      <c r="E152" s="15" t="s">
        <v>277</v>
      </c>
      <c r="F152" s="15">
        <v>528</v>
      </c>
      <c r="G152" s="15" t="s">
        <v>9</v>
      </c>
      <c r="H152" s="15" t="s">
        <v>9</v>
      </c>
      <c r="I152" s="15" t="s">
        <v>277</v>
      </c>
      <c r="J152" s="16" t="s">
        <v>934</v>
      </c>
      <c r="K152" s="16"/>
      <c r="L152" s="16"/>
      <c r="M152" s="16"/>
      <c r="N152" s="15"/>
      <c r="O152" s="15"/>
      <c r="P152" s="37"/>
    </row>
    <row r="153" spans="1:16" s="12" customFormat="1" ht="24.95" customHeight="1">
      <c r="A153" s="15" t="s">
        <v>278</v>
      </c>
      <c r="B153" s="55" t="s">
        <v>1297</v>
      </c>
      <c r="C153" s="15" t="s">
        <v>278</v>
      </c>
      <c r="D153" s="15" t="s">
        <v>58</v>
      </c>
      <c r="E153" s="15" t="s">
        <v>278</v>
      </c>
      <c r="F153" s="15" t="s">
        <v>94</v>
      </c>
      <c r="G153" s="15" t="s">
        <v>9</v>
      </c>
      <c r="H153" s="15" t="s">
        <v>9</v>
      </c>
      <c r="I153" s="15" t="s">
        <v>278</v>
      </c>
      <c r="J153" s="16" t="s">
        <v>935</v>
      </c>
      <c r="K153" s="16"/>
      <c r="L153" s="16"/>
      <c r="M153" s="16"/>
      <c r="N153" s="15"/>
      <c r="O153" s="15"/>
      <c r="P153" s="37"/>
    </row>
    <row r="154" spans="1:16" s="12" customFormat="1" ht="24.95" customHeight="1">
      <c r="A154" s="15" t="s">
        <v>279</v>
      </c>
      <c r="B154" s="55" t="s">
        <v>1297</v>
      </c>
      <c r="C154" s="15" t="s">
        <v>279</v>
      </c>
      <c r="D154" s="15" t="s">
        <v>58</v>
      </c>
      <c r="E154" s="15" t="s">
        <v>279</v>
      </c>
      <c r="F154" s="15" t="s">
        <v>101</v>
      </c>
      <c r="G154" s="15" t="s">
        <v>9</v>
      </c>
      <c r="H154" s="15" t="s">
        <v>9</v>
      </c>
      <c r="I154" s="15" t="s">
        <v>279</v>
      </c>
      <c r="J154" s="16" t="s">
        <v>280</v>
      </c>
      <c r="K154" s="16"/>
      <c r="L154" s="16"/>
      <c r="M154" s="16"/>
      <c r="N154" s="15"/>
      <c r="O154" s="15"/>
      <c r="P154" s="37"/>
    </row>
    <row r="155" spans="1:16" s="12" customFormat="1" ht="24.95" customHeight="1">
      <c r="A155" s="15" t="s">
        <v>281</v>
      </c>
      <c r="B155" s="55" t="s">
        <v>1297</v>
      </c>
      <c r="C155" s="15" t="s">
        <v>281</v>
      </c>
      <c r="D155" s="15" t="s">
        <v>8</v>
      </c>
      <c r="E155" s="15" t="s">
        <v>281</v>
      </c>
      <c r="F155" s="15" t="s">
        <v>94</v>
      </c>
      <c r="G155" s="15" t="s">
        <v>9</v>
      </c>
      <c r="H155" s="15" t="s">
        <v>9</v>
      </c>
      <c r="I155" s="15" t="s">
        <v>281</v>
      </c>
      <c r="J155" s="16" t="s">
        <v>936</v>
      </c>
      <c r="K155" s="16"/>
      <c r="L155" s="16"/>
      <c r="M155" s="16"/>
      <c r="N155" s="15"/>
      <c r="O155" s="15"/>
      <c r="P155" s="37"/>
    </row>
    <row r="156" spans="1:16" s="12" customFormat="1" ht="24.95" customHeight="1">
      <c r="A156" s="15" t="s">
        <v>282</v>
      </c>
      <c r="B156" s="55" t="s">
        <v>1297</v>
      </c>
      <c r="C156" s="15" t="s">
        <v>282</v>
      </c>
      <c r="D156" s="15" t="s">
        <v>58</v>
      </c>
      <c r="E156" s="15" t="s">
        <v>282</v>
      </c>
      <c r="F156" s="15" t="s">
        <v>102</v>
      </c>
      <c r="G156" s="15" t="s">
        <v>9</v>
      </c>
      <c r="H156" s="15" t="s">
        <v>9</v>
      </c>
      <c r="I156" s="15" t="s">
        <v>282</v>
      </c>
      <c r="J156" s="16" t="s">
        <v>283</v>
      </c>
      <c r="K156" s="16"/>
      <c r="L156" s="16"/>
      <c r="M156" s="16"/>
      <c r="N156" s="15"/>
      <c r="O156" s="15"/>
      <c r="P156" s="37"/>
    </row>
    <row r="157" spans="1:16" s="12" customFormat="1" ht="24.95" customHeight="1">
      <c r="A157" s="15" t="s">
        <v>284</v>
      </c>
      <c r="B157" s="55" t="s">
        <v>1297</v>
      </c>
      <c r="C157" s="15" t="s">
        <v>284</v>
      </c>
      <c r="D157" s="15" t="s">
        <v>58</v>
      </c>
      <c r="E157" s="15" t="s">
        <v>284</v>
      </c>
      <c r="F157" s="15" t="s">
        <v>92</v>
      </c>
      <c r="G157" s="15" t="s">
        <v>9</v>
      </c>
      <c r="H157" s="15" t="s">
        <v>9</v>
      </c>
      <c r="I157" s="15" t="s">
        <v>284</v>
      </c>
      <c r="J157" s="16" t="s">
        <v>275</v>
      </c>
      <c r="K157" s="16"/>
      <c r="L157" s="16"/>
      <c r="M157" s="16"/>
      <c r="N157" s="15"/>
      <c r="O157" s="15"/>
      <c r="P157" s="37"/>
    </row>
    <row r="158" spans="1:16" s="12" customFormat="1" ht="24.95" customHeight="1">
      <c r="A158" s="15" t="s">
        <v>285</v>
      </c>
      <c r="B158" s="15" t="s">
        <v>1269</v>
      </c>
      <c r="C158" s="15" t="s">
        <v>285</v>
      </c>
      <c r="D158" s="15" t="s">
        <v>8</v>
      </c>
      <c r="E158" s="15" t="s">
        <v>285</v>
      </c>
      <c r="F158" s="15" t="s">
        <v>101</v>
      </c>
      <c r="G158" s="15" t="s">
        <v>86</v>
      </c>
      <c r="H158" s="15" t="s">
        <v>9</v>
      </c>
      <c r="I158" s="15" t="s">
        <v>285</v>
      </c>
      <c r="J158" s="16" t="s">
        <v>937</v>
      </c>
      <c r="K158" s="16"/>
      <c r="L158" s="16"/>
      <c r="M158" s="16"/>
      <c r="N158" s="15"/>
      <c r="O158" s="15"/>
      <c r="P158" s="37"/>
    </row>
    <row r="159" spans="1:16" s="12" customFormat="1" ht="24.95" customHeight="1">
      <c r="A159" s="15" t="s">
        <v>286</v>
      </c>
      <c r="B159" s="15" t="s">
        <v>1270</v>
      </c>
      <c r="C159" s="15" t="s">
        <v>286</v>
      </c>
      <c r="D159" s="15" t="s">
        <v>58</v>
      </c>
      <c r="E159" s="15" t="s">
        <v>286</v>
      </c>
      <c r="F159" s="15" t="s">
        <v>99</v>
      </c>
      <c r="G159" s="15" t="s">
        <v>104</v>
      </c>
      <c r="H159" s="15" t="s">
        <v>9</v>
      </c>
      <c r="I159" s="15" t="s">
        <v>286</v>
      </c>
      <c r="J159" s="16" t="s">
        <v>912</v>
      </c>
      <c r="K159" s="16"/>
      <c r="L159" s="16"/>
      <c r="M159" s="16"/>
      <c r="N159" s="16"/>
      <c r="O159" s="16"/>
      <c r="P159" s="42"/>
    </row>
    <row r="160" spans="1:16" s="12" customFormat="1" ht="24.95" customHeight="1">
      <c r="A160" s="15" t="s">
        <v>287</v>
      </c>
      <c r="B160" s="15" t="s">
        <v>1271</v>
      </c>
      <c r="C160" s="15" t="s">
        <v>287</v>
      </c>
      <c r="D160" s="15" t="s">
        <v>8</v>
      </c>
      <c r="E160" s="15" t="s">
        <v>287</v>
      </c>
      <c r="F160" s="15" t="s">
        <v>101</v>
      </c>
      <c r="G160" s="15" t="s">
        <v>9</v>
      </c>
      <c r="H160" s="15" t="s">
        <v>9</v>
      </c>
      <c r="I160" s="15" t="s">
        <v>287</v>
      </c>
      <c r="J160" s="16" t="s">
        <v>902</v>
      </c>
      <c r="K160" s="16"/>
      <c r="L160" s="16"/>
      <c r="M160" s="16"/>
      <c r="N160" s="16"/>
      <c r="O160" s="16"/>
      <c r="P160" s="42"/>
    </row>
    <row r="161" spans="1:16" s="12" customFormat="1" ht="24.95" customHeight="1">
      <c r="A161" s="15" t="s">
        <v>288</v>
      </c>
      <c r="B161" s="15" t="s">
        <v>1272</v>
      </c>
      <c r="C161" s="15" t="s">
        <v>288</v>
      </c>
      <c r="D161" s="15" t="s">
        <v>8</v>
      </c>
      <c r="E161" s="15" t="s">
        <v>288</v>
      </c>
      <c r="F161" s="15" t="s">
        <v>9</v>
      </c>
      <c r="G161" s="15" t="s">
        <v>289</v>
      </c>
      <c r="H161" s="15" t="s">
        <v>9</v>
      </c>
      <c r="I161" s="15" t="s">
        <v>288</v>
      </c>
      <c r="J161" s="16" t="s">
        <v>912</v>
      </c>
      <c r="K161" s="16"/>
      <c r="L161" s="16"/>
      <c r="M161" s="16"/>
      <c r="N161" s="15"/>
      <c r="O161" s="15"/>
      <c r="P161" s="37"/>
    </row>
    <row r="162" spans="1:16" s="12" customFormat="1" ht="24.95" customHeight="1">
      <c r="A162" s="15" t="s">
        <v>290</v>
      </c>
      <c r="B162" s="15" t="s">
        <v>1273</v>
      </c>
      <c r="C162" s="15" t="s">
        <v>290</v>
      </c>
      <c r="D162" s="15" t="s">
        <v>8</v>
      </c>
      <c r="E162" s="15" t="s">
        <v>290</v>
      </c>
      <c r="F162" s="15" t="s">
        <v>9</v>
      </c>
      <c r="G162" s="15" t="s">
        <v>177</v>
      </c>
      <c r="H162" s="15" t="s">
        <v>9</v>
      </c>
      <c r="I162" s="15" t="s">
        <v>290</v>
      </c>
      <c r="J162" s="16" t="s">
        <v>938</v>
      </c>
      <c r="K162" s="16"/>
      <c r="L162" s="16"/>
      <c r="M162" s="16"/>
      <c r="N162" s="15"/>
      <c r="O162" s="15"/>
      <c r="P162" s="37"/>
    </row>
    <row r="163" spans="1:16" s="12" customFormat="1" ht="24.95" customHeight="1">
      <c r="A163" s="15" t="s">
        <v>291</v>
      </c>
      <c r="B163" s="15" t="s">
        <v>1274</v>
      </c>
      <c r="C163" s="15" t="s">
        <v>291</v>
      </c>
      <c r="D163" s="15" t="s">
        <v>8</v>
      </c>
      <c r="E163" s="15" t="s">
        <v>291</v>
      </c>
      <c r="F163" s="15" t="s">
        <v>149</v>
      </c>
      <c r="G163" s="15" t="s">
        <v>261</v>
      </c>
      <c r="H163" s="15" t="s">
        <v>9</v>
      </c>
      <c r="I163" s="15" t="s">
        <v>291</v>
      </c>
      <c r="J163" s="16" t="s">
        <v>899</v>
      </c>
      <c r="K163" s="16"/>
      <c r="L163" s="16"/>
      <c r="M163" s="16"/>
      <c r="N163" s="15"/>
      <c r="O163" s="15"/>
      <c r="P163" s="37"/>
    </row>
    <row r="164" spans="1:16" s="12" customFormat="1" ht="24.95" customHeight="1">
      <c r="A164" s="15" t="s">
        <v>292</v>
      </c>
      <c r="B164" s="55" t="s">
        <v>1297</v>
      </c>
      <c r="C164" s="15" t="s">
        <v>292</v>
      </c>
      <c r="D164" s="15" t="s">
        <v>8</v>
      </c>
      <c r="E164" s="15" t="s">
        <v>292</v>
      </c>
      <c r="F164" s="15" t="s">
        <v>293</v>
      </c>
      <c r="G164" s="15" t="s">
        <v>9</v>
      </c>
      <c r="H164" s="15" t="s">
        <v>9</v>
      </c>
      <c r="I164" s="15" t="s">
        <v>292</v>
      </c>
      <c r="J164" s="16" t="s">
        <v>922</v>
      </c>
      <c r="K164" s="16"/>
      <c r="L164" s="16"/>
      <c r="M164" s="16"/>
      <c r="N164" s="15"/>
      <c r="O164" s="15"/>
      <c r="P164" s="37"/>
    </row>
    <row r="165" spans="1:16" s="12" customFormat="1" ht="24.95" customHeight="1">
      <c r="A165" s="15" t="s">
        <v>295</v>
      </c>
      <c r="B165" s="15" t="s">
        <v>1275</v>
      </c>
      <c r="C165" s="15" t="s">
        <v>295</v>
      </c>
      <c r="D165" s="15" t="s">
        <v>8</v>
      </c>
      <c r="E165" s="15" t="s">
        <v>295</v>
      </c>
      <c r="F165" s="15" t="s">
        <v>9</v>
      </c>
      <c r="G165" s="15" t="s">
        <v>101</v>
      </c>
      <c r="H165" s="15" t="s">
        <v>9</v>
      </c>
      <c r="I165" s="15" t="s">
        <v>295</v>
      </c>
      <c r="J165" s="16" t="s">
        <v>902</v>
      </c>
      <c r="K165" s="16"/>
      <c r="L165" s="16"/>
      <c r="M165" s="16"/>
      <c r="N165" s="15"/>
      <c r="O165" s="15"/>
      <c r="P165" s="37"/>
    </row>
    <row r="166" spans="1:16" s="12" customFormat="1" ht="24.95" customHeight="1">
      <c r="A166" s="15" t="s">
        <v>296</v>
      </c>
      <c r="B166" s="15" t="s">
        <v>1276</v>
      </c>
      <c r="C166" s="15" t="s">
        <v>296</v>
      </c>
      <c r="D166" s="15" t="s">
        <v>8</v>
      </c>
      <c r="E166" s="15" t="s">
        <v>296</v>
      </c>
      <c r="F166" s="15">
        <v>88</v>
      </c>
      <c r="G166" s="15" t="s">
        <v>9</v>
      </c>
      <c r="H166" s="15">
        <v>780</v>
      </c>
      <c r="I166" s="15" t="s">
        <v>296</v>
      </c>
      <c r="J166" s="16" t="s">
        <v>275</v>
      </c>
      <c r="K166" s="16"/>
      <c r="L166" s="16"/>
      <c r="M166" s="16"/>
      <c r="N166" s="15"/>
      <c r="O166" s="15"/>
      <c r="P166" s="37"/>
    </row>
    <row r="167" spans="1:16" s="12" customFormat="1" ht="24.95" customHeight="1">
      <c r="A167" s="15" t="s">
        <v>297</v>
      </c>
      <c r="B167" s="55" t="s">
        <v>1297</v>
      </c>
      <c r="C167" s="15" t="s">
        <v>297</v>
      </c>
      <c r="D167" s="15" t="s">
        <v>8</v>
      </c>
      <c r="E167" s="15" t="s">
        <v>297</v>
      </c>
      <c r="F167" s="15" t="s">
        <v>9</v>
      </c>
      <c r="G167" s="15" t="s">
        <v>86</v>
      </c>
      <c r="H167" s="15" t="s">
        <v>9</v>
      </c>
      <c r="I167" s="15" t="s">
        <v>297</v>
      </c>
      <c r="J167" s="16" t="s">
        <v>899</v>
      </c>
      <c r="K167" s="16"/>
      <c r="L167" s="16"/>
      <c r="M167" s="16"/>
      <c r="N167" s="15"/>
      <c r="O167" s="15"/>
      <c r="P167" s="37"/>
    </row>
    <row r="168" spans="1:16" s="12" customFormat="1" ht="38.25" customHeight="1">
      <c r="A168" s="15" t="s">
        <v>298</v>
      </c>
      <c r="B168" s="15" t="s">
        <v>1277</v>
      </c>
      <c r="C168" s="15" t="s">
        <v>298</v>
      </c>
      <c r="D168" s="15" t="s">
        <v>8</v>
      </c>
      <c r="E168" s="15" t="s">
        <v>298</v>
      </c>
      <c r="F168" s="15">
        <v>44</v>
      </c>
      <c r="G168" s="15">
        <v>88</v>
      </c>
      <c r="H168" s="15">
        <v>78</v>
      </c>
      <c r="I168" s="15" t="s">
        <v>298</v>
      </c>
      <c r="J168" s="16" t="s">
        <v>299</v>
      </c>
      <c r="K168" s="16"/>
      <c r="L168" s="16"/>
      <c r="M168" s="16"/>
      <c r="N168" s="15"/>
      <c r="O168" s="15"/>
      <c r="P168" s="37"/>
    </row>
    <row r="169" spans="1:16" s="12" customFormat="1" ht="24.95" customHeight="1">
      <c r="A169" s="15" t="s">
        <v>300</v>
      </c>
      <c r="B169" s="15" t="s">
        <v>1278</v>
      </c>
      <c r="C169" s="15" t="s">
        <v>300</v>
      </c>
      <c r="D169" s="15" t="s">
        <v>58</v>
      </c>
      <c r="E169" s="15" t="s">
        <v>300</v>
      </c>
      <c r="F169" s="15" t="s">
        <v>101</v>
      </c>
      <c r="G169" s="15" t="s">
        <v>9</v>
      </c>
      <c r="H169" s="15" t="s">
        <v>9</v>
      </c>
      <c r="I169" s="15" t="s">
        <v>300</v>
      </c>
      <c r="J169" s="16" t="s">
        <v>939</v>
      </c>
      <c r="K169" s="16"/>
      <c r="L169" s="16"/>
      <c r="M169" s="16"/>
      <c r="N169" s="15"/>
      <c r="O169" s="15"/>
      <c r="P169" s="37"/>
    </row>
    <row r="170" spans="1:16" s="12" customFormat="1" ht="24.95" customHeight="1">
      <c r="A170" s="15" t="s">
        <v>301</v>
      </c>
      <c r="B170" s="15" t="s">
        <v>1279</v>
      </c>
      <c r="C170" s="15" t="s">
        <v>301</v>
      </c>
      <c r="D170" s="15" t="s">
        <v>8</v>
      </c>
      <c r="E170" s="15" t="s">
        <v>301</v>
      </c>
      <c r="F170" s="15" t="s">
        <v>9</v>
      </c>
      <c r="G170" s="15" t="s">
        <v>114</v>
      </c>
      <c r="H170" s="15" t="s">
        <v>9</v>
      </c>
      <c r="I170" s="15" t="s">
        <v>301</v>
      </c>
      <c r="J170" s="16" t="s">
        <v>899</v>
      </c>
      <c r="K170" s="16"/>
      <c r="L170" s="16"/>
      <c r="M170" s="16"/>
      <c r="N170" s="15"/>
      <c r="O170" s="15"/>
      <c r="P170" s="37"/>
    </row>
    <row r="171" spans="1:16" s="12" customFormat="1" ht="24.95" customHeight="1">
      <c r="A171" s="15" t="s">
        <v>302</v>
      </c>
      <c r="B171" s="15" t="s">
        <v>1280</v>
      </c>
      <c r="C171" s="15" t="s">
        <v>302</v>
      </c>
      <c r="D171" s="15" t="s">
        <v>8</v>
      </c>
      <c r="E171" s="15" t="s">
        <v>302</v>
      </c>
      <c r="F171" s="15" t="s">
        <v>101</v>
      </c>
      <c r="G171" s="15" t="s">
        <v>9</v>
      </c>
      <c r="H171" s="15">
        <v>156</v>
      </c>
      <c r="I171" s="15" t="s">
        <v>302</v>
      </c>
      <c r="J171" s="16" t="s">
        <v>303</v>
      </c>
      <c r="K171" s="16"/>
      <c r="L171" s="16"/>
      <c r="M171" s="16"/>
      <c r="N171" s="15"/>
      <c r="O171" s="15"/>
      <c r="P171" s="37"/>
    </row>
    <row r="172" spans="1:16" s="12" customFormat="1" ht="24.95" customHeight="1">
      <c r="A172" s="15" t="s">
        <v>304</v>
      </c>
      <c r="B172" s="15" t="s">
        <v>1281</v>
      </c>
      <c r="C172" s="15" t="s">
        <v>304</v>
      </c>
      <c r="D172" s="15" t="s">
        <v>8</v>
      </c>
      <c r="E172" s="15" t="s">
        <v>304</v>
      </c>
      <c r="F172" s="15" t="s">
        <v>94</v>
      </c>
      <c r="G172" s="15" t="s">
        <v>9</v>
      </c>
      <c r="H172" s="15">
        <v>8</v>
      </c>
      <c r="I172" s="15" t="s">
        <v>304</v>
      </c>
      <c r="J172" s="16" t="s">
        <v>305</v>
      </c>
      <c r="K172" s="16"/>
      <c r="L172" s="16"/>
      <c r="M172" s="16"/>
      <c r="N172" s="15"/>
      <c r="O172" s="15"/>
      <c r="P172" s="37"/>
    </row>
    <row r="173" spans="1:16" s="12" customFormat="1" ht="24.95" customHeight="1">
      <c r="A173" s="15" t="s">
        <v>306</v>
      </c>
      <c r="B173" s="15" t="s">
        <v>1282</v>
      </c>
      <c r="C173" s="15" t="s">
        <v>306</v>
      </c>
      <c r="D173" s="15" t="s">
        <v>58</v>
      </c>
      <c r="E173" s="15" t="s">
        <v>306</v>
      </c>
      <c r="F173" s="15" t="s">
        <v>101</v>
      </c>
      <c r="G173" s="15" t="s">
        <v>86</v>
      </c>
      <c r="H173" s="15" t="s">
        <v>9</v>
      </c>
      <c r="I173" s="15" t="s">
        <v>306</v>
      </c>
      <c r="J173" s="16" t="s">
        <v>911</v>
      </c>
      <c r="K173" s="16"/>
      <c r="L173" s="16"/>
      <c r="M173" s="16"/>
      <c r="N173" s="15"/>
      <c r="O173" s="15"/>
      <c r="P173" s="37"/>
    </row>
    <row r="174" spans="1:16" s="12" customFormat="1" ht="24.95" customHeight="1">
      <c r="A174" s="15" t="s">
        <v>307</v>
      </c>
      <c r="B174" s="15" t="s">
        <v>1267</v>
      </c>
      <c r="C174" s="15" t="s">
        <v>307</v>
      </c>
      <c r="D174" s="15" t="s">
        <v>8</v>
      </c>
      <c r="E174" s="15" t="s">
        <v>307</v>
      </c>
      <c r="F174" s="15">
        <v>0.09</v>
      </c>
      <c r="G174" s="15">
        <v>0.35</v>
      </c>
      <c r="H174" s="15" t="s">
        <v>878</v>
      </c>
      <c r="I174" s="15" t="s">
        <v>307</v>
      </c>
      <c r="J174" s="16" t="s">
        <v>147</v>
      </c>
      <c r="K174" s="16"/>
      <c r="L174" s="16"/>
      <c r="M174" s="16"/>
      <c r="N174" s="16"/>
      <c r="O174" s="16"/>
      <c r="P174" s="42"/>
    </row>
    <row r="175" spans="1:16" s="12" customFormat="1" ht="24.95" customHeight="1">
      <c r="A175" s="15" t="s">
        <v>308</v>
      </c>
      <c r="B175" s="15" t="s">
        <v>1283</v>
      </c>
      <c r="C175" s="15" t="s">
        <v>308</v>
      </c>
      <c r="D175" s="15" t="s">
        <v>8</v>
      </c>
      <c r="E175" s="15" t="s">
        <v>308</v>
      </c>
      <c r="F175" s="15" t="s">
        <v>9</v>
      </c>
      <c r="G175" s="15" t="s">
        <v>101</v>
      </c>
      <c r="H175" s="15" t="s">
        <v>9</v>
      </c>
      <c r="I175" s="15" t="s">
        <v>308</v>
      </c>
      <c r="J175" s="16" t="s">
        <v>147</v>
      </c>
      <c r="K175" s="16"/>
      <c r="L175" s="16"/>
      <c r="M175" s="16"/>
      <c r="N175" s="15"/>
      <c r="O175" s="15"/>
      <c r="P175" s="37"/>
    </row>
    <row r="176" spans="1:16" s="12" customFormat="1" ht="24.95" customHeight="1">
      <c r="A176" s="15" t="s">
        <v>309</v>
      </c>
      <c r="B176" s="55" t="s">
        <v>1297</v>
      </c>
      <c r="C176" s="15" t="s">
        <v>309</v>
      </c>
      <c r="D176" s="15" t="s">
        <v>8</v>
      </c>
      <c r="E176" s="15" t="s">
        <v>309</v>
      </c>
      <c r="F176" s="15" t="s">
        <v>149</v>
      </c>
      <c r="G176" s="15" t="s">
        <v>9</v>
      </c>
      <c r="H176" s="15" t="s">
        <v>9</v>
      </c>
      <c r="I176" s="15" t="s">
        <v>309</v>
      </c>
      <c r="J176" s="16" t="s">
        <v>902</v>
      </c>
      <c r="K176" s="16"/>
      <c r="L176" s="16"/>
      <c r="M176" s="16"/>
      <c r="N176" s="15"/>
      <c r="O176" s="15"/>
      <c r="P176" s="37"/>
    </row>
    <row r="177" spans="1:16" s="12" customFormat="1" ht="24.95" customHeight="1">
      <c r="A177" s="15" t="s">
        <v>310</v>
      </c>
      <c r="B177" s="55" t="s">
        <v>1297</v>
      </c>
      <c r="C177" s="15" t="s">
        <v>310</v>
      </c>
      <c r="D177" s="15" t="s">
        <v>8</v>
      </c>
      <c r="E177" s="15" t="s">
        <v>310</v>
      </c>
      <c r="F177" s="15" t="s">
        <v>9</v>
      </c>
      <c r="G177" s="15" t="s">
        <v>101</v>
      </c>
      <c r="H177" s="15" t="s">
        <v>9</v>
      </c>
      <c r="I177" s="15" t="s">
        <v>310</v>
      </c>
      <c r="J177" s="16" t="s">
        <v>147</v>
      </c>
      <c r="K177" s="16"/>
      <c r="L177" s="16"/>
      <c r="M177" s="16"/>
      <c r="N177" s="15"/>
      <c r="O177" s="15"/>
      <c r="P177" s="37"/>
    </row>
    <row r="178" spans="1:16" s="12" customFormat="1" ht="24.95" customHeight="1">
      <c r="A178" s="15" t="s">
        <v>311</v>
      </c>
      <c r="B178" s="55" t="s">
        <v>1297</v>
      </c>
      <c r="C178" s="15" t="s">
        <v>311</v>
      </c>
      <c r="D178" s="15" t="s">
        <v>8</v>
      </c>
      <c r="E178" s="15" t="s">
        <v>311</v>
      </c>
      <c r="F178" s="15" t="s">
        <v>99</v>
      </c>
      <c r="G178" s="15" t="s">
        <v>9</v>
      </c>
      <c r="H178" s="15">
        <v>59</v>
      </c>
      <c r="I178" s="15" t="s">
        <v>311</v>
      </c>
      <c r="J178" s="16" t="s">
        <v>275</v>
      </c>
      <c r="K178" s="16"/>
      <c r="L178" s="16"/>
      <c r="M178" s="16"/>
      <c r="N178" s="15"/>
      <c r="O178" s="15"/>
      <c r="P178" s="37"/>
    </row>
    <row r="179" spans="1:16" s="12" customFormat="1" ht="24.95" customHeight="1">
      <c r="A179" s="16" t="s">
        <v>312</v>
      </c>
      <c r="B179" s="55" t="s">
        <v>1297</v>
      </c>
      <c r="C179" s="16" t="s">
        <v>312</v>
      </c>
      <c r="D179" s="15" t="s">
        <v>8</v>
      </c>
      <c r="E179" s="16" t="s">
        <v>312</v>
      </c>
      <c r="F179" s="15" t="s">
        <v>9</v>
      </c>
      <c r="G179" s="15" t="s">
        <v>149</v>
      </c>
      <c r="H179" s="15" t="s">
        <v>9</v>
      </c>
      <c r="I179" s="16" t="s">
        <v>312</v>
      </c>
      <c r="J179" s="16" t="s">
        <v>940</v>
      </c>
      <c r="K179" s="16"/>
      <c r="L179" s="16"/>
      <c r="M179" s="16"/>
      <c r="N179" s="15"/>
      <c r="O179" s="15"/>
      <c r="P179" s="37"/>
    </row>
    <row r="180" spans="1:16" s="12" customFormat="1" ht="24.95" customHeight="1">
      <c r="A180" s="15" t="s">
        <v>313</v>
      </c>
      <c r="B180" s="55" t="s">
        <v>1297</v>
      </c>
      <c r="C180" s="15" t="s">
        <v>313</v>
      </c>
      <c r="D180" s="15" t="s">
        <v>58</v>
      </c>
      <c r="E180" s="15" t="s">
        <v>313</v>
      </c>
      <c r="F180" s="15" t="s">
        <v>101</v>
      </c>
      <c r="G180" s="15" t="s">
        <v>9</v>
      </c>
      <c r="H180" s="15" t="s">
        <v>9</v>
      </c>
      <c r="I180" s="15" t="s">
        <v>313</v>
      </c>
      <c r="J180" s="16" t="s">
        <v>941</v>
      </c>
      <c r="K180" s="16"/>
      <c r="L180" s="16"/>
      <c r="M180" s="16"/>
      <c r="N180" s="15"/>
      <c r="O180" s="15"/>
      <c r="P180" s="37"/>
    </row>
    <row r="181" spans="1:16" s="12" customFormat="1" ht="24.95" customHeight="1">
      <c r="A181" s="15" t="s">
        <v>314</v>
      </c>
      <c r="B181" s="21">
        <v>209110</v>
      </c>
      <c r="C181" s="15" t="s">
        <v>314</v>
      </c>
      <c r="D181" s="15" t="s">
        <v>8</v>
      </c>
      <c r="E181" s="15" t="s">
        <v>314</v>
      </c>
      <c r="F181" s="15">
        <v>880</v>
      </c>
      <c r="G181" s="15" t="s">
        <v>9</v>
      </c>
      <c r="H181" s="15">
        <v>780</v>
      </c>
      <c r="I181" s="15" t="s">
        <v>314</v>
      </c>
      <c r="J181" s="16" t="s">
        <v>315</v>
      </c>
      <c r="K181" s="16"/>
      <c r="L181" s="16"/>
      <c r="M181" s="16"/>
      <c r="N181" s="15"/>
      <c r="O181" s="15"/>
      <c r="P181" s="37"/>
    </row>
    <row r="182" spans="1:16" s="12" customFormat="1" ht="24.95" customHeight="1">
      <c r="A182" s="15" t="s">
        <v>316</v>
      </c>
      <c r="B182" s="55" t="s">
        <v>1297</v>
      </c>
      <c r="C182" s="15" t="s">
        <v>316</v>
      </c>
      <c r="D182" s="15" t="s">
        <v>8</v>
      </c>
      <c r="E182" s="15" t="s">
        <v>316</v>
      </c>
      <c r="F182" s="15">
        <v>44</v>
      </c>
      <c r="G182" s="15">
        <v>66</v>
      </c>
      <c r="H182" s="15" t="s">
        <v>9</v>
      </c>
      <c r="I182" s="15" t="s">
        <v>316</v>
      </c>
      <c r="J182" s="16" t="s">
        <v>317</v>
      </c>
      <c r="K182" s="16"/>
      <c r="L182" s="16"/>
      <c r="M182" s="16"/>
      <c r="N182" s="15"/>
      <c r="O182" s="15"/>
      <c r="P182" s="37"/>
    </row>
    <row r="183" spans="1:16" s="12" customFormat="1" ht="24.95" customHeight="1">
      <c r="A183" s="15" t="s">
        <v>318</v>
      </c>
      <c r="B183" s="15" t="s">
        <v>1284</v>
      </c>
      <c r="C183" s="15" t="s">
        <v>318</v>
      </c>
      <c r="D183" s="15" t="s">
        <v>8</v>
      </c>
      <c r="E183" s="15" t="s">
        <v>318</v>
      </c>
      <c r="F183" s="15" t="s">
        <v>99</v>
      </c>
      <c r="G183" s="15" t="s">
        <v>9</v>
      </c>
      <c r="H183" s="15">
        <v>20</v>
      </c>
      <c r="I183" s="15" t="s">
        <v>318</v>
      </c>
      <c r="J183" s="16" t="s">
        <v>319</v>
      </c>
      <c r="K183" s="16"/>
      <c r="L183" s="16"/>
      <c r="M183" s="16"/>
      <c r="N183" s="16"/>
      <c r="O183" s="16"/>
      <c r="P183" s="42"/>
    </row>
    <row r="184" spans="1:16" s="12" customFormat="1" ht="24.95" customHeight="1">
      <c r="A184" s="15" t="s">
        <v>320</v>
      </c>
      <c r="B184" s="55" t="s">
        <v>1297</v>
      </c>
      <c r="C184" s="15" t="s">
        <v>320</v>
      </c>
      <c r="D184" s="15" t="s">
        <v>8</v>
      </c>
      <c r="E184" s="15" t="s">
        <v>320</v>
      </c>
      <c r="F184" s="15" t="s">
        <v>86</v>
      </c>
      <c r="G184" s="15" t="s">
        <v>9</v>
      </c>
      <c r="H184" s="15">
        <v>16</v>
      </c>
      <c r="I184" s="15" t="s">
        <v>320</v>
      </c>
      <c r="J184" s="16" t="s">
        <v>942</v>
      </c>
      <c r="K184" s="16"/>
      <c r="L184" s="16"/>
      <c r="M184" s="16"/>
      <c r="N184" s="15"/>
      <c r="O184" s="15"/>
      <c r="P184" s="37"/>
    </row>
    <row r="185" spans="1:16" s="12" customFormat="1" ht="24.95" customHeight="1">
      <c r="A185" s="15" t="s">
        <v>321</v>
      </c>
      <c r="B185" s="15" t="s">
        <v>1285</v>
      </c>
      <c r="C185" s="15" t="s">
        <v>321</v>
      </c>
      <c r="D185" s="15" t="s">
        <v>8</v>
      </c>
      <c r="E185" s="15" t="s">
        <v>321</v>
      </c>
      <c r="F185" s="15">
        <v>880</v>
      </c>
      <c r="G185" s="15" t="s">
        <v>9</v>
      </c>
      <c r="H185" s="15" t="s">
        <v>9</v>
      </c>
      <c r="I185" s="15" t="s">
        <v>321</v>
      </c>
      <c r="J185" s="16" t="s">
        <v>322</v>
      </c>
      <c r="K185" s="16"/>
      <c r="L185" s="16"/>
      <c r="M185" s="16"/>
      <c r="N185" s="15"/>
      <c r="O185" s="15"/>
      <c r="P185" s="37"/>
    </row>
    <row r="186" spans="1:16" s="12" customFormat="1" ht="24.95" customHeight="1">
      <c r="A186" s="15" t="s">
        <v>323</v>
      </c>
      <c r="B186" s="15" t="s">
        <v>1286</v>
      </c>
      <c r="C186" s="15" t="s">
        <v>323</v>
      </c>
      <c r="D186" s="15" t="s">
        <v>8</v>
      </c>
      <c r="E186" s="15" t="s">
        <v>323</v>
      </c>
      <c r="F186" s="15" t="s">
        <v>88</v>
      </c>
      <c r="G186" s="15" t="s">
        <v>9</v>
      </c>
      <c r="H186" s="15" t="s">
        <v>9</v>
      </c>
      <c r="I186" s="15" t="s">
        <v>323</v>
      </c>
      <c r="J186" s="16" t="s">
        <v>942</v>
      </c>
      <c r="K186" s="16"/>
      <c r="L186" s="16"/>
      <c r="M186" s="16"/>
      <c r="N186" s="15"/>
      <c r="O186" s="15"/>
      <c r="P186" s="37"/>
    </row>
    <row r="187" spans="1:16" s="12" customFormat="1" ht="24.95" customHeight="1">
      <c r="A187" s="15" t="s">
        <v>324</v>
      </c>
      <c r="B187" s="55" t="s">
        <v>1297</v>
      </c>
      <c r="C187" s="15" t="s">
        <v>324</v>
      </c>
      <c r="D187" s="15" t="s">
        <v>8</v>
      </c>
      <c r="E187" s="15" t="s">
        <v>324</v>
      </c>
      <c r="F187" s="15">
        <v>0.88</v>
      </c>
      <c r="G187" s="15" t="s">
        <v>9</v>
      </c>
      <c r="H187" s="15" t="s">
        <v>9</v>
      </c>
      <c r="I187" s="15" t="s">
        <v>324</v>
      </c>
      <c r="J187" s="16" t="s">
        <v>147</v>
      </c>
      <c r="K187" s="16"/>
      <c r="L187" s="16"/>
      <c r="M187" s="16"/>
      <c r="N187" s="15"/>
      <c r="O187" s="15"/>
      <c r="P187" s="37"/>
    </row>
    <row r="188" spans="1:16" s="12" customFormat="1" ht="24.95" customHeight="1">
      <c r="A188" s="16" t="s">
        <v>325</v>
      </c>
      <c r="B188" s="55" t="s">
        <v>1297</v>
      </c>
      <c r="C188" s="16" t="s">
        <v>325</v>
      </c>
      <c r="D188" s="15" t="s">
        <v>8</v>
      </c>
      <c r="E188" s="16" t="s">
        <v>325</v>
      </c>
      <c r="F188" s="15" t="s">
        <v>101</v>
      </c>
      <c r="G188" s="15" t="s">
        <v>9</v>
      </c>
      <c r="H188" s="15" t="s">
        <v>9</v>
      </c>
      <c r="I188" s="16" t="s">
        <v>325</v>
      </c>
      <c r="J188" s="16" t="s">
        <v>275</v>
      </c>
      <c r="K188" s="16"/>
      <c r="L188" s="16"/>
      <c r="M188" s="16"/>
      <c r="N188" s="15"/>
      <c r="O188" s="15"/>
      <c r="P188" s="37"/>
    </row>
    <row r="189" spans="1:16" s="12" customFormat="1" ht="24.95" customHeight="1">
      <c r="A189" s="15" t="s">
        <v>326</v>
      </c>
      <c r="B189" s="55" t="s">
        <v>1297</v>
      </c>
      <c r="C189" s="15" t="s">
        <v>326</v>
      </c>
      <c r="D189" s="15" t="s">
        <v>58</v>
      </c>
      <c r="E189" s="15" t="s">
        <v>326</v>
      </c>
      <c r="F189" s="15">
        <v>0.02</v>
      </c>
      <c r="G189" s="15" t="s">
        <v>9</v>
      </c>
      <c r="H189" s="15" t="s">
        <v>9</v>
      </c>
      <c r="I189" s="15" t="s">
        <v>326</v>
      </c>
      <c r="J189" s="16" t="s">
        <v>328</v>
      </c>
      <c r="K189" s="16"/>
      <c r="L189" s="16"/>
      <c r="M189" s="16"/>
      <c r="N189" s="15"/>
      <c r="O189" s="15"/>
      <c r="P189" s="37"/>
    </row>
    <row r="190" spans="1:16" s="12" customFormat="1" ht="24.95" customHeight="1">
      <c r="A190" s="15" t="s">
        <v>329</v>
      </c>
      <c r="B190" s="55" t="s">
        <v>1297</v>
      </c>
      <c r="C190" s="15" t="s">
        <v>329</v>
      </c>
      <c r="D190" s="15" t="s">
        <v>58</v>
      </c>
      <c r="E190" s="15" t="s">
        <v>329</v>
      </c>
      <c r="F190" s="15" t="s">
        <v>88</v>
      </c>
      <c r="G190" s="15" t="s">
        <v>9</v>
      </c>
      <c r="H190" s="15" t="s">
        <v>9</v>
      </c>
      <c r="I190" s="15" t="s">
        <v>329</v>
      </c>
      <c r="J190" s="16" t="s">
        <v>330</v>
      </c>
      <c r="K190" s="16"/>
      <c r="L190" s="16"/>
      <c r="M190" s="16"/>
      <c r="N190" s="15"/>
      <c r="O190" s="15"/>
      <c r="P190" s="37"/>
    </row>
    <row r="191" spans="1:16" s="12" customFormat="1" ht="24.95" customHeight="1">
      <c r="A191" s="15" t="s">
        <v>331</v>
      </c>
      <c r="B191" s="55" t="s">
        <v>1297</v>
      </c>
      <c r="C191" s="15" t="s">
        <v>331</v>
      </c>
      <c r="D191" s="15" t="s">
        <v>58</v>
      </c>
      <c r="E191" s="15" t="s">
        <v>331</v>
      </c>
      <c r="F191" s="15" t="s">
        <v>88</v>
      </c>
      <c r="G191" s="15" t="s">
        <v>9</v>
      </c>
      <c r="H191" s="15" t="s">
        <v>9</v>
      </c>
      <c r="I191" s="15" t="s">
        <v>331</v>
      </c>
      <c r="J191" s="16" t="s">
        <v>332</v>
      </c>
      <c r="K191" s="16"/>
      <c r="L191" s="16"/>
      <c r="M191" s="16"/>
      <c r="N191" s="15"/>
      <c r="O191" s="15"/>
      <c r="P191" s="37"/>
    </row>
    <row r="192" spans="1:16" ht="24.95" customHeight="1">
      <c r="A192" s="56" t="s">
        <v>333</v>
      </c>
      <c r="B192" s="55" t="s">
        <v>1297</v>
      </c>
      <c r="C192" s="56" t="s">
        <v>333</v>
      </c>
      <c r="D192" s="55" t="s">
        <v>58</v>
      </c>
      <c r="E192" s="56" t="s">
        <v>333</v>
      </c>
      <c r="F192" s="55">
        <v>0.2</v>
      </c>
      <c r="G192" s="55" t="s">
        <v>9</v>
      </c>
      <c r="H192" s="55" t="s">
        <v>9</v>
      </c>
      <c r="I192" s="56" t="s">
        <v>333</v>
      </c>
      <c r="J192" s="56" t="s">
        <v>943</v>
      </c>
      <c r="K192" s="56" t="s">
        <v>1086</v>
      </c>
      <c r="L192" s="16" t="s">
        <v>1154</v>
      </c>
      <c r="M192" s="68" t="s">
        <v>1231</v>
      </c>
      <c r="N192" s="56" t="s">
        <v>1232</v>
      </c>
      <c r="O192" s="55" t="s">
        <v>1155</v>
      </c>
      <c r="P192" s="63" t="s">
        <v>1156</v>
      </c>
    </row>
    <row r="193" spans="1:16" s="12" customFormat="1" ht="24.95" customHeight="1">
      <c r="A193" s="15" t="s">
        <v>334</v>
      </c>
      <c r="B193" s="55" t="s">
        <v>1297</v>
      </c>
      <c r="C193" s="15" t="s">
        <v>334</v>
      </c>
      <c r="D193" s="15" t="s">
        <v>58</v>
      </c>
      <c r="E193" s="15" t="s">
        <v>334</v>
      </c>
      <c r="F193" s="15" t="s">
        <v>149</v>
      </c>
      <c r="G193" s="15" t="s">
        <v>9</v>
      </c>
      <c r="H193" s="15" t="s">
        <v>9</v>
      </c>
      <c r="I193" s="15" t="s">
        <v>334</v>
      </c>
      <c r="J193" s="16" t="s">
        <v>195</v>
      </c>
      <c r="K193" s="16"/>
      <c r="L193" s="16"/>
      <c r="M193" s="16"/>
      <c r="N193" s="15"/>
      <c r="O193" s="15"/>
      <c r="P193" s="37"/>
    </row>
    <row r="194" spans="1:16" s="12" customFormat="1" ht="24.95" customHeight="1">
      <c r="A194" s="15" t="s">
        <v>335</v>
      </c>
      <c r="B194" s="55" t="s">
        <v>1297</v>
      </c>
      <c r="C194" s="15" t="s">
        <v>335</v>
      </c>
      <c r="D194" s="15" t="s">
        <v>58</v>
      </c>
      <c r="E194" s="15" t="s">
        <v>335</v>
      </c>
      <c r="F194" s="15" t="s">
        <v>104</v>
      </c>
      <c r="G194" s="15" t="s">
        <v>9</v>
      </c>
      <c r="H194" s="15" t="s">
        <v>9</v>
      </c>
      <c r="I194" s="15" t="s">
        <v>335</v>
      </c>
      <c r="J194" s="16" t="s">
        <v>899</v>
      </c>
      <c r="K194" s="16"/>
      <c r="L194" s="16"/>
      <c r="M194" s="16"/>
      <c r="N194" s="15"/>
      <c r="O194" s="15"/>
      <c r="P194" s="37"/>
    </row>
    <row r="195" spans="1:16" s="12" customFormat="1" ht="24.95" customHeight="1">
      <c r="A195" s="15" t="s">
        <v>336</v>
      </c>
      <c r="B195" s="55" t="s">
        <v>1297</v>
      </c>
      <c r="C195" s="15" t="s">
        <v>336</v>
      </c>
      <c r="D195" s="15" t="s">
        <v>9</v>
      </c>
      <c r="E195" s="15" t="s">
        <v>336</v>
      </c>
      <c r="F195" s="15" t="s">
        <v>9</v>
      </c>
      <c r="G195" s="15" t="s">
        <v>9</v>
      </c>
      <c r="H195" s="15" t="s">
        <v>9</v>
      </c>
      <c r="I195" s="15" t="s">
        <v>336</v>
      </c>
      <c r="J195" s="16" t="s">
        <v>135</v>
      </c>
      <c r="K195" s="16"/>
      <c r="L195" s="16"/>
      <c r="M195" s="16"/>
      <c r="N195" s="15"/>
      <c r="O195" s="15"/>
      <c r="P195" s="37"/>
    </row>
    <row r="196" spans="1:16" s="12" customFormat="1" ht="24.95" customHeight="1">
      <c r="A196" s="15" t="s">
        <v>337</v>
      </c>
      <c r="B196" s="55" t="s">
        <v>1297</v>
      </c>
      <c r="C196" s="15" t="s">
        <v>337</v>
      </c>
      <c r="D196" s="15" t="s">
        <v>58</v>
      </c>
      <c r="E196" s="15" t="s">
        <v>337</v>
      </c>
      <c r="F196" s="15" t="s">
        <v>9</v>
      </c>
      <c r="G196" s="15" t="s">
        <v>88</v>
      </c>
      <c r="H196" s="15" t="s">
        <v>9</v>
      </c>
      <c r="I196" s="15" t="s">
        <v>337</v>
      </c>
      <c r="J196" s="16" t="s">
        <v>944</v>
      </c>
      <c r="K196" s="16"/>
      <c r="L196" s="16"/>
      <c r="M196" s="16"/>
      <c r="N196" s="15"/>
      <c r="O196" s="15"/>
      <c r="P196" s="37"/>
    </row>
    <row r="197" spans="1:16" s="12" customFormat="1" ht="24.95" customHeight="1">
      <c r="A197" s="15" t="s">
        <v>338</v>
      </c>
      <c r="B197" s="55" t="s">
        <v>1297</v>
      </c>
      <c r="C197" s="15" t="s">
        <v>338</v>
      </c>
      <c r="D197" s="15" t="s">
        <v>58</v>
      </c>
      <c r="E197" s="15" t="s">
        <v>338</v>
      </c>
      <c r="F197" s="15" t="s">
        <v>339</v>
      </c>
      <c r="G197" s="15" t="s">
        <v>9</v>
      </c>
      <c r="H197" s="15" t="s">
        <v>9</v>
      </c>
      <c r="I197" s="15" t="s">
        <v>338</v>
      </c>
      <c r="J197" s="16" t="s">
        <v>340</v>
      </c>
      <c r="K197" s="16"/>
      <c r="L197" s="16"/>
      <c r="M197" s="16"/>
      <c r="N197" s="15"/>
      <c r="O197" s="15"/>
      <c r="P197" s="37"/>
    </row>
    <row r="198" spans="1:16" s="12" customFormat="1" ht="24.95" customHeight="1">
      <c r="A198" s="15" t="s">
        <v>341</v>
      </c>
      <c r="B198" s="55" t="s">
        <v>1297</v>
      </c>
      <c r="C198" s="15" t="s">
        <v>341</v>
      </c>
      <c r="D198" s="15" t="s">
        <v>58</v>
      </c>
      <c r="E198" s="15" t="s">
        <v>341</v>
      </c>
      <c r="F198" s="15">
        <v>4.3999999999999997E-2</v>
      </c>
      <c r="G198" s="15" t="s">
        <v>9</v>
      </c>
      <c r="H198" s="15" t="s">
        <v>9</v>
      </c>
      <c r="I198" s="15" t="s">
        <v>341</v>
      </c>
      <c r="J198" s="16" t="s">
        <v>342</v>
      </c>
      <c r="K198" s="16"/>
      <c r="L198" s="16"/>
      <c r="M198" s="16"/>
      <c r="N198" s="15"/>
      <c r="O198" s="15"/>
      <c r="P198" s="37"/>
    </row>
    <row r="199" spans="1:16" s="12" customFormat="1" ht="24.95" customHeight="1">
      <c r="A199" s="15" t="s">
        <v>343</v>
      </c>
      <c r="B199" s="55" t="s">
        <v>1297</v>
      </c>
      <c r="C199" s="15" t="s">
        <v>343</v>
      </c>
      <c r="D199" s="15" t="s">
        <v>58</v>
      </c>
      <c r="E199" s="15" t="s">
        <v>343</v>
      </c>
      <c r="F199" s="15" t="s">
        <v>172</v>
      </c>
      <c r="G199" s="15" t="s">
        <v>9</v>
      </c>
      <c r="H199" s="15" t="s">
        <v>9</v>
      </c>
      <c r="I199" s="15" t="s">
        <v>343</v>
      </c>
      <c r="J199" s="16" t="s">
        <v>135</v>
      </c>
      <c r="K199" s="16"/>
      <c r="L199" s="16"/>
      <c r="M199" s="16"/>
      <c r="N199" s="15"/>
      <c r="O199" s="15"/>
      <c r="P199" s="37"/>
    </row>
    <row r="200" spans="1:16" s="12" customFormat="1" ht="24.95" customHeight="1">
      <c r="A200" s="15" t="s">
        <v>345</v>
      </c>
      <c r="B200" s="55" t="s">
        <v>1297</v>
      </c>
      <c r="C200" s="15" t="s">
        <v>345</v>
      </c>
      <c r="D200" s="15" t="s">
        <v>58</v>
      </c>
      <c r="E200" s="15" t="s">
        <v>345</v>
      </c>
      <c r="F200" s="15" t="s">
        <v>169</v>
      </c>
      <c r="G200" s="15" t="s">
        <v>9</v>
      </c>
      <c r="H200" s="15" t="s">
        <v>9</v>
      </c>
      <c r="I200" s="15" t="s">
        <v>345</v>
      </c>
      <c r="J200" s="16" t="s">
        <v>344</v>
      </c>
      <c r="K200" s="16"/>
      <c r="L200" s="16"/>
      <c r="M200" s="16"/>
      <c r="N200" s="15"/>
      <c r="O200" s="15"/>
      <c r="P200" s="37"/>
    </row>
    <row r="201" spans="1:16" s="12" customFormat="1" ht="24.95" customHeight="1">
      <c r="A201" s="15" t="s">
        <v>346</v>
      </c>
      <c r="B201" s="55" t="s">
        <v>1297</v>
      </c>
      <c r="C201" s="15" t="s">
        <v>346</v>
      </c>
      <c r="D201" s="15" t="s">
        <v>58</v>
      </c>
      <c r="E201" s="15" t="s">
        <v>346</v>
      </c>
      <c r="F201" s="15" t="s">
        <v>149</v>
      </c>
      <c r="G201" s="15" t="s">
        <v>9</v>
      </c>
      <c r="H201" s="15" t="s">
        <v>9</v>
      </c>
      <c r="I201" s="15" t="s">
        <v>346</v>
      </c>
      <c r="J201" s="16" t="s">
        <v>340</v>
      </c>
      <c r="K201" s="16"/>
      <c r="L201" s="16"/>
      <c r="M201" s="16"/>
      <c r="N201" s="15"/>
      <c r="O201" s="15"/>
      <c r="P201" s="37"/>
    </row>
    <row r="202" spans="1:16" s="12" customFormat="1" ht="24.95" customHeight="1">
      <c r="A202" s="15" t="s">
        <v>347</v>
      </c>
      <c r="B202" s="15" t="s">
        <v>1287</v>
      </c>
      <c r="C202" s="15" t="s">
        <v>347</v>
      </c>
      <c r="D202" s="15" t="s">
        <v>58</v>
      </c>
      <c r="E202" s="15" t="s">
        <v>347</v>
      </c>
      <c r="F202" s="15" t="s">
        <v>92</v>
      </c>
      <c r="G202" s="15" t="s">
        <v>9</v>
      </c>
      <c r="H202" s="15" t="s">
        <v>9</v>
      </c>
      <c r="I202" s="15" t="s">
        <v>347</v>
      </c>
      <c r="J202" s="16" t="s">
        <v>922</v>
      </c>
      <c r="K202" s="16"/>
      <c r="L202" s="16"/>
      <c r="M202" s="16"/>
      <c r="N202" s="15"/>
      <c r="O202" s="15"/>
      <c r="P202" s="37"/>
    </row>
    <row r="203" spans="1:16" s="12" customFormat="1" ht="24.95" customHeight="1">
      <c r="A203" s="15" t="s">
        <v>348</v>
      </c>
      <c r="B203" s="55" t="s">
        <v>1297</v>
      </c>
      <c r="C203" s="15" t="s">
        <v>348</v>
      </c>
      <c r="D203" s="15" t="s">
        <v>8</v>
      </c>
      <c r="E203" s="15" t="s">
        <v>348</v>
      </c>
      <c r="F203" s="15" t="s">
        <v>9</v>
      </c>
      <c r="G203" s="15" t="s">
        <v>177</v>
      </c>
      <c r="H203" s="15" t="s">
        <v>9</v>
      </c>
      <c r="I203" s="15" t="s">
        <v>348</v>
      </c>
      <c r="J203" s="16" t="s">
        <v>147</v>
      </c>
      <c r="K203" s="16"/>
      <c r="L203" s="16"/>
      <c r="M203" s="16"/>
      <c r="N203" s="15"/>
      <c r="O203" s="15"/>
      <c r="P203" s="37"/>
    </row>
    <row r="204" spans="1:16" s="12" customFormat="1" ht="24.95" customHeight="1">
      <c r="A204" s="15" t="s">
        <v>349</v>
      </c>
      <c r="B204" s="55" t="s">
        <v>1297</v>
      </c>
      <c r="C204" s="15" t="s">
        <v>349</v>
      </c>
      <c r="D204" s="15" t="s">
        <v>58</v>
      </c>
      <c r="E204" s="15" t="s">
        <v>349</v>
      </c>
      <c r="F204" s="15" t="s">
        <v>94</v>
      </c>
      <c r="G204" s="15" t="s">
        <v>9</v>
      </c>
      <c r="H204" s="15" t="s">
        <v>9</v>
      </c>
      <c r="I204" s="15" t="s">
        <v>349</v>
      </c>
      <c r="J204" s="16" t="s">
        <v>195</v>
      </c>
      <c r="K204" s="16"/>
      <c r="L204" s="16"/>
      <c r="M204" s="16"/>
      <c r="N204" s="15"/>
      <c r="O204" s="15"/>
      <c r="P204" s="37"/>
    </row>
    <row r="205" spans="1:16" ht="24.95" customHeight="1">
      <c r="A205" s="56" t="s">
        <v>350</v>
      </c>
      <c r="B205" s="56" t="s">
        <v>1258</v>
      </c>
      <c r="C205" s="56" t="s">
        <v>350</v>
      </c>
      <c r="D205" s="55" t="s">
        <v>8</v>
      </c>
      <c r="E205" s="56" t="s">
        <v>350</v>
      </c>
      <c r="F205" s="55">
        <v>4.4000000000000004</v>
      </c>
      <c r="G205" s="55" t="s">
        <v>9</v>
      </c>
      <c r="H205" s="55">
        <v>39</v>
      </c>
      <c r="I205" s="56" t="s">
        <v>350</v>
      </c>
      <c r="J205" s="56" t="s">
        <v>934</v>
      </c>
      <c r="K205" s="56" t="s">
        <v>1143</v>
      </c>
      <c r="L205" s="16" t="s">
        <v>1160</v>
      </c>
      <c r="M205" s="56" t="s">
        <v>1235</v>
      </c>
      <c r="N205" s="56" t="s">
        <v>1233</v>
      </c>
      <c r="O205" s="55" t="s">
        <v>1162</v>
      </c>
      <c r="P205" s="63" t="s">
        <v>1161</v>
      </c>
    </row>
    <row r="206" spans="1:16" s="12" customFormat="1" ht="24.95" customHeight="1">
      <c r="A206" s="15" t="s">
        <v>351</v>
      </c>
      <c r="B206" s="15" t="s">
        <v>1288</v>
      </c>
      <c r="C206" s="15" t="s">
        <v>351</v>
      </c>
      <c r="D206" s="15" t="s">
        <v>58</v>
      </c>
      <c r="E206" s="15" t="s">
        <v>351</v>
      </c>
      <c r="F206" s="15" t="s">
        <v>101</v>
      </c>
      <c r="G206" s="15" t="s">
        <v>9</v>
      </c>
      <c r="H206" s="15" t="s">
        <v>9</v>
      </c>
      <c r="I206" s="15" t="s">
        <v>351</v>
      </c>
      <c r="J206" s="16" t="s">
        <v>275</v>
      </c>
      <c r="K206" s="16"/>
      <c r="L206" s="16"/>
      <c r="M206" s="16"/>
      <c r="N206" s="15"/>
      <c r="O206" s="15"/>
      <c r="P206" s="37"/>
    </row>
    <row r="207" spans="1:16" s="12" customFormat="1" ht="24.95" customHeight="1">
      <c r="A207" s="15" t="s">
        <v>352</v>
      </c>
      <c r="B207" s="55" t="s">
        <v>1297</v>
      </c>
      <c r="C207" s="15" t="s">
        <v>352</v>
      </c>
      <c r="D207" s="15" t="s">
        <v>8</v>
      </c>
      <c r="E207" s="15" t="s">
        <v>352</v>
      </c>
      <c r="F207" s="15">
        <v>4.3999999999999997E-2</v>
      </c>
      <c r="G207" s="15" t="s">
        <v>261</v>
      </c>
      <c r="H207" s="15" t="s">
        <v>875</v>
      </c>
      <c r="I207" s="15" t="s">
        <v>352</v>
      </c>
      <c r="J207" s="16" t="s">
        <v>353</v>
      </c>
      <c r="K207" s="16"/>
      <c r="L207" s="16"/>
      <c r="M207" s="16"/>
      <c r="N207" s="15"/>
      <c r="O207" s="15"/>
      <c r="P207" s="37"/>
    </row>
    <row r="208" spans="1:16" s="12" customFormat="1" ht="24.95" customHeight="1">
      <c r="A208" s="15" t="s">
        <v>354</v>
      </c>
      <c r="B208" s="55" t="s">
        <v>1297</v>
      </c>
      <c r="C208" s="15" t="s">
        <v>354</v>
      </c>
      <c r="D208" s="15" t="s">
        <v>58</v>
      </c>
      <c r="E208" s="15" t="s">
        <v>354</v>
      </c>
      <c r="F208" s="15" t="s">
        <v>149</v>
      </c>
      <c r="G208" s="15" t="s">
        <v>9</v>
      </c>
      <c r="H208" s="15" t="s">
        <v>879</v>
      </c>
      <c r="I208" s="15" t="s">
        <v>354</v>
      </c>
      <c r="J208" s="16" t="s">
        <v>195</v>
      </c>
      <c r="K208" s="16"/>
      <c r="L208" s="16"/>
      <c r="M208" s="16"/>
      <c r="N208" s="15"/>
      <c r="O208" s="15"/>
      <c r="P208" s="37"/>
    </row>
    <row r="209" spans="1:16" s="12" customFormat="1" ht="24.95" customHeight="1">
      <c r="A209" s="15" t="s">
        <v>355</v>
      </c>
      <c r="B209" s="55" t="s">
        <v>1297</v>
      </c>
      <c r="C209" s="15" t="s">
        <v>355</v>
      </c>
      <c r="D209" s="15" t="s">
        <v>58</v>
      </c>
      <c r="E209" s="15" t="s">
        <v>355</v>
      </c>
      <c r="F209" s="15" t="s">
        <v>149</v>
      </c>
      <c r="G209" s="15" t="s">
        <v>9</v>
      </c>
      <c r="H209" s="15" t="s">
        <v>9</v>
      </c>
      <c r="I209" s="15" t="s">
        <v>355</v>
      </c>
      <c r="J209" s="16" t="s">
        <v>195</v>
      </c>
      <c r="K209" s="16"/>
      <c r="L209" s="16"/>
      <c r="M209" s="16"/>
      <c r="N209" s="15"/>
      <c r="O209" s="15"/>
      <c r="P209" s="37"/>
    </row>
    <row r="210" spans="1:16" s="12" customFormat="1" ht="24.95" customHeight="1">
      <c r="A210" s="15" t="s">
        <v>356</v>
      </c>
      <c r="B210" s="55" t="s">
        <v>1297</v>
      </c>
      <c r="C210" s="15" t="s">
        <v>356</v>
      </c>
      <c r="D210" s="15" t="s">
        <v>8</v>
      </c>
      <c r="E210" s="15" t="s">
        <v>356</v>
      </c>
      <c r="F210" s="15" t="s">
        <v>169</v>
      </c>
      <c r="G210" s="15" t="s">
        <v>327</v>
      </c>
      <c r="H210" s="15" t="s">
        <v>9</v>
      </c>
      <c r="I210" s="15" t="s">
        <v>356</v>
      </c>
      <c r="J210" s="16" t="s">
        <v>357</v>
      </c>
      <c r="K210" s="16"/>
      <c r="L210" s="16"/>
      <c r="M210" s="16"/>
      <c r="N210" s="15"/>
      <c r="O210" s="15"/>
      <c r="P210" s="37"/>
    </row>
    <row r="211" spans="1:16" ht="24.95" customHeight="1">
      <c r="A211" s="56" t="s">
        <v>358</v>
      </c>
      <c r="B211" s="55" t="s">
        <v>1297</v>
      </c>
      <c r="C211" s="56" t="s">
        <v>358</v>
      </c>
      <c r="D211" s="55" t="s">
        <v>8</v>
      </c>
      <c r="E211" s="56" t="s">
        <v>358</v>
      </c>
      <c r="F211" s="55">
        <v>50</v>
      </c>
      <c r="G211" s="55" t="s">
        <v>9</v>
      </c>
      <c r="H211" s="55" t="s">
        <v>9</v>
      </c>
      <c r="I211" s="56" t="s">
        <v>358</v>
      </c>
      <c r="J211" s="56" t="s">
        <v>147</v>
      </c>
      <c r="K211" s="56" t="s">
        <v>1143</v>
      </c>
      <c r="L211" s="43" t="s">
        <v>1236</v>
      </c>
      <c r="M211" s="56" t="s">
        <v>1079</v>
      </c>
      <c r="N211" s="56" t="s">
        <v>1233</v>
      </c>
      <c r="O211" s="55" t="s">
        <v>1163</v>
      </c>
      <c r="P211" s="63" t="s">
        <v>1158</v>
      </c>
    </row>
    <row r="212" spans="1:16" s="12" customFormat="1" ht="24.95" customHeight="1">
      <c r="A212" s="15" t="s">
        <v>359</v>
      </c>
      <c r="B212" s="55" t="s">
        <v>1297</v>
      </c>
      <c r="C212" s="15" t="s">
        <v>359</v>
      </c>
      <c r="D212" s="15" t="s">
        <v>58</v>
      </c>
      <c r="E212" s="15" t="s">
        <v>359</v>
      </c>
      <c r="F212" s="15" t="s">
        <v>9</v>
      </c>
      <c r="G212" s="15" t="s">
        <v>88</v>
      </c>
      <c r="H212" s="15" t="s">
        <v>9</v>
      </c>
      <c r="I212" s="15" t="s">
        <v>359</v>
      </c>
      <c r="J212" s="16" t="s">
        <v>945</v>
      </c>
      <c r="K212" s="16"/>
      <c r="L212" s="16"/>
      <c r="M212" s="16"/>
      <c r="N212" s="15"/>
      <c r="O212" s="15"/>
      <c r="P212" s="37"/>
    </row>
    <row r="213" spans="1:16" s="12" customFormat="1" ht="24.95" customHeight="1">
      <c r="A213" s="15" t="s">
        <v>360</v>
      </c>
      <c r="B213" s="55" t="s">
        <v>1297</v>
      </c>
      <c r="C213" s="15" t="s">
        <v>360</v>
      </c>
      <c r="D213" s="15" t="s">
        <v>58</v>
      </c>
      <c r="E213" s="15" t="s">
        <v>360</v>
      </c>
      <c r="F213" s="15" t="s">
        <v>169</v>
      </c>
      <c r="G213" s="15" t="s">
        <v>9</v>
      </c>
      <c r="H213" s="15" t="s">
        <v>9</v>
      </c>
      <c r="I213" s="15" t="s">
        <v>360</v>
      </c>
      <c r="J213" s="16" t="s">
        <v>195</v>
      </c>
      <c r="K213" s="16"/>
      <c r="L213" s="16"/>
      <c r="M213" s="16"/>
      <c r="N213" s="15"/>
      <c r="O213" s="15"/>
      <c r="P213" s="37"/>
    </row>
    <row r="214" spans="1:16" s="12" customFormat="1" ht="24.95" customHeight="1">
      <c r="A214" s="15" t="s">
        <v>361</v>
      </c>
      <c r="B214" s="55" t="s">
        <v>1297</v>
      </c>
      <c r="C214" s="15" t="s">
        <v>361</v>
      </c>
      <c r="D214" s="15" t="s">
        <v>8</v>
      </c>
      <c r="E214" s="15" t="s">
        <v>361</v>
      </c>
      <c r="F214" s="15" t="s">
        <v>114</v>
      </c>
      <c r="G214" s="15" t="s">
        <v>9</v>
      </c>
      <c r="H214" s="15" t="s">
        <v>9</v>
      </c>
      <c r="I214" s="15" t="s">
        <v>361</v>
      </c>
      <c r="J214" s="16" t="s">
        <v>147</v>
      </c>
      <c r="K214" s="16"/>
      <c r="L214" s="16"/>
      <c r="M214" s="16"/>
      <c r="N214" s="15"/>
      <c r="O214" s="15"/>
      <c r="P214" s="37"/>
    </row>
    <row r="215" spans="1:16" s="12" customFormat="1" ht="24.95" customHeight="1">
      <c r="A215" s="15" t="s">
        <v>362</v>
      </c>
      <c r="B215" s="55" t="s">
        <v>1297</v>
      </c>
      <c r="C215" s="15" t="s">
        <v>362</v>
      </c>
      <c r="D215" s="15" t="s">
        <v>8</v>
      </c>
      <c r="E215" s="15" t="s">
        <v>362</v>
      </c>
      <c r="F215" s="15" t="s">
        <v>101</v>
      </c>
      <c r="G215" s="15" t="s">
        <v>9</v>
      </c>
      <c r="H215" s="15" t="s">
        <v>876</v>
      </c>
      <c r="I215" s="15" t="s">
        <v>362</v>
      </c>
      <c r="J215" s="16" t="s">
        <v>946</v>
      </c>
      <c r="K215" s="16"/>
      <c r="L215" s="16"/>
      <c r="M215" s="16"/>
      <c r="N215" s="15"/>
      <c r="O215" s="15"/>
      <c r="P215" s="37"/>
    </row>
    <row r="216" spans="1:16" s="12" customFormat="1" ht="24.95" customHeight="1">
      <c r="A216" s="15" t="s">
        <v>363</v>
      </c>
      <c r="B216" s="55" t="s">
        <v>1297</v>
      </c>
      <c r="C216" s="15" t="s">
        <v>363</v>
      </c>
      <c r="D216" s="15" t="s">
        <v>9</v>
      </c>
      <c r="E216" s="15" t="s">
        <v>363</v>
      </c>
      <c r="F216" s="15" t="s">
        <v>9</v>
      </c>
      <c r="G216" s="15" t="s">
        <v>9</v>
      </c>
      <c r="H216" s="15" t="s">
        <v>9</v>
      </c>
      <c r="I216" s="15" t="s">
        <v>363</v>
      </c>
      <c r="J216" s="16" t="s">
        <v>9</v>
      </c>
      <c r="K216" s="16"/>
      <c r="L216" s="16"/>
      <c r="M216" s="16"/>
      <c r="N216" s="15"/>
      <c r="O216" s="15"/>
      <c r="P216" s="37"/>
    </row>
    <row r="217" spans="1:16" s="12" customFormat="1" ht="24.95" customHeight="1">
      <c r="A217" s="15" t="s">
        <v>364</v>
      </c>
      <c r="B217" s="55" t="s">
        <v>1297</v>
      </c>
      <c r="C217" s="15" t="s">
        <v>364</v>
      </c>
      <c r="D217" s="15" t="s">
        <v>8</v>
      </c>
      <c r="E217" s="15" t="s">
        <v>364</v>
      </c>
      <c r="F217" s="15" t="s">
        <v>92</v>
      </c>
      <c r="G217" s="15" t="s">
        <v>9</v>
      </c>
      <c r="H217" s="15" t="s">
        <v>9</v>
      </c>
      <c r="I217" s="15" t="s">
        <v>364</v>
      </c>
      <c r="J217" s="16" t="s">
        <v>147</v>
      </c>
      <c r="K217" s="16"/>
      <c r="L217" s="16"/>
      <c r="M217" s="16"/>
      <c r="N217" s="15"/>
      <c r="O217" s="15"/>
      <c r="P217" s="37"/>
    </row>
    <row r="218" spans="1:16" s="12" customFormat="1" ht="24.95" customHeight="1">
      <c r="A218" s="15" t="s">
        <v>365</v>
      </c>
      <c r="B218" s="55" t="s">
        <v>1297</v>
      </c>
      <c r="C218" s="15" t="s">
        <v>365</v>
      </c>
      <c r="D218" s="15" t="s">
        <v>58</v>
      </c>
      <c r="E218" s="15" t="s">
        <v>365</v>
      </c>
      <c r="F218" s="15" t="s">
        <v>94</v>
      </c>
      <c r="G218" s="15" t="s">
        <v>9</v>
      </c>
      <c r="H218" s="15" t="s">
        <v>9</v>
      </c>
      <c r="I218" s="15" t="s">
        <v>365</v>
      </c>
      <c r="J218" s="16" t="s">
        <v>947</v>
      </c>
      <c r="K218" s="16"/>
      <c r="L218" s="16"/>
      <c r="M218" s="16"/>
      <c r="N218" s="15"/>
      <c r="O218" s="15"/>
      <c r="P218" s="37"/>
    </row>
    <row r="219" spans="1:16" s="12" customFormat="1" ht="24.95" customHeight="1">
      <c r="A219" s="15" t="s">
        <v>366</v>
      </c>
      <c r="B219" s="55" t="s">
        <v>1297</v>
      </c>
      <c r="C219" s="15" t="s">
        <v>366</v>
      </c>
      <c r="D219" s="15" t="s">
        <v>8</v>
      </c>
      <c r="E219" s="15" t="s">
        <v>366</v>
      </c>
      <c r="F219" s="15" t="s">
        <v>94</v>
      </c>
      <c r="G219" s="15" t="s">
        <v>9</v>
      </c>
      <c r="H219" s="15" t="s">
        <v>9</v>
      </c>
      <c r="I219" s="15" t="s">
        <v>366</v>
      </c>
      <c r="J219" s="16" t="s">
        <v>947</v>
      </c>
      <c r="K219" s="16"/>
      <c r="L219" s="16"/>
      <c r="M219" s="16"/>
      <c r="N219" s="15"/>
      <c r="O219" s="15"/>
      <c r="P219" s="37"/>
    </row>
    <row r="220" spans="1:16" s="12" customFormat="1" ht="24.95" customHeight="1">
      <c r="A220" s="15" t="s">
        <v>367</v>
      </c>
      <c r="B220" s="55" t="s">
        <v>1297</v>
      </c>
      <c r="C220" s="15" t="s">
        <v>367</v>
      </c>
      <c r="D220" s="15" t="s">
        <v>8</v>
      </c>
      <c r="E220" s="15" t="s">
        <v>367</v>
      </c>
      <c r="F220" s="15" t="s">
        <v>99</v>
      </c>
      <c r="G220" s="15" t="s">
        <v>9</v>
      </c>
      <c r="H220" s="15" t="s">
        <v>9</v>
      </c>
      <c r="I220" s="15" t="s">
        <v>367</v>
      </c>
      <c r="J220" s="16" t="s">
        <v>368</v>
      </c>
      <c r="K220" s="16"/>
      <c r="L220" s="16"/>
      <c r="M220" s="16"/>
      <c r="N220" s="15"/>
      <c r="O220" s="15"/>
      <c r="P220" s="37"/>
    </row>
    <row r="221" spans="1:16" s="12" customFormat="1" ht="24.95" customHeight="1">
      <c r="A221" s="15" t="s">
        <v>369</v>
      </c>
      <c r="B221" s="55" t="s">
        <v>1297</v>
      </c>
      <c r="C221" s="15" t="s">
        <v>369</v>
      </c>
      <c r="D221" s="15" t="s">
        <v>8</v>
      </c>
      <c r="E221" s="15" t="s">
        <v>369</v>
      </c>
      <c r="F221" s="15" t="s">
        <v>99</v>
      </c>
      <c r="G221" s="15" t="s">
        <v>9</v>
      </c>
      <c r="H221" s="15" t="s">
        <v>9</v>
      </c>
      <c r="I221" s="15" t="s">
        <v>369</v>
      </c>
      <c r="J221" s="16" t="s">
        <v>948</v>
      </c>
      <c r="K221" s="16"/>
      <c r="L221" s="16"/>
      <c r="M221" s="16"/>
      <c r="N221" s="15"/>
      <c r="O221" s="15"/>
      <c r="P221" s="37"/>
    </row>
    <row r="222" spans="1:16" s="12" customFormat="1" ht="24.95" customHeight="1">
      <c r="A222" s="15" t="s">
        <v>370</v>
      </c>
      <c r="B222" s="55" t="s">
        <v>1297</v>
      </c>
      <c r="C222" s="15" t="s">
        <v>370</v>
      </c>
      <c r="D222" s="15" t="s">
        <v>8</v>
      </c>
      <c r="E222" s="15" t="s">
        <v>370</v>
      </c>
      <c r="F222" s="15">
        <v>22</v>
      </c>
      <c r="G222" s="15">
        <v>44</v>
      </c>
      <c r="H222" s="15">
        <v>39</v>
      </c>
      <c r="I222" s="15" t="s">
        <v>370</v>
      </c>
      <c r="J222" s="16" t="s">
        <v>949</v>
      </c>
      <c r="K222" s="16"/>
      <c r="L222" s="16"/>
      <c r="M222" s="16"/>
      <c r="N222" s="15"/>
      <c r="O222" s="15"/>
      <c r="P222" s="37"/>
    </row>
    <row r="223" spans="1:16" s="12" customFormat="1" ht="24.95" customHeight="1">
      <c r="A223" s="15" t="s">
        <v>371</v>
      </c>
      <c r="B223" s="55" t="s">
        <v>1297</v>
      </c>
      <c r="C223" s="15" t="s">
        <v>371</v>
      </c>
      <c r="D223" s="15" t="s">
        <v>8</v>
      </c>
      <c r="E223" s="15" t="s">
        <v>371</v>
      </c>
      <c r="F223" s="15" t="s">
        <v>99</v>
      </c>
      <c r="G223" s="15" t="s">
        <v>9</v>
      </c>
      <c r="H223" s="15" t="s">
        <v>9</v>
      </c>
      <c r="I223" s="15" t="s">
        <v>371</v>
      </c>
      <c r="J223" s="16" t="s">
        <v>950</v>
      </c>
      <c r="K223" s="16"/>
      <c r="L223" s="16"/>
      <c r="M223" s="16"/>
      <c r="N223" s="15"/>
      <c r="O223" s="15"/>
      <c r="P223" s="37"/>
    </row>
    <row r="224" spans="1:16" s="12" customFormat="1" ht="24.95" customHeight="1">
      <c r="A224" s="15" t="s">
        <v>372</v>
      </c>
      <c r="B224" s="55" t="s">
        <v>1297</v>
      </c>
      <c r="C224" s="15" t="s">
        <v>372</v>
      </c>
      <c r="D224" s="15" t="s">
        <v>9</v>
      </c>
      <c r="E224" s="15" t="s">
        <v>372</v>
      </c>
      <c r="F224" s="15" t="s">
        <v>9</v>
      </c>
      <c r="G224" s="15" t="s">
        <v>9</v>
      </c>
      <c r="H224" s="15" t="s">
        <v>9</v>
      </c>
      <c r="I224" s="15" t="s">
        <v>372</v>
      </c>
      <c r="J224" s="16" t="s">
        <v>951</v>
      </c>
      <c r="K224" s="16"/>
      <c r="L224" s="16"/>
      <c r="M224" s="16"/>
      <c r="N224" s="15"/>
      <c r="O224" s="15"/>
      <c r="P224" s="37"/>
    </row>
    <row r="225" spans="1:16" s="12" customFormat="1" ht="24.95" customHeight="1">
      <c r="A225" s="15" t="s">
        <v>373</v>
      </c>
      <c r="B225" s="55" t="s">
        <v>1297</v>
      </c>
      <c r="C225" s="15" t="s">
        <v>373</v>
      </c>
      <c r="D225" s="15" t="s">
        <v>8</v>
      </c>
      <c r="E225" s="15" t="s">
        <v>373</v>
      </c>
      <c r="F225" s="15">
        <v>880</v>
      </c>
      <c r="G225" s="15" t="s">
        <v>9</v>
      </c>
      <c r="H225" s="15">
        <v>780</v>
      </c>
      <c r="I225" s="15" t="s">
        <v>373</v>
      </c>
      <c r="J225" s="16" t="s">
        <v>322</v>
      </c>
      <c r="K225" s="16"/>
      <c r="L225" s="16"/>
      <c r="M225" s="16"/>
      <c r="N225" s="15"/>
      <c r="O225" s="15"/>
      <c r="P225" s="37"/>
    </row>
    <row r="226" spans="1:16" s="12" customFormat="1" ht="24.95" customHeight="1">
      <c r="A226" s="16" t="s">
        <v>374</v>
      </c>
      <c r="B226" s="55" t="s">
        <v>1297</v>
      </c>
      <c r="C226" s="16" t="s">
        <v>374</v>
      </c>
      <c r="D226" s="15" t="s">
        <v>58</v>
      </c>
      <c r="E226" s="16" t="s">
        <v>374</v>
      </c>
      <c r="F226" s="15" t="s">
        <v>114</v>
      </c>
      <c r="G226" s="15" t="s">
        <v>110</v>
      </c>
      <c r="H226" s="15" t="s">
        <v>9</v>
      </c>
      <c r="I226" s="16" t="s">
        <v>374</v>
      </c>
      <c r="J226" s="16" t="s">
        <v>899</v>
      </c>
      <c r="K226" s="16"/>
      <c r="L226" s="16"/>
      <c r="M226" s="16"/>
      <c r="N226" s="15"/>
      <c r="O226" s="15"/>
      <c r="P226" s="37"/>
    </row>
    <row r="227" spans="1:16" s="12" customFormat="1" ht="24.95" customHeight="1">
      <c r="A227" s="15" t="s">
        <v>375</v>
      </c>
      <c r="B227" s="55" t="s">
        <v>1297</v>
      </c>
      <c r="C227" s="15" t="s">
        <v>375</v>
      </c>
      <c r="D227" s="15" t="s">
        <v>8</v>
      </c>
      <c r="E227" s="15" t="s">
        <v>375</v>
      </c>
      <c r="F227" s="15">
        <v>88</v>
      </c>
      <c r="G227" s="15" t="s">
        <v>9</v>
      </c>
      <c r="H227" s="15">
        <v>156</v>
      </c>
      <c r="I227" s="15" t="s">
        <v>375</v>
      </c>
      <c r="J227" s="16" t="s">
        <v>952</v>
      </c>
      <c r="K227" s="16"/>
      <c r="L227" s="16"/>
      <c r="M227" s="16"/>
      <c r="N227" s="15"/>
      <c r="O227" s="15"/>
      <c r="P227" s="37"/>
    </row>
    <row r="228" spans="1:16" s="12" customFormat="1" ht="24.95" customHeight="1">
      <c r="A228" s="15" t="s">
        <v>376</v>
      </c>
      <c r="B228" s="55" t="s">
        <v>1297</v>
      </c>
      <c r="C228" s="15" t="s">
        <v>376</v>
      </c>
      <c r="D228" s="15" t="s">
        <v>8</v>
      </c>
      <c r="E228" s="15" t="s">
        <v>376</v>
      </c>
      <c r="F228" s="15">
        <v>176</v>
      </c>
      <c r="G228" s="15" t="s">
        <v>9</v>
      </c>
      <c r="H228" s="15">
        <v>155</v>
      </c>
      <c r="I228" s="15" t="s">
        <v>376</v>
      </c>
      <c r="J228" s="16" t="s">
        <v>953</v>
      </c>
      <c r="K228" s="16"/>
      <c r="L228" s="16"/>
      <c r="M228" s="16"/>
      <c r="N228" s="15"/>
      <c r="O228" s="15"/>
      <c r="P228" s="37"/>
    </row>
    <row r="229" spans="1:16" s="12" customFormat="1" ht="24.95" customHeight="1">
      <c r="A229" s="15" t="s">
        <v>377</v>
      </c>
      <c r="B229" s="55" t="s">
        <v>1297</v>
      </c>
      <c r="C229" s="15" t="s">
        <v>377</v>
      </c>
      <c r="D229" s="15" t="s">
        <v>8</v>
      </c>
      <c r="E229" s="15" t="s">
        <v>377</v>
      </c>
      <c r="F229" s="15" t="s">
        <v>99</v>
      </c>
      <c r="G229" s="15" t="s">
        <v>9</v>
      </c>
      <c r="H229" s="15" t="s">
        <v>9</v>
      </c>
      <c r="I229" s="15" t="s">
        <v>377</v>
      </c>
      <c r="J229" s="16" t="s">
        <v>275</v>
      </c>
      <c r="K229" s="16"/>
      <c r="L229" s="16"/>
      <c r="M229" s="16"/>
      <c r="N229" s="15"/>
      <c r="O229" s="15"/>
      <c r="P229" s="37"/>
    </row>
    <row r="230" spans="1:16" s="12" customFormat="1" ht="24.95" customHeight="1">
      <c r="A230" s="15" t="s">
        <v>378</v>
      </c>
      <c r="B230" s="55" t="s">
        <v>1297</v>
      </c>
      <c r="C230" s="15" t="s">
        <v>378</v>
      </c>
      <c r="D230" s="15" t="s">
        <v>8</v>
      </c>
      <c r="E230" s="15" t="s">
        <v>378</v>
      </c>
      <c r="F230" s="15">
        <v>44</v>
      </c>
      <c r="G230" s="15" t="s">
        <v>9</v>
      </c>
      <c r="H230" s="15" t="s">
        <v>9</v>
      </c>
      <c r="I230" s="15" t="s">
        <v>378</v>
      </c>
      <c r="J230" s="16" t="s">
        <v>379</v>
      </c>
      <c r="K230" s="16"/>
      <c r="L230" s="16"/>
      <c r="M230" s="16"/>
      <c r="N230" s="15"/>
      <c r="O230" s="15"/>
      <c r="P230" s="37"/>
    </row>
    <row r="231" spans="1:16" s="12" customFormat="1" ht="24.95" customHeight="1">
      <c r="A231" s="15" t="s">
        <v>380</v>
      </c>
      <c r="B231" s="55" t="s">
        <v>1297</v>
      </c>
      <c r="C231" s="15" t="s">
        <v>380</v>
      </c>
      <c r="D231" s="15" t="s">
        <v>8</v>
      </c>
      <c r="E231" s="15" t="s">
        <v>380</v>
      </c>
      <c r="F231" s="15" t="s">
        <v>86</v>
      </c>
      <c r="G231" s="15" t="s">
        <v>9</v>
      </c>
      <c r="H231" s="15">
        <v>8</v>
      </c>
      <c r="I231" s="15" t="s">
        <v>380</v>
      </c>
      <c r="J231" s="16" t="s">
        <v>899</v>
      </c>
      <c r="K231" s="16"/>
      <c r="L231" s="16"/>
      <c r="M231" s="16"/>
      <c r="N231" s="15"/>
      <c r="O231" s="15"/>
      <c r="P231" s="37"/>
    </row>
    <row r="232" spans="1:16" s="12" customFormat="1" ht="24.95" customHeight="1">
      <c r="A232" s="15" t="s">
        <v>381</v>
      </c>
      <c r="B232" s="55" t="s">
        <v>1297</v>
      </c>
      <c r="C232" s="15" t="s">
        <v>381</v>
      </c>
      <c r="D232" s="15" t="s">
        <v>8</v>
      </c>
      <c r="E232" s="15" t="s">
        <v>381</v>
      </c>
      <c r="F232" s="15" t="s">
        <v>88</v>
      </c>
      <c r="G232" s="15" t="s">
        <v>9</v>
      </c>
      <c r="H232" s="15">
        <v>59</v>
      </c>
      <c r="I232" s="15" t="s">
        <v>381</v>
      </c>
      <c r="J232" s="16" t="s">
        <v>382</v>
      </c>
      <c r="K232" s="16"/>
      <c r="L232" s="16"/>
      <c r="M232" s="16"/>
      <c r="N232" s="15"/>
      <c r="O232" s="15"/>
      <c r="P232" s="37"/>
    </row>
    <row r="233" spans="1:16" s="12" customFormat="1" ht="24.95" customHeight="1">
      <c r="A233" s="15" t="s">
        <v>383</v>
      </c>
      <c r="B233" s="55" t="s">
        <v>1297</v>
      </c>
      <c r="C233" s="15" t="s">
        <v>383</v>
      </c>
      <c r="D233" s="15" t="s">
        <v>8</v>
      </c>
      <c r="E233" s="15" t="s">
        <v>383</v>
      </c>
      <c r="F233" s="15" t="s">
        <v>101</v>
      </c>
      <c r="G233" s="15" t="s">
        <v>9</v>
      </c>
      <c r="H233" s="15" t="s">
        <v>9</v>
      </c>
      <c r="I233" s="15" t="s">
        <v>383</v>
      </c>
      <c r="J233" s="16" t="s">
        <v>239</v>
      </c>
      <c r="K233" s="16"/>
      <c r="L233" s="16"/>
      <c r="M233" s="16"/>
      <c r="N233" s="15"/>
      <c r="O233" s="15"/>
      <c r="P233" s="37"/>
    </row>
    <row r="234" spans="1:16" s="12" customFormat="1" ht="24.95" customHeight="1">
      <c r="A234" s="15" t="s">
        <v>384</v>
      </c>
      <c r="B234" s="55" t="s">
        <v>1297</v>
      </c>
      <c r="C234" s="15" t="s">
        <v>384</v>
      </c>
      <c r="D234" s="15" t="s">
        <v>8</v>
      </c>
      <c r="E234" s="15" t="s">
        <v>384</v>
      </c>
      <c r="F234" s="15">
        <v>880</v>
      </c>
      <c r="G234" s="15" t="s">
        <v>9</v>
      </c>
      <c r="H234" s="15">
        <v>780</v>
      </c>
      <c r="I234" s="15" t="s">
        <v>384</v>
      </c>
      <c r="J234" s="16" t="s">
        <v>115</v>
      </c>
      <c r="K234" s="16"/>
      <c r="L234" s="16"/>
      <c r="M234" s="16"/>
      <c r="N234" s="15"/>
      <c r="O234" s="15"/>
      <c r="P234" s="37"/>
    </row>
    <row r="235" spans="1:16" s="12" customFormat="1" ht="24.95" customHeight="1">
      <c r="A235" s="15" t="s">
        <v>385</v>
      </c>
      <c r="B235" s="55" t="s">
        <v>1297</v>
      </c>
      <c r="C235" s="15" t="s">
        <v>385</v>
      </c>
      <c r="D235" s="15" t="s">
        <v>58</v>
      </c>
      <c r="E235" s="15" t="s">
        <v>385</v>
      </c>
      <c r="F235" s="15" t="s">
        <v>88</v>
      </c>
      <c r="G235" s="15" t="s">
        <v>9</v>
      </c>
      <c r="H235" s="15" t="s">
        <v>9</v>
      </c>
      <c r="I235" s="15" t="s">
        <v>385</v>
      </c>
      <c r="J235" s="16" t="s">
        <v>195</v>
      </c>
      <c r="K235" s="16"/>
      <c r="L235" s="16"/>
      <c r="M235" s="16"/>
      <c r="N235" s="15"/>
      <c r="O235" s="15"/>
      <c r="P235" s="37"/>
    </row>
    <row r="236" spans="1:16" s="12" customFormat="1" ht="24.95" customHeight="1">
      <c r="A236" s="15" t="s">
        <v>386</v>
      </c>
      <c r="B236" s="55" t="s">
        <v>1297</v>
      </c>
      <c r="C236" s="15" t="s">
        <v>386</v>
      </c>
      <c r="D236" s="15" t="s">
        <v>58</v>
      </c>
      <c r="E236" s="15" t="s">
        <v>386</v>
      </c>
      <c r="F236" s="15" t="s">
        <v>149</v>
      </c>
      <c r="G236" s="15" t="s">
        <v>9</v>
      </c>
      <c r="H236" s="15" t="s">
        <v>9</v>
      </c>
      <c r="I236" s="15" t="s">
        <v>386</v>
      </c>
      <c r="J236" s="16" t="s">
        <v>195</v>
      </c>
      <c r="K236" s="16"/>
      <c r="L236" s="16"/>
      <c r="M236" s="16"/>
      <c r="N236" s="15"/>
      <c r="O236" s="15"/>
      <c r="P236" s="37"/>
    </row>
    <row r="237" spans="1:16" s="12" customFormat="1" ht="24.95" customHeight="1">
      <c r="A237" s="15" t="s">
        <v>387</v>
      </c>
      <c r="B237" s="55" t="s">
        <v>1297</v>
      </c>
      <c r="C237" s="15" t="s">
        <v>387</v>
      </c>
      <c r="D237" s="15" t="s">
        <v>58</v>
      </c>
      <c r="E237" s="15" t="s">
        <v>387</v>
      </c>
      <c r="F237" s="15" t="s">
        <v>88</v>
      </c>
      <c r="G237" s="15" t="s">
        <v>9</v>
      </c>
      <c r="H237" s="15" t="s">
        <v>9</v>
      </c>
      <c r="I237" s="15" t="s">
        <v>387</v>
      </c>
      <c r="J237" s="16" t="s">
        <v>388</v>
      </c>
      <c r="K237" s="16"/>
      <c r="L237" s="16"/>
      <c r="M237" s="16"/>
      <c r="N237" s="15"/>
      <c r="O237" s="15"/>
      <c r="P237" s="37"/>
    </row>
    <row r="238" spans="1:16" ht="39" customHeight="1">
      <c r="A238" s="56" t="s">
        <v>389</v>
      </c>
      <c r="B238" s="55" t="s">
        <v>1297</v>
      </c>
      <c r="C238" s="56" t="s">
        <v>389</v>
      </c>
      <c r="D238" s="55" t="s">
        <v>58</v>
      </c>
      <c r="E238" s="56" t="s">
        <v>389</v>
      </c>
      <c r="F238" s="55">
        <v>88</v>
      </c>
      <c r="G238" s="55" t="s">
        <v>9</v>
      </c>
      <c r="H238" s="55" t="s">
        <v>9</v>
      </c>
      <c r="I238" s="56" t="s">
        <v>389</v>
      </c>
      <c r="J238" s="56" t="s">
        <v>155</v>
      </c>
      <c r="K238" s="56" t="s">
        <v>1166</v>
      </c>
      <c r="L238" s="16"/>
      <c r="M238" s="56" t="s">
        <v>1237</v>
      </c>
      <c r="N238" s="56" t="s">
        <v>1233</v>
      </c>
      <c r="O238" s="56" t="s">
        <v>1167</v>
      </c>
      <c r="P238" s="64" t="s">
        <v>1168</v>
      </c>
    </row>
    <row r="239" spans="1:16" s="12" customFormat="1" ht="24.95" customHeight="1">
      <c r="A239" s="15" t="s">
        <v>390</v>
      </c>
      <c r="B239" s="55" t="s">
        <v>1297</v>
      </c>
      <c r="C239" s="15" t="s">
        <v>390</v>
      </c>
      <c r="D239" s="15" t="s">
        <v>58</v>
      </c>
      <c r="E239" s="15" t="s">
        <v>390</v>
      </c>
      <c r="F239" s="15" t="s">
        <v>101</v>
      </c>
      <c r="G239" s="15" t="s">
        <v>9</v>
      </c>
      <c r="H239" s="15" t="s">
        <v>9</v>
      </c>
      <c r="I239" s="15" t="s">
        <v>390</v>
      </c>
      <c r="J239" s="16" t="s">
        <v>305</v>
      </c>
      <c r="K239" s="16"/>
      <c r="L239" s="16"/>
      <c r="M239" s="16"/>
      <c r="N239" s="15"/>
      <c r="O239" s="15"/>
      <c r="P239" s="37"/>
    </row>
    <row r="240" spans="1:16" s="12" customFormat="1" ht="24.95" customHeight="1">
      <c r="A240" s="15" t="s">
        <v>391</v>
      </c>
      <c r="B240" s="55" t="s">
        <v>1297</v>
      </c>
      <c r="C240" s="15" t="s">
        <v>391</v>
      </c>
      <c r="D240" s="15" t="s">
        <v>8</v>
      </c>
      <c r="E240" s="15" t="s">
        <v>391</v>
      </c>
      <c r="F240" s="15" t="s">
        <v>94</v>
      </c>
      <c r="G240" s="15" t="s">
        <v>124</v>
      </c>
      <c r="H240" s="15">
        <v>20</v>
      </c>
      <c r="I240" s="15" t="s">
        <v>391</v>
      </c>
      <c r="J240" s="16" t="s">
        <v>902</v>
      </c>
      <c r="K240" s="16"/>
      <c r="L240" s="16"/>
      <c r="M240" s="16"/>
      <c r="N240" s="15"/>
      <c r="O240" s="15"/>
      <c r="P240" s="37"/>
    </row>
    <row r="241" spans="1:16" s="12" customFormat="1" ht="24.95" customHeight="1">
      <c r="A241" s="15" t="s">
        <v>392</v>
      </c>
      <c r="B241" s="55" t="s">
        <v>1297</v>
      </c>
      <c r="C241" s="15" t="s">
        <v>392</v>
      </c>
      <c r="D241" s="15" t="s">
        <v>8</v>
      </c>
      <c r="E241" s="15" t="s">
        <v>392</v>
      </c>
      <c r="F241" s="15" t="s">
        <v>86</v>
      </c>
      <c r="G241" s="15" t="s">
        <v>9</v>
      </c>
      <c r="H241" s="15" t="s">
        <v>9</v>
      </c>
      <c r="I241" s="15" t="s">
        <v>392</v>
      </c>
      <c r="J241" s="16" t="s">
        <v>954</v>
      </c>
      <c r="K241" s="16"/>
      <c r="L241" s="16"/>
      <c r="M241" s="16"/>
      <c r="N241" s="15"/>
      <c r="O241" s="15"/>
      <c r="P241" s="37"/>
    </row>
    <row r="242" spans="1:16" s="12" customFormat="1" ht="24.95" customHeight="1">
      <c r="A242" s="15" t="s">
        <v>393</v>
      </c>
      <c r="B242" s="55" t="s">
        <v>1297</v>
      </c>
      <c r="C242" s="15" t="s">
        <v>393</v>
      </c>
      <c r="D242" s="15" t="s">
        <v>8</v>
      </c>
      <c r="E242" s="15" t="s">
        <v>393</v>
      </c>
      <c r="F242" s="15">
        <v>176</v>
      </c>
      <c r="G242" s="15">
        <v>264</v>
      </c>
      <c r="H242" s="15" t="s">
        <v>9</v>
      </c>
      <c r="I242" s="15" t="s">
        <v>393</v>
      </c>
      <c r="J242" s="16" t="s">
        <v>913</v>
      </c>
      <c r="K242" s="16"/>
      <c r="L242" s="16"/>
      <c r="M242" s="16"/>
      <c r="N242" s="15"/>
      <c r="O242" s="15"/>
      <c r="P242" s="37"/>
    </row>
    <row r="243" spans="1:16" s="12" customFormat="1" ht="24.95" customHeight="1">
      <c r="A243" s="15" t="s">
        <v>394</v>
      </c>
      <c r="B243" s="55" t="s">
        <v>1297</v>
      </c>
      <c r="C243" s="15" t="s">
        <v>394</v>
      </c>
      <c r="D243" s="15" t="s">
        <v>8</v>
      </c>
      <c r="E243" s="15" t="s">
        <v>394</v>
      </c>
      <c r="F243" s="15" t="s">
        <v>101</v>
      </c>
      <c r="G243" s="15" t="s">
        <v>9</v>
      </c>
      <c r="H243" s="15" t="s">
        <v>9</v>
      </c>
      <c r="I243" s="15" t="s">
        <v>394</v>
      </c>
      <c r="J243" s="16" t="s">
        <v>147</v>
      </c>
      <c r="K243" s="16"/>
      <c r="L243" s="16"/>
      <c r="M243" s="16"/>
      <c r="N243" s="15"/>
      <c r="O243" s="15"/>
      <c r="P243" s="37"/>
    </row>
    <row r="244" spans="1:16" s="12" customFormat="1" ht="24.95" customHeight="1">
      <c r="A244" s="15" t="s">
        <v>395</v>
      </c>
      <c r="B244" s="55" t="s">
        <v>1297</v>
      </c>
      <c r="C244" s="15" t="s">
        <v>395</v>
      </c>
      <c r="D244" s="15" t="s">
        <v>58</v>
      </c>
      <c r="E244" s="15" t="s">
        <v>395</v>
      </c>
      <c r="F244" s="15" t="s">
        <v>94</v>
      </c>
      <c r="G244" s="15" t="s">
        <v>9</v>
      </c>
      <c r="H244" s="15" t="s">
        <v>9</v>
      </c>
      <c r="I244" s="15" t="s">
        <v>395</v>
      </c>
      <c r="J244" s="16" t="s">
        <v>899</v>
      </c>
      <c r="K244" s="16"/>
      <c r="L244" s="16"/>
      <c r="M244" s="16"/>
      <c r="N244" s="15"/>
      <c r="O244" s="15"/>
      <c r="P244" s="37"/>
    </row>
    <row r="245" spans="1:16" s="12" customFormat="1" ht="24.95" customHeight="1">
      <c r="A245" s="15" t="s">
        <v>396</v>
      </c>
      <c r="B245" s="55" t="s">
        <v>1297</v>
      </c>
      <c r="C245" s="15" t="s">
        <v>396</v>
      </c>
      <c r="D245" s="15" t="s">
        <v>58</v>
      </c>
      <c r="E245" s="15" t="s">
        <v>396</v>
      </c>
      <c r="F245" s="15" t="s">
        <v>99</v>
      </c>
      <c r="G245" s="15" t="s">
        <v>9</v>
      </c>
      <c r="H245" s="15" t="s">
        <v>9</v>
      </c>
      <c r="I245" s="15" t="s">
        <v>396</v>
      </c>
      <c r="J245" s="16" t="s">
        <v>397</v>
      </c>
      <c r="K245" s="16"/>
      <c r="L245" s="16"/>
      <c r="M245" s="16"/>
      <c r="N245" s="15"/>
      <c r="O245" s="15"/>
      <c r="P245" s="37"/>
    </row>
    <row r="246" spans="1:16" s="12" customFormat="1" ht="24.95" customHeight="1">
      <c r="A246" s="15" t="s">
        <v>398</v>
      </c>
      <c r="B246" s="55" t="s">
        <v>1297</v>
      </c>
      <c r="C246" s="15" t="s">
        <v>398</v>
      </c>
      <c r="D246" s="15" t="s">
        <v>8</v>
      </c>
      <c r="E246" s="15" t="s">
        <v>398</v>
      </c>
      <c r="F246" s="15">
        <v>88</v>
      </c>
      <c r="G246" s="15" t="s">
        <v>9</v>
      </c>
      <c r="H246" s="15" t="s">
        <v>9</v>
      </c>
      <c r="I246" s="15" t="s">
        <v>398</v>
      </c>
      <c r="J246" s="16" t="s">
        <v>955</v>
      </c>
      <c r="K246" s="16"/>
      <c r="L246" s="16"/>
      <c r="M246" s="16"/>
      <c r="N246" s="15"/>
      <c r="O246" s="15"/>
      <c r="P246" s="37"/>
    </row>
    <row r="247" spans="1:16" s="12" customFormat="1" ht="24.95" customHeight="1">
      <c r="A247" s="15" t="s">
        <v>399</v>
      </c>
      <c r="B247" s="55" t="s">
        <v>1297</v>
      </c>
      <c r="C247" s="15" t="s">
        <v>399</v>
      </c>
      <c r="D247" s="15" t="s">
        <v>8</v>
      </c>
      <c r="E247" s="15" t="s">
        <v>399</v>
      </c>
      <c r="F247" s="15" t="s">
        <v>9</v>
      </c>
      <c r="G247" s="15" t="s">
        <v>149</v>
      </c>
      <c r="H247" s="15" t="s">
        <v>9</v>
      </c>
      <c r="I247" s="15" t="s">
        <v>399</v>
      </c>
      <c r="J247" s="16" t="s">
        <v>956</v>
      </c>
      <c r="K247" s="16"/>
      <c r="L247" s="16"/>
      <c r="M247" s="16"/>
      <c r="N247" s="15"/>
      <c r="O247" s="15"/>
      <c r="P247" s="37"/>
    </row>
    <row r="248" spans="1:16" s="12" customFormat="1" ht="24.95" customHeight="1">
      <c r="A248" s="15" t="s">
        <v>400</v>
      </c>
      <c r="B248" s="55" t="s">
        <v>1297</v>
      </c>
      <c r="C248" s="15" t="s">
        <v>400</v>
      </c>
      <c r="D248" s="15" t="s">
        <v>8</v>
      </c>
      <c r="E248" s="15" t="s">
        <v>400</v>
      </c>
      <c r="F248" s="15">
        <v>22</v>
      </c>
      <c r="G248" s="15" t="s">
        <v>9</v>
      </c>
      <c r="H248" s="15" t="s">
        <v>9</v>
      </c>
      <c r="I248" s="15" t="s">
        <v>400</v>
      </c>
      <c r="J248" s="16" t="s">
        <v>147</v>
      </c>
      <c r="K248" s="16"/>
      <c r="L248" s="16"/>
      <c r="M248" s="16"/>
      <c r="N248" s="15"/>
      <c r="O248" s="15"/>
      <c r="P248" s="37"/>
    </row>
    <row r="249" spans="1:16" s="12" customFormat="1" ht="24.95" customHeight="1">
      <c r="A249" s="15" t="s">
        <v>401</v>
      </c>
      <c r="B249" s="55" t="s">
        <v>1297</v>
      </c>
      <c r="C249" s="15" t="s">
        <v>401</v>
      </c>
      <c r="D249" s="15" t="s">
        <v>8</v>
      </c>
      <c r="E249" s="15" t="s">
        <v>401</v>
      </c>
      <c r="F249" s="15" t="s">
        <v>94</v>
      </c>
      <c r="G249" s="15" t="s">
        <v>9</v>
      </c>
      <c r="H249" s="15">
        <v>4</v>
      </c>
      <c r="I249" s="15" t="s">
        <v>401</v>
      </c>
      <c r="J249" s="16" t="s">
        <v>957</v>
      </c>
      <c r="K249" s="16"/>
      <c r="L249" s="16"/>
      <c r="M249" s="16"/>
      <c r="N249" s="15"/>
      <c r="O249" s="15"/>
      <c r="P249" s="37"/>
    </row>
    <row r="250" spans="1:16" s="12" customFormat="1" ht="24.95" customHeight="1">
      <c r="A250" s="15" t="s">
        <v>402</v>
      </c>
      <c r="B250" s="55" t="s">
        <v>1297</v>
      </c>
      <c r="C250" s="15" t="s">
        <v>402</v>
      </c>
      <c r="D250" s="15" t="s">
        <v>8</v>
      </c>
      <c r="E250" s="15" t="s">
        <v>402</v>
      </c>
      <c r="F250" s="15" t="s">
        <v>86</v>
      </c>
      <c r="G250" s="15" t="s">
        <v>9</v>
      </c>
      <c r="H250" s="15" t="s">
        <v>9</v>
      </c>
      <c r="I250" s="15" t="s">
        <v>402</v>
      </c>
      <c r="J250" s="16" t="s">
        <v>899</v>
      </c>
      <c r="K250" s="16"/>
      <c r="L250" s="16"/>
      <c r="M250" s="16"/>
      <c r="N250" s="15"/>
      <c r="O250" s="15"/>
      <c r="P250" s="37"/>
    </row>
    <row r="251" spans="1:16" s="12" customFormat="1" ht="24.95" customHeight="1">
      <c r="A251" s="15" t="s">
        <v>403</v>
      </c>
      <c r="B251" s="55" t="s">
        <v>1297</v>
      </c>
      <c r="C251" s="15" t="s">
        <v>403</v>
      </c>
      <c r="D251" s="15" t="s">
        <v>8</v>
      </c>
      <c r="E251" s="15" t="s">
        <v>403</v>
      </c>
      <c r="F251" s="15" t="s">
        <v>99</v>
      </c>
      <c r="G251" s="15" t="s">
        <v>9</v>
      </c>
      <c r="H251" s="15" t="s">
        <v>9</v>
      </c>
      <c r="I251" s="15" t="s">
        <v>403</v>
      </c>
      <c r="J251" s="16" t="s">
        <v>404</v>
      </c>
      <c r="K251" s="16"/>
      <c r="L251" s="16"/>
      <c r="M251" s="16"/>
      <c r="N251" s="15"/>
      <c r="O251" s="15"/>
      <c r="P251" s="37"/>
    </row>
    <row r="252" spans="1:16" s="12" customFormat="1" ht="24.95" customHeight="1">
      <c r="A252" s="15" t="s">
        <v>405</v>
      </c>
      <c r="B252" s="55" t="s">
        <v>1297</v>
      </c>
      <c r="C252" s="15" t="s">
        <v>405</v>
      </c>
      <c r="D252" s="15" t="s">
        <v>8</v>
      </c>
      <c r="E252" s="15" t="s">
        <v>405</v>
      </c>
      <c r="F252" s="15" t="s">
        <v>94</v>
      </c>
      <c r="G252" s="15" t="s">
        <v>124</v>
      </c>
      <c r="H252" s="15">
        <v>8</v>
      </c>
      <c r="I252" s="15" t="s">
        <v>405</v>
      </c>
      <c r="J252" s="16" t="s">
        <v>958</v>
      </c>
      <c r="K252" s="16"/>
      <c r="L252" s="16"/>
      <c r="M252" s="16"/>
      <c r="N252" s="15"/>
      <c r="O252" s="15"/>
      <c r="P252" s="37"/>
    </row>
    <row r="253" spans="1:16" s="12" customFormat="1" ht="24.95" customHeight="1">
      <c r="A253" s="15" t="s">
        <v>406</v>
      </c>
      <c r="B253" s="55" t="s">
        <v>1297</v>
      </c>
      <c r="C253" s="15" t="s">
        <v>406</v>
      </c>
      <c r="D253" s="15" t="s">
        <v>8</v>
      </c>
      <c r="E253" s="15" t="s">
        <v>406</v>
      </c>
      <c r="F253" s="15" t="s">
        <v>92</v>
      </c>
      <c r="G253" s="15" t="s">
        <v>258</v>
      </c>
      <c r="H253" s="15" t="s">
        <v>9</v>
      </c>
      <c r="I253" s="15" t="s">
        <v>406</v>
      </c>
      <c r="J253" s="16" t="s">
        <v>959</v>
      </c>
      <c r="K253" s="16"/>
      <c r="L253" s="16"/>
      <c r="M253" s="16"/>
      <c r="N253" s="15"/>
      <c r="O253" s="15"/>
      <c r="P253" s="37"/>
    </row>
    <row r="254" spans="1:16" s="12" customFormat="1" ht="24.95" customHeight="1">
      <c r="A254" s="15" t="s">
        <v>407</v>
      </c>
      <c r="B254" s="55" t="s">
        <v>1297</v>
      </c>
      <c r="C254" s="15" t="s">
        <v>407</v>
      </c>
      <c r="D254" s="15" t="s">
        <v>8</v>
      </c>
      <c r="E254" s="15" t="s">
        <v>407</v>
      </c>
      <c r="F254" s="15" t="s">
        <v>99</v>
      </c>
      <c r="G254" s="15" t="s">
        <v>9</v>
      </c>
      <c r="H254" s="15">
        <v>8</v>
      </c>
      <c r="I254" s="15" t="s">
        <v>407</v>
      </c>
      <c r="J254" s="16" t="s">
        <v>275</v>
      </c>
      <c r="K254" s="16"/>
      <c r="L254" s="16"/>
      <c r="M254" s="16"/>
      <c r="N254" s="15"/>
      <c r="O254" s="15"/>
      <c r="P254" s="37"/>
    </row>
    <row r="255" spans="1:16" s="12" customFormat="1" ht="24.95" customHeight="1">
      <c r="A255" s="15" t="s">
        <v>408</v>
      </c>
      <c r="B255" s="55" t="s">
        <v>1297</v>
      </c>
      <c r="C255" s="15" t="s">
        <v>408</v>
      </c>
      <c r="D255" s="15" t="s">
        <v>58</v>
      </c>
      <c r="E255" s="15" t="s">
        <v>408</v>
      </c>
      <c r="F255" s="15" t="s">
        <v>94</v>
      </c>
      <c r="G255" s="15" t="s">
        <v>9</v>
      </c>
      <c r="H255" s="15" t="s">
        <v>9</v>
      </c>
      <c r="I255" s="15" t="s">
        <v>408</v>
      </c>
      <c r="J255" s="16" t="s">
        <v>960</v>
      </c>
      <c r="K255" s="16"/>
      <c r="L255" s="16"/>
      <c r="M255" s="16"/>
      <c r="N255" s="15"/>
      <c r="O255" s="15"/>
      <c r="P255" s="37"/>
    </row>
    <row r="256" spans="1:16" s="12" customFormat="1" ht="24.95" customHeight="1">
      <c r="A256" s="15" t="s">
        <v>409</v>
      </c>
      <c r="B256" s="55" t="s">
        <v>1297</v>
      </c>
      <c r="C256" s="15" t="s">
        <v>409</v>
      </c>
      <c r="D256" s="15" t="s">
        <v>8</v>
      </c>
      <c r="E256" s="15" t="s">
        <v>409</v>
      </c>
      <c r="F256" s="15" t="s">
        <v>169</v>
      </c>
      <c r="G256" s="15" t="s">
        <v>9</v>
      </c>
      <c r="H256" s="15" t="s">
        <v>877</v>
      </c>
      <c r="I256" s="15" t="s">
        <v>409</v>
      </c>
      <c r="J256" s="16" t="s">
        <v>961</v>
      </c>
      <c r="K256" s="16"/>
      <c r="L256" s="16"/>
      <c r="M256" s="16"/>
      <c r="N256" s="15"/>
      <c r="O256" s="15"/>
      <c r="P256" s="37"/>
    </row>
    <row r="257" spans="1:16" s="12" customFormat="1" ht="24.95" customHeight="1">
      <c r="A257" s="15" t="s">
        <v>410</v>
      </c>
      <c r="B257" s="55" t="s">
        <v>1297</v>
      </c>
      <c r="C257" s="15" t="s">
        <v>410</v>
      </c>
      <c r="D257" s="15" t="s">
        <v>8</v>
      </c>
      <c r="E257" s="15" t="s">
        <v>410</v>
      </c>
      <c r="F257" s="15" t="s">
        <v>149</v>
      </c>
      <c r="G257" s="15" t="s">
        <v>9</v>
      </c>
      <c r="H257" s="15" t="s">
        <v>9</v>
      </c>
      <c r="I257" s="15" t="s">
        <v>410</v>
      </c>
      <c r="J257" s="16" t="s">
        <v>411</v>
      </c>
      <c r="K257" s="16"/>
      <c r="L257" s="16"/>
      <c r="M257" s="16"/>
      <c r="N257" s="15"/>
      <c r="O257" s="15"/>
      <c r="P257" s="37"/>
    </row>
    <row r="258" spans="1:16" s="12" customFormat="1" ht="24.95" customHeight="1">
      <c r="A258" s="15" t="s">
        <v>412</v>
      </c>
      <c r="B258" s="55" t="s">
        <v>1297</v>
      </c>
      <c r="C258" s="15" t="s">
        <v>412</v>
      </c>
      <c r="D258" s="15" t="s">
        <v>8</v>
      </c>
      <c r="E258" s="15" t="s">
        <v>412</v>
      </c>
      <c r="F258" s="15" t="s">
        <v>149</v>
      </c>
      <c r="G258" s="15" t="s">
        <v>9</v>
      </c>
      <c r="H258" s="15" t="s">
        <v>9</v>
      </c>
      <c r="I258" s="15" t="s">
        <v>412</v>
      </c>
      <c r="J258" s="16" t="s">
        <v>413</v>
      </c>
      <c r="K258" s="16"/>
      <c r="L258" s="16"/>
      <c r="M258" s="16"/>
      <c r="N258" s="15"/>
      <c r="O258" s="15"/>
      <c r="P258" s="37"/>
    </row>
    <row r="259" spans="1:16" s="12" customFormat="1" ht="24.95" customHeight="1">
      <c r="A259" s="15" t="s">
        <v>414</v>
      </c>
      <c r="B259" s="55" t="s">
        <v>1297</v>
      </c>
      <c r="C259" s="15" t="s">
        <v>414</v>
      </c>
      <c r="D259" s="15" t="s">
        <v>8</v>
      </c>
      <c r="E259" s="15" t="s">
        <v>414</v>
      </c>
      <c r="F259" s="15" t="s">
        <v>261</v>
      </c>
      <c r="G259" s="15" t="s">
        <v>9</v>
      </c>
      <c r="H259" s="15" t="s">
        <v>9</v>
      </c>
      <c r="I259" s="15" t="s">
        <v>414</v>
      </c>
      <c r="J259" s="16" t="s">
        <v>415</v>
      </c>
      <c r="K259" s="16"/>
      <c r="L259" s="16"/>
      <c r="M259" s="16"/>
      <c r="N259" s="15"/>
      <c r="O259" s="15"/>
      <c r="P259" s="37"/>
    </row>
    <row r="260" spans="1:16" s="12" customFormat="1" ht="24.95" customHeight="1">
      <c r="A260" s="15" t="s">
        <v>416</v>
      </c>
      <c r="B260" s="55" t="s">
        <v>1297</v>
      </c>
      <c r="C260" s="15" t="s">
        <v>416</v>
      </c>
      <c r="D260" s="15" t="s">
        <v>58</v>
      </c>
      <c r="E260" s="15" t="s">
        <v>416</v>
      </c>
      <c r="F260" s="15" t="s">
        <v>114</v>
      </c>
      <c r="G260" s="15" t="s">
        <v>9</v>
      </c>
      <c r="H260" s="15" t="s">
        <v>9</v>
      </c>
      <c r="I260" s="15" t="s">
        <v>416</v>
      </c>
      <c r="J260" s="16" t="s">
        <v>417</v>
      </c>
      <c r="K260" s="16"/>
      <c r="L260" s="16"/>
      <c r="M260" s="16"/>
      <c r="N260" s="15"/>
      <c r="O260" s="15"/>
      <c r="P260" s="37"/>
    </row>
    <row r="261" spans="1:16" s="12" customFormat="1" ht="24.95" customHeight="1">
      <c r="A261" s="15" t="s">
        <v>418</v>
      </c>
      <c r="B261" s="55" t="s">
        <v>1297</v>
      </c>
      <c r="C261" s="15" t="s">
        <v>418</v>
      </c>
      <c r="D261" s="15" t="s">
        <v>58</v>
      </c>
      <c r="E261" s="15" t="s">
        <v>418</v>
      </c>
      <c r="F261" s="15" t="s">
        <v>101</v>
      </c>
      <c r="G261" s="15" t="s">
        <v>9</v>
      </c>
      <c r="H261" s="15" t="s">
        <v>9</v>
      </c>
      <c r="I261" s="15" t="s">
        <v>418</v>
      </c>
      <c r="J261" s="16" t="s">
        <v>275</v>
      </c>
      <c r="K261" s="16"/>
      <c r="L261" s="16"/>
      <c r="M261" s="16"/>
      <c r="N261" s="15"/>
      <c r="O261" s="15"/>
      <c r="P261" s="37"/>
    </row>
    <row r="262" spans="1:16" s="12" customFormat="1" ht="24.95" customHeight="1">
      <c r="A262" s="15" t="s">
        <v>419</v>
      </c>
      <c r="B262" s="55" t="s">
        <v>1297</v>
      </c>
      <c r="C262" s="15" t="s">
        <v>419</v>
      </c>
      <c r="D262" s="15" t="s">
        <v>8</v>
      </c>
      <c r="E262" s="15" t="s">
        <v>419</v>
      </c>
      <c r="F262" s="15" t="s">
        <v>104</v>
      </c>
      <c r="G262" s="15" t="s">
        <v>9</v>
      </c>
      <c r="H262" s="15" t="s">
        <v>9</v>
      </c>
      <c r="I262" s="15" t="s">
        <v>419</v>
      </c>
      <c r="J262" s="16" t="s">
        <v>275</v>
      </c>
      <c r="K262" s="16"/>
      <c r="L262" s="16"/>
      <c r="M262" s="16"/>
      <c r="N262" s="15"/>
      <c r="O262" s="15"/>
      <c r="P262" s="37"/>
    </row>
    <row r="263" spans="1:16" s="12" customFormat="1" ht="24.95" customHeight="1">
      <c r="A263" s="15" t="s">
        <v>420</v>
      </c>
      <c r="B263" s="55" t="s">
        <v>1297</v>
      </c>
      <c r="C263" s="15" t="s">
        <v>420</v>
      </c>
      <c r="D263" s="15" t="s">
        <v>58</v>
      </c>
      <c r="E263" s="15" t="s">
        <v>420</v>
      </c>
      <c r="F263" s="15" t="s">
        <v>88</v>
      </c>
      <c r="G263" s="15" t="s">
        <v>9</v>
      </c>
      <c r="H263" s="15" t="s">
        <v>9</v>
      </c>
      <c r="I263" s="15" t="s">
        <v>420</v>
      </c>
      <c r="J263" s="16" t="s">
        <v>195</v>
      </c>
      <c r="K263" s="16"/>
      <c r="L263" s="16"/>
      <c r="M263" s="16"/>
      <c r="N263" s="15"/>
      <c r="O263" s="15"/>
      <c r="P263" s="37"/>
    </row>
    <row r="264" spans="1:16" ht="39.950000000000003" customHeight="1">
      <c r="A264" s="56" t="s">
        <v>421</v>
      </c>
      <c r="B264" s="55" t="s">
        <v>1297</v>
      </c>
      <c r="C264" s="56" t="s">
        <v>421</v>
      </c>
      <c r="D264" s="55" t="s">
        <v>8</v>
      </c>
      <c r="E264" s="56" t="s">
        <v>421</v>
      </c>
      <c r="F264" s="58">
        <v>4400</v>
      </c>
      <c r="G264" s="58">
        <v>26400</v>
      </c>
      <c r="H264" s="55">
        <v>3900</v>
      </c>
      <c r="I264" s="56" t="s">
        <v>421</v>
      </c>
      <c r="J264" s="56" t="s">
        <v>54</v>
      </c>
      <c r="K264" s="56" t="s">
        <v>1170</v>
      </c>
      <c r="L264" s="16"/>
      <c r="M264" s="56" t="s">
        <v>1169</v>
      </c>
      <c r="N264" s="56" t="s">
        <v>1124</v>
      </c>
      <c r="O264" s="56" t="s">
        <v>1171</v>
      </c>
      <c r="P264" s="64" t="s">
        <v>1172</v>
      </c>
    </row>
    <row r="265" spans="1:16" s="12" customFormat="1" ht="24.95" customHeight="1">
      <c r="A265" s="15" t="s">
        <v>422</v>
      </c>
      <c r="B265" s="55" t="s">
        <v>1297</v>
      </c>
      <c r="C265" s="15" t="s">
        <v>422</v>
      </c>
      <c r="D265" s="15" t="s">
        <v>8</v>
      </c>
      <c r="E265" s="15" t="s">
        <v>422</v>
      </c>
      <c r="F265" s="15" t="s">
        <v>9</v>
      </c>
      <c r="G265" s="15">
        <v>0.09</v>
      </c>
      <c r="H265" s="15" t="s">
        <v>876</v>
      </c>
      <c r="I265" s="15" t="s">
        <v>422</v>
      </c>
      <c r="J265" s="16" t="s">
        <v>962</v>
      </c>
      <c r="K265" s="16"/>
      <c r="L265" s="16"/>
      <c r="M265" s="16"/>
      <c r="N265" s="16"/>
      <c r="O265" s="16"/>
      <c r="P265" s="42"/>
    </row>
    <row r="266" spans="1:16" ht="39.950000000000003" customHeight="1">
      <c r="A266" s="56" t="s">
        <v>423</v>
      </c>
      <c r="B266" s="55" t="s">
        <v>1297</v>
      </c>
      <c r="C266" s="56" t="s">
        <v>423</v>
      </c>
      <c r="D266" s="55" t="s">
        <v>8</v>
      </c>
      <c r="E266" s="56" t="s">
        <v>423</v>
      </c>
      <c r="F266" s="55" t="s">
        <v>9</v>
      </c>
      <c r="G266" s="55">
        <v>0.22</v>
      </c>
      <c r="H266" s="55">
        <v>4</v>
      </c>
      <c r="I266" s="56" t="s">
        <v>423</v>
      </c>
      <c r="J266" s="56" t="s">
        <v>963</v>
      </c>
      <c r="K266" s="56" t="s">
        <v>1135</v>
      </c>
      <c r="L266" s="16"/>
      <c r="M266" s="56" t="s">
        <v>1173</v>
      </c>
      <c r="N266" s="56" t="s">
        <v>1124</v>
      </c>
      <c r="O266" s="56" t="s">
        <v>1174</v>
      </c>
      <c r="P266" s="64" t="s">
        <v>1175</v>
      </c>
    </row>
    <row r="267" spans="1:16" s="12" customFormat="1" ht="24.95" customHeight="1">
      <c r="A267" s="15" t="s">
        <v>424</v>
      </c>
      <c r="B267" s="55" t="s">
        <v>1297</v>
      </c>
      <c r="C267" s="15" t="s">
        <v>424</v>
      </c>
      <c r="D267" s="15" t="s">
        <v>8</v>
      </c>
      <c r="E267" s="15" t="s">
        <v>424</v>
      </c>
      <c r="F267" s="15" t="s">
        <v>104</v>
      </c>
      <c r="G267" s="15" t="s">
        <v>9</v>
      </c>
      <c r="H267" s="15" t="s">
        <v>9</v>
      </c>
      <c r="I267" s="15" t="s">
        <v>424</v>
      </c>
      <c r="J267" s="16" t="s">
        <v>425</v>
      </c>
      <c r="K267" s="16"/>
      <c r="L267" s="16"/>
      <c r="M267" s="16"/>
      <c r="N267" s="15"/>
      <c r="O267" s="15"/>
      <c r="P267" s="37"/>
    </row>
    <row r="268" spans="1:16" ht="39.950000000000003" customHeight="1">
      <c r="A268" s="56" t="s">
        <v>426</v>
      </c>
      <c r="B268" s="55" t="s">
        <v>1297</v>
      </c>
      <c r="C268" s="56" t="s">
        <v>426</v>
      </c>
      <c r="D268" s="55" t="s">
        <v>8</v>
      </c>
      <c r="E268" s="56" t="s">
        <v>426</v>
      </c>
      <c r="F268" s="55">
        <v>0.18</v>
      </c>
      <c r="G268" s="55" t="s">
        <v>9</v>
      </c>
      <c r="H268" s="55">
        <v>4</v>
      </c>
      <c r="I268" s="56" t="s">
        <v>426</v>
      </c>
      <c r="J268" s="56" t="s">
        <v>919</v>
      </c>
      <c r="K268" s="56" t="s">
        <v>1178</v>
      </c>
      <c r="L268" s="16"/>
      <c r="M268" s="56" t="s">
        <v>1176</v>
      </c>
      <c r="N268" s="56" t="s">
        <v>1177</v>
      </c>
      <c r="O268" s="56">
        <v>0.1</v>
      </c>
      <c r="P268" s="64" t="s">
        <v>1179</v>
      </c>
    </row>
    <row r="269" spans="1:16" s="12" customFormat="1" ht="24.95" customHeight="1">
      <c r="A269" s="15" t="s">
        <v>427</v>
      </c>
      <c r="B269" s="55" t="s">
        <v>1297</v>
      </c>
      <c r="C269" s="15" t="s">
        <v>427</v>
      </c>
      <c r="D269" s="15" t="s">
        <v>58</v>
      </c>
      <c r="E269" s="15" t="s">
        <v>427</v>
      </c>
      <c r="F269" s="15" t="s">
        <v>99</v>
      </c>
      <c r="G269" s="15" t="s">
        <v>9</v>
      </c>
      <c r="H269" s="15" t="s">
        <v>9</v>
      </c>
      <c r="I269" s="15" t="s">
        <v>427</v>
      </c>
      <c r="J269" s="16" t="s">
        <v>919</v>
      </c>
      <c r="K269" s="16"/>
      <c r="L269" s="16"/>
      <c r="M269" s="16"/>
      <c r="N269" s="15"/>
      <c r="O269" s="15"/>
      <c r="P269" s="37"/>
    </row>
    <row r="270" spans="1:16" s="12" customFormat="1" ht="24.95" customHeight="1">
      <c r="A270" s="15" t="s">
        <v>428</v>
      </c>
      <c r="B270" s="55" t="s">
        <v>1297</v>
      </c>
      <c r="C270" s="15" t="s">
        <v>428</v>
      </c>
      <c r="D270" s="15" t="s">
        <v>8</v>
      </c>
      <c r="E270" s="15" t="s">
        <v>428</v>
      </c>
      <c r="F270" s="15" t="s">
        <v>88</v>
      </c>
      <c r="G270" s="15" t="s">
        <v>9</v>
      </c>
      <c r="H270" s="15" t="s">
        <v>9</v>
      </c>
      <c r="I270" s="15" t="s">
        <v>428</v>
      </c>
      <c r="J270" s="16" t="s">
        <v>429</v>
      </c>
      <c r="K270" s="16"/>
      <c r="L270" s="16"/>
      <c r="M270" s="16"/>
      <c r="N270" s="15"/>
      <c r="O270" s="15"/>
      <c r="P270" s="37"/>
    </row>
    <row r="271" spans="1:16" s="12" customFormat="1" ht="24.95" customHeight="1">
      <c r="A271" s="15" t="s">
        <v>430</v>
      </c>
      <c r="B271" s="55" t="s">
        <v>1297</v>
      </c>
      <c r="C271" s="15" t="s">
        <v>430</v>
      </c>
      <c r="D271" s="15" t="s">
        <v>8</v>
      </c>
      <c r="E271" s="15" t="s">
        <v>430</v>
      </c>
      <c r="F271" s="15">
        <v>44</v>
      </c>
      <c r="G271" s="15" t="s">
        <v>9</v>
      </c>
      <c r="H271" s="15" t="s">
        <v>9</v>
      </c>
      <c r="I271" s="15" t="s">
        <v>430</v>
      </c>
      <c r="J271" s="16" t="s">
        <v>899</v>
      </c>
      <c r="K271" s="16"/>
      <c r="L271" s="16"/>
      <c r="M271" s="16"/>
      <c r="N271" s="15"/>
      <c r="O271" s="15"/>
      <c r="P271" s="37"/>
    </row>
    <row r="272" spans="1:16" s="12" customFormat="1" ht="24.95" customHeight="1">
      <c r="A272" s="15" t="s">
        <v>431</v>
      </c>
      <c r="B272" s="55" t="s">
        <v>1297</v>
      </c>
      <c r="C272" s="15" t="s">
        <v>431</v>
      </c>
      <c r="D272" s="15" t="s">
        <v>58</v>
      </c>
      <c r="E272" s="15" t="s">
        <v>431</v>
      </c>
      <c r="F272" s="15" t="s">
        <v>92</v>
      </c>
      <c r="G272" s="15" t="s">
        <v>9</v>
      </c>
      <c r="H272" s="15" t="s">
        <v>9</v>
      </c>
      <c r="I272" s="15" t="s">
        <v>431</v>
      </c>
      <c r="J272" s="16" t="s">
        <v>964</v>
      </c>
      <c r="K272" s="16"/>
      <c r="L272" s="16"/>
      <c r="M272" s="16"/>
      <c r="N272" s="15"/>
      <c r="O272" s="15"/>
      <c r="P272" s="37"/>
    </row>
    <row r="273" spans="1:16" s="12" customFormat="1" ht="24.95" customHeight="1">
      <c r="A273" s="15" t="s">
        <v>432</v>
      </c>
      <c r="B273" s="55" t="s">
        <v>1297</v>
      </c>
      <c r="C273" s="15" t="s">
        <v>432</v>
      </c>
      <c r="D273" s="15" t="s">
        <v>8</v>
      </c>
      <c r="E273" s="15" t="s">
        <v>432</v>
      </c>
      <c r="F273" s="15" t="s">
        <v>92</v>
      </c>
      <c r="G273" s="15" t="s">
        <v>9</v>
      </c>
      <c r="H273" s="15" t="s">
        <v>9</v>
      </c>
      <c r="I273" s="15" t="s">
        <v>432</v>
      </c>
      <c r="J273" s="16" t="s">
        <v>912</v>
      </c>
      <c r="K273" s="16"/>
      <c r="L273" s="16"/>
      <c r="M273" s="16"/>
      <c r="N273" s="15"/>
      <c r="O273" s="15"/>
      <c r="P273" s="37"/>
    </row>
    <row r="274" spans="1:16" s="12" customFormat="1" ht="24.95" customHeight="1">
      <c r="A274" s="15" t="s">
        <v>433</v>
      </c>
      <c r="B274" s="55" t="s">
        <v>1297</v>
      </c>
      <c r="C274" s="15" t="s">
        <v>433</v>
      </c>
      <c r="D274" s="15" t="s">
        <v>8</v>
      </c>
      <c r="E274" s="15" t="s">
        <v>433</v>
      </c>
      <c r="F274" s="15" t="s">
        <v>101</v>
      </c>
      <c r="G274" s="15" t="s">
        <v>9</v>
      </c>
      <c r="H274" s="15">
        <v>16</v>
      </c>
      <c r="I274" s="15" t="s">
        <v>433</v>
      </c>
      <c r="J274" s="16" t="s">
        <v>434</v>
      </c>
      <c r="K274" s="16"/>
      <c r="L274" s="16"/>
      <c r="M274" s="16"/>
      <c r="N274" s="15"/>
      <c r="O274" s="15"/>
      <c r="P274" s="37"/>
    </row>
    <row r="275" spans="1:16" s="12" customFormat="1" ht="24.95" customHeight="1">
      <c r="A275" s="15" t="s">
        <v>435</v>
      </c>
      <c r="B275" s="55" t="s">
        <v>1297</v>
      </c>
      <c r="C275" s="15" t="s">
        <v>435</v>
      </c>
      <c r="D275" s="15" t="s">
        <v>8</v>
      </c>
      <c r="E275" s="15" t="s">
        <v>435</v>
      </c>
      <c r="F275" s="15" t="s">
        <v>92</v>
      </c>
      <c r="G275" s="15" t="s">
        <v>9</v>
      </c>
      <c r="H275" s="15" t="s">
        <v>9</v>
      </c>
      <c r="I275" s="15" t="s">
        <v>435</v>
      </c>
      <c r="J275" s="16" t="s">
        <v>965</v>
      </c>
      <c r="K275" s="16"/>
      <c r="L275" s="16"/>
      <c r="M275" s="16"/>
      <c r="N275" s="15"/>
      <c r="O275" s="15"/>
      <c r="P275" s="37"/>
    </row>
    <row r="276" spans="1:16" s="12" customFormat="1" ht="24.95" customHeight="1">
      <c r="A276" s="15" t="s">
        <v>436</v>
      </c>
      <c r="B276" s="55" t="s">
        <v>1297</v>
      </c>
      <c r="C276" s="15" t="s">
        <v>436</v>
      </c>
      <c r="D276" s="15" t="s">
        <v>58</v>
      </c>
      <c r="E276" s="15" t="s">
        <v>436</v>
      </c>
      <c r="F276" s="15" t="s">
        <v>86</v>
      </c>
      <c r="G276" s="15" t="s">
        <v>9</v>
      </c>
      <c r="H276" s="15" t="s">
        <v>9</v>
      </c>
      <c r="I276" s="15" t="s">
        <v>436</v>
      </c>
      <c r="J276" s="16" t="s">
        <v>437</v>
      </c>
      <c r="K276" s="16"/>
      <c r="L276" s="16"/>
      <c r="M276" s="16"/>
      <c r="N276" s="15"/>
      <c r="O276" s="15"/>
      <c r="P276" s="37"/>
    </row>
    <row r="277" spans="1:16" s="12" customFormat="1" ht="24.95" customHeight="1">
      <c r="A277" s="15" t="s">
        <v>438</v>
      </c>
      <c r="B277" s="55" t="s">
        <v>1297</v>
      </c>
      <c r="C277" s="15" t="s">
        <v>438</v>
      </c>
      <c r="D277" s="15" t="s">
        <v>58</v>
      </c>
      <c r="E277" s="15" t="s">
        <v>438</v>
      </c>
      <c r="F277" s="15" t="s">
        <v>149</v>
      </c>
      <c r="G277" s="15" t="s">
        <v>9</v>
      </c>
      <c r="H277" s="15" t="s">
        <v>9</v>
      </c>
      <c r="I277" s="15" t="s">
        <v>438</v>
      </c>
      <c r="J277" s="16" t="s">
        <v>195</v>
      </c>
      <c r="K277" s="16"/>
      <c r="L277" s="16"/>
      <c r="M277" s="16"/>
      <c r="N277" s="15"/>
      <c r="O277" s="15"/>
      <c r="P277" s="37"/>
    </row>
    <row r="278" spans="1:16" s="12" customFormat="1" ht="24.95" customHeight="1">
      <c r="A278" s="15" t="s">
        <v>439</v>
      </c>
      <c r="B278" s="55" t="s">
        <v>1297</v>
      </c>
      <c r="C278" s="15" t="s">
        <v>439</v>
      </c>
      <c r="D278" s="15" t="s">
        <v>58</v>
      </c>
      <c r="E278" s="15" t="s">
        <v>439</v>
      </c>
      <c r="F278" s="15" t="s">
        <v>99</v>
      </c>
      <c r="G278" s="15" t="s">
        <v>9</v>
      </c>
      <c r="H278" s="15" t="s">
        <v>9</v>
      </c>
      <c r="I278" s="15" t="s">
        <v>439</v>
      </c>
      <c r="J278" s="16" t="s">
        <v>899</v>
      </c>
      <c r="K278" s="16"/>
      <c r="L278" s="16"/>
      <c r="M278" s="16"/>
      <c r="N278" s="15"/>
      <c r="O278" s="15"/>
      <c r="P278" s="37"/>
    </row>
    <row r="279" spans="1:16" s="12" customFormat="1" ht="24.95" customHeight="1">
      <c r="A279" s="15" t="s">
        <v>440</v>
      </c>
      <c r="B279" s="55" t="s">
        <v>1297</v>
      </c>
      <c r="C279" s="15" t="s">
        <v>440</v>
      </c>
      <c r="D279" s="15" t="s">
        <v>8</v>
      </c>
      <c r="E279" s="15" t="s">
        <v>440</v>
      </c>
      <c r="F279" s="15" t="s">
        <v>99</v>
      </c>
      <c r="G279" s="15" t="s">
        <v>9</v>
      </c>
      <c r="H279" s="15" t="s">
        <v>9</v>
      </c>
      <c r="I279" s="15" t="s">
        <v>440</v>
      </c>
      <c r="J279" s="16" t="s">
        <v>899</v>
      </c>
      <c r="K279" s="16"/>
      <c r="L279" s="16"/>
      <c r="M279" s="16"/>
      <c r="N279" s="15"/>
      <c r="O279" s="15"/>
      <c r="P279" s="37"/>
    </row>
    <row r="280" spans="1:16" s="12" customFormat="1" ht="24.95" customHeight="1">
      <c r="A280" s="15" t="s">
        <v>441</v>
      </c>
      <c r="B280" s="55" t="s">
        <v>1297</v>
      </c>
      <c r="C280" s="15" t="s">
        <v>441</v>
      </c>
      <c r="D280" s="15" t="s">
        <v>8</v>
      </c>
      <c r="E280" s="15" t="s">
        <v>441</v>
      </c>
      <c r="F280" s="15" t="s">
        <v>88</v>
      </c>
      <c r="G280" s="15" t="s">
        <v>9</v>
      </c>
      <c r="H280" s="15" t="s">
        <v>9</v>
      </c>
      <c r="I280" s="15" t="s">
        <v>441</v>
      </c>
      <c r="J280" s="16" t="s">
        <v>899</v>
      </c>
      <c r="K280" s="16"/>
      <c r="L280" s="16"/>
      <c r="M280" s="16"/>
      <c r="N280" s="15"/>
      <c r="O280" s="15"/>
      <c r="P280" s="37"/>
    </row>
    <row r="281" spans="1:16" s="12" customFormat="1" ht="24.95" customHeight="1">
      <c r="A281" s="15" t="s">
        <v>442</v>
      </c>
      <c r="B281" s="55" t="s">
        <v>1297</v>
      </c>
      <c r="C281" s="15" t="s">
        <v>442</v>
      </c>
      <c r="D281" s="15" t="s">
        <v>58</v>
      </c>
      <c r="E281" s="15" t="s">
        <v>442</v>
      </c>
      <c r="F281" s="15" t="s">
        <v>88</v>
      </c>
      <c r="G281" s="15" t="s">
        <v>9</v>
      </c>
      <c r="H281" s="15" t="s">
        <v>9</v>
      </c>
      <c r="I281" s="15" t="s">
        <v>442</v>
      </c>
      <c r="J281" s="16" t="s">
        <v>966</v>
      </c>
      <c r="K281" s="16"/>
      <c r="L281" s="16"/>
      <c r="M281" s="16"/>
      <c r="N281" s="15"/>
      <c r="O281" s="15"/>
      <c r="P281" s="37"/>
    </row>
    <row r="282" spans="1:16" s="12" customFormat="1" ht="24.95" customHeight="1">
      <c r="A282" s="15" t="s">
        <v>443</v>
      </c>
      <c r="B282" s="55" t="s">
        <v>1297</v>
      </c>
      <c r="C282" s="15" t="s">
        <v>443</v>
      </c>
      <c r="D282" s="15" t="s">
        <v>58</v>
      </c>
      <c r="E282" s="15" t="s">
        <v>443</v>
      </c>
      <c r="F282" s="15" t="s">
        <v>88</v>
      </c>
      <c r="G282" s="15" t="s">
        <v>9</v>
      </c>
      <c r="H282" s="15" t="s">
        <v>9</v>
      </c>
      <c r="I282" s="15" t="s">
        <v>443</v>
      </c>
      <c r="J282" s="16" t="s">
        <v>444</v>
      </c>
      <c r="K282" s="16"/>
      <c r="L282" s="16"/>
      <c r="M282" s="16"/>
      <c r="N282" s="15"/>
      <c r="O282" s="15"/>
      <c r="P282" s="37"/>
    </row>
    <row r="283" spans="1:16" s="12" customFormat="1" ht="24.95" customHeight="1">
      <c r="A283" s="15" t="s">
        <v>445</v>
      </c>
      <c r="B283" s="55" t="s">
        <v>1297</v>
      </c>
      <c r="C283" s="15" t="s">
        <v>445</v>
      </c>
      <c r="D283" s="15" t="s">
        <v>8</v>
      </c>
      <c r="E283" s="15" t="s">
        <v>445</v>
      </c>
      <c r="F283" s="15">
        <v>66</v>
      </c>
      <c r="G283" s="15" t="s">
        <v>9</v>
      </c>
      <c r="H283" s="15" t="s">
        <v>9</v>
      </c>
      <c r="I283" s="15" t="s">
        <v>445</v>
      </c>
      <c r="J283" s="16" t="s">
        <v>446</v>
      </c>
      <c r="K283" s="16"/>
      <c r="L283" s="16"/>
      <c r="M283" s="16"/>
      <c r="N283" s="15"/>
      <c r="O283" s="15"/>
      <c r="P283" s="37"/>
    </row>
    <row r="284" spans="1:16" s="12" customFormat="1" ht="24.95" customHeight="1">
      <c r="A284" s="15" t="s">
        <v>447</v>
      </c>
      <c r="B284" s="55" t="s">
        <v>1297</v>
      </c>
      <c r="C284" s="15" t="s">
        <v>447</v>
      </c>
      <c r="D284" s="15" t="s">
        <v>8</v>
      </c>
      <c r="E284" s="15" t="s">
        <v>447</v>
      </c>
      <c r="F284" s="15" t="s">
        <v>92</v>
      </c>
      <c r="G284" s="15" t="s">
        <v>9</v>
      </c>
      <c r="H284" s="15" t="s">
        <v>9</v>
      </c>
      <c r="I284" s="15" t="s">
        <v>447</v>
      </c>
      <c r="J284" s="16" t="s">
        <v>967</v>
      </c>
      <c r="K284" s="16"/>
      <c r="L284" s="16"/>
      <c r="M284" s="16"/>
      <c r="N284" s="15"/>
      <c r="O284" s="15"/>
      <c r="P284" s="37"/>
    </row>
    <row r="285" spans="1:16" s="12" customFormat="1" ht="24.95" customHeight="1">
      <c r="A285" s="15" t="s">
        <v>448</v>
      </c>
      <c r="B285" s="55" t="s">
        <v>1297</v>
      </c>
      <c r="C285" s="15" t="s">
        <v>448</v>
      </c>
      <c r="D285" s="15" t="s">
        <v>58</v>
      </c>
      <c r="E285" s="15" t="s">
        <v>448</v>
      </c>
      <c r="F285" s="15" t="s">
        <v>88</v>
      </c>
      <c r="G285" s="15" t="s">
        <v>9</v>
      </c>
      <c r="H285" s="15" t="s">
        <v>9</v>
      </c>
      <c r="I285" s="15" t="s">
        <v>448</v>
      </c>
      <c r="J285" s="16" t="s">
        <v>195</v>
      </c>
      <c r="K285" s="16"/>
      <c r="L285" s="16"/>
      <c r="M285" s="16"/>
      <c r="N285" s="15"/>
      <c r="O285" s="15"/>
      <c r="P285" s="37"/>
    </row>
    <row r="286" spans="1:16" ht="24.95" customHeight="1">
      <c r="A286" s="56" t="s">
        <v>449</v>
      </c>
      <c r="B286" s="55" t="s">
        <v>1297</v>
      </c>
      <c r="C286" s="56" t="s">
        <v>449</v>
      </c>
      <c r="D286" s="55" t="s">
        <v>58</v>
      </c>
      <c r="E286" s="56" t="s">
        <v>449</v>
      </c>
      <c r="F286" s="55">
        <v>1.76</v>
      </c>
      <c r="G286" s="55" t="s">
        <v>9</v>
      </c>
      <c r="H286" s="55" t="s">
        <v>9</v>
      </c>
      <c r="I286" s="56" t="s">
        <v>449</v>
      </c>
      <c r="J286" s="56" t="s">
        <v>450</v>
      </c>
      <c r="K286" s="56" t="s">
        <v>1135</v>
      </c>
      <c r="L286" s="16" t="s">
        <v>1154</v>
      </c>
      <c r="M286" s="56" t="s">
        <v>1231</v>
      </c>
      <c r="N286" s="56" t="s">
        <v>1232</v>
      </c>
      <c r="O286" s="56" t="s">
        <v>1155</v>
      </c>
      <c r="P286" s="64" t="s">
        <v>1180</v>
      </c>
    </row>
    <row r="287" spans="1:16" s="12" customFormat="1" ht="24.95" customHeight="1">
      <c r="A287" s="15" t="s">
        <v>451</v>
      </c>
      <c r="B287" s="55" t="s">
        <v>1297</v>
      </c>
      <c r="C287" s="15" t="s">
        <v>451</v>
      </c>
      <c r="D287" s="15" t="s">
        <v>58</v>
      </c>
      <c r="E287" s="15" t="s">
        <v>451</v>
      </c>
      <c r="F287" s="15" t="s">
        <v>99</v>
      </c>
      <c r="G287" s="15" t="s">
        <v>9</v>
      </c>
      <c r="H287" s="15" t="s">
        <v>9</v>
      </c>
      <c r="I287" s="15" t="s">
        <v>451</v>
      </c>
      <c r="J287" s="16" t="s">
        <v>902</v>
      </c>
      <c r="K287" s="16"/>
      <c r="L287" s="16"/>
      <c r="M287" s="16"/>
      <c r="N287" s="15"/>
      <c r="O287" s="15"/>
      <c r="P287" s="37"/>
    </row>
    <row r="288" spans="1:16" ht="24.95" customHeight="1">
      <c r="A288" s="56" t="s">
        <v>452</v>
      </c>
      <c r="B288" s="56" t="s">
        <v>1289</v>
      </c>
      <c r="C288" s="56" t="s">
        <v>452</v>
      </c>
      <c r="D288" s="55" t="s">
        <v>8</v>
      </c>
      <c r="E288" s="56" t="s">
        <v>452</v>
      </c>
      <c r="F288" s="55">
        <v>8.8800000000000008</v>
      </c>
      <c r="G288" s="55">
        <v>17.600000000000001</v>
      </c>
      <c r="H288" s="55">
        <v>78</v>
      </c>
      <c r="I288" s="56" t="s">
        <v>452</v>
      </c>
      <c r="J288" s="56" t="s">
        <v>968</v>
      </c>
      <c r="K288" s="56" t="s">
        <v>1143</v>
      </c>
      <c r="L288" s="16" t="s">
        <v>1181</v>
      </c>
      <c r="M288" s="56" t="s">
        <v>1235</v>
      </c>
      <c r="N288" s="56" t="s">
        <v>1233</v>
      </c>
      <c r="O288" s="56" t="s">
        <v>1182</v>
      </c>
      <c r="P288" s="64" t="s">
        <v>1183</v>
      </c>
    </row>
    <row r="289" spans="1:16" s="12" customFormat="1" ht="24.95" customHeight="1">
      <c r="A289" s="15" t="s">
        <v>454</v>
      </c>
      <c r="B289" s="55" t="s">
        <v>1297</v>
      </c>
      <c r="C289" s="15" t="s">
        <v>454</v>
      </c>
      <c r="D289" s="15" t="s">
        <v>58</v>
      </c>
      <c r="E289" s="15" t="s">
        <v>454</v>
      </c>
      <c r="F289" s="15" t="s">
        <v>261</v>
      </c>
      <c r="G289" s="15" t="s">
        <v>9</v>
      </c>
      <c r="H289" s="15" t="s">
        <v>9</v>
      </c>
      <c r="I289" s="15" t="s">
        <v>454</v>
      </c>
      <c r="J289" s="16" t="s">
        <v>140</v>
      </c>
      <c r="K289" s="16"/>
      <c r="L289" s="16"/>
      <c r="M289" s="16"/>
      <c r="N289" s="15"/>
      <c r="O289" s="15"/>
      <c r="P289" s="37"/>
    </row>
    <row r="290" spans="1:16" ht="24.95" customHeight="1">
      <c r="A290" s="56" t="s">
        <v>455</v>
      </c>
      <c r="B290" s="55" t="s">
        <v>1297</v>
      </c>
      <c r="C290" s="56" t="s">
        <v>455</v>
      </c>
      <c r="D290" s="55" t="s">
        <v>8</v>
      </c>
      <c r="E290" s="56" t="s">
        <v>455</v>
      </c>
      <c r="F290" s="55" t="s">
        <v>9</v>
      </c>
      <c r="G290" s="55">
        <v>880</v>
      </c>
      <c r="H290" s="55" t="s">
        <v>9</v>
      </c>
      <c r="I290" s="56" t="s">
        <v>455</v>
      </c>
      <c r="J290" s="56" t="s">
        <v>899</v>
      </c>
      <c r="K290" s="56" t="s">
        <v>1143</v>
      </c>
      <c r="L290" s="16" t="s">
        <v>1184</v>
      </c>
      <c r="M290" s="56" t="s">
        <v>1225</v>
      </c>
      <c r="N290" s="56" t="s">
        <v>1233</v>
      </c>
      <c r="O290" s="56" t="s">
        <v>1185</v>
      </c>
      <c r="P290" s="64" t="s">
        <v>1186</v>
      </c>
    </row>
    <row r="291" spans="1:16" s="12" customFormat="1" ht="24.95" customHeight="1">
      <c r="A291" s="15" t="s">
        <v>456</v>
      </c>
      <c r="B291" s="55" t="s">
        <v>1297</v>
      </c>
      <c r="C291" s="15" t="s">
        <v>456</v>
      </c>
      <c r="D291" s="15" t="s">
        <v>8</v>
      </c>
      <c r="E291" s="15" t="s">
        <v>456</v>
      </c>
      <c r="F291" s="15" t="s">
        <v>102</v>
      </c>
      <c r="G291" s="15" t="s">
        <v>216</v>
      </c>
      <c r="H291" s="15" t="s">
        <v>9</v>
      </c>
      <c r="I291" s="15" t="s">
        <v>456</v>
      </c>
      <c r="J291" s="16" t="s">
        <v>969</v>
      </c>
      <c r="K291" s="16"/>
      <c r="L291" s="16"/>
      <c r="M291" s="16"/>
      <c r="N291" s="15"/>
      <c r="O291" s="15"/>
      <c r="P291" s="37"/>
    </row>
    <row r="292" spans="1:16" s="12" customFormat="1" ht="24.95" customHeight="1">
      <c r="A292" s="15" t="s">
        <v>457</v>
      </c>
      <c r="B292" s="55" t="s">
        <v>1297</v>
      </c>
      <c r="C292" s="15" t="s">
        <v>457</v>
      </c>
      <c r="D292" s="15" t="s">
        <v>8</v>
      </c>
      <c r="E292" s="15" t="s">
        <v>457</v>
      </c>
      <c r="F292" s="15" t="s">
        <v>101</v>
      </c>
      <c r="G292" s="15" t="s">
        <v>9</v>
      </c>
      <c r="H292" s="15" t="s">
        <v>9</v>
      </c>
      <c r="I292" s="15" t="s">
        <v>457</v>
      </c>
      <c r="J292" s="16" t="s">
        <v>970</v>
      </c>
      <c r="K292" s="16"/>
      <c r="L292" s="16"/>
      <c r="M292" s="16"/>
      <c r="N292" s="15"/>
      <c r="O292" s="15"/>
      <c r="P292" s="37"/>
    </row>
    <row r="293" spans="1:16" s="12" customFormat="1" ht="24.95" customHeight="1">
      <c r="A293" s="15" t="s">
        <v>458</v>
      </c>
      <c r="B293" s="55" t="s">
        <v>1297</v>
      </c>
      <c r="C293" s="15" t="s">
        <v>458</v>
      </c>
      <c r="D293" s="15" t="s">
        <v>8</v>
      </c>
      <c r="E293" s="15" t="s">
        <v>458</v>
      </c>
      <c r="F293" s="15" t="s">
        <v>102</v>
      </c>
      <c r="G293" s="15" t="s">
        <v>9</v>
      </c>
      <c r="H293" s="15" t="s">
        <v>9</v>
      </c>
      <c r="I293" s="15" t="s">
        <v>458</v>
      </c>
      <c r="J293" s="16" t="s">
        <v>459</v>
      </c>
      <c r="K293" s="16"/>
      <c r="L293" s="16"/>
      <c r="M293" s="16"/>
      <c r="N293" s="15"/>
      <c r="O293" s="15"/>
      <c r="P293" s="37"/>
    </row>
    <row r="294" spans="1:16" s="12" customFormat="1" ht="24.95" customHeight="1">
      <c r="A294" s="15" t="s">
        <v>460</v>
      </c>
      <c r="B294" s="55" t="s">
        <v>1297</v>
      </c>
      <c r="C294" s="15" t="s">
        <v>460</v>
      </c>
      <c r="D294" s="15" t="s">
        <v>8</v>
      </c>
      <c r="E294" s="15" t="s">
        <v>460</v>
      </c>
      <c r="F294" s="15" t="s">
        <v>339</v>
      </c>
      <c r="G294" s="15" t="s">
        <v>9</v>
      </c>
      <c r="H294" s="15" t="s">
        <v>9</v>
      </c>
      <c r="I294" s="15" t="s">
        <v>460</v>
      </c>
      <c r="J294" s="16" t="s">
        <v>340</v>
      </c>
      <c r="K294" s="16"/>
      <c r="L294" s="16"/>
      <c r="M294" s="16"/>
      <c r="N294" s="15"/>
      <c r="O294" s="15"/>
      <c r="P294" s="37"/>
    </row>
    <row r="295" spans="1:16" s="12" customFormat="1" ht="24.95" customHeight="1">
      <c r="A295" s="16" t="s">
        <v>461</v>
      </c>
      <c r="B295" s="55" t="s">
        <v>1297</v>
      </c>
      <c r="C295" s="16" t="s">
        <v>461</v>
      </c>
      <c r="D295" s="15" t="s">
        <v>8</v>
      </c>
      <c r="E295" s="16" t="s">
        <v>461</v>
      </c>
      <c r="F295" s="15" t="s">
        <v>149</v>
      </c>
      <c r="G295" s="15" t="s">
        <v>261</v>
      </c>
      <c r="H295" s="15" t="s">
        <v>9</v>
      </c>
      <c r="I295" s="16" t="s">
        <v>461</v>
      </c>
      <c r="J295" s="16" t="s">
        <v>902</v>
      </c>
      <c r="K295" s="16"/>
      <c r="L295" s="16"/>
      <c r="M295" s="16"/>
      <c r="N295" s="15"/>
      <c r="O295" s="15"/>
      <c r="P295" s="37"/>
    </row>
    <row r="296" spans="1:16" s="12" customFormat="1" ht="24.95" customHeight="1">
      <c r="A296" s="15" t="s">
        <v>462</v>
      </c>
      <c r="B296" s="55" t="s">
        <v>1297</v>
      </c>
      <c r="C296" s="15" t="s">
        <v>462</v>
      </c>
      <c r="D296" s="15" t="s">
        <v>8</v>
      </c>
      <c r="E296" s="15" t="s">
        <v>462</v>
      </c>
      <c r="F296" s="15" t="s">
        <v>94</v>
      </c>
      <c r="G296" s="15" t="s">
        <v>99</v>
      </c>
      <c r="H296" s="15">
        <v>4</v>
      </c>
      <c r="I296" s="15" t="s">
        <v>462</v>
      </c>
      <c r="J296" s="16" t="s">
        <v>926</v>
      </c>
      <c r="K296" s="16"/>
      <c r="L296" s="16"/>
      <c r="M296" s="16"/>
      <c r="N296" s="15"/>
      <c r="O296" s="15"/>
      <c r="P296" s="37"/>
    </row>
    <row r="297" spans="1:16" s="12" customFormat="1" ht="24.95" customHeight="1">
      <c r="A297" s="15" t="s">
        <v>463</v>
      </c>
      <c r="B297" s="55" t="s">
        <v>1297</v>
      </c>
      <c r="C297" s="15" t="s">
        <v>463</v>
      </c>
      <c r="D297" s="15" t="s">
        <v>8</v>
      </c>
      <c r="E297" s="15" t="s">
        <v>463</v>
      </c>
      <c r="F297" s="15" t="s">
        <v>169</v>
      </c>
      <c r="G297" s="15" t="s">
        <v>9</v>
      </c>
      <c r="H297" s="15" t="s">
        <v>9</v>
      </c>
      <c r="I297" s="15" t="s">
        <v>463</v>
      </c>
      <c r="J297" s="16" t="s">
        <v>971</v>
      </c>
      <c r="K297" s="16"/>
      <c r="L297" s="16"/>
      <c r="M297" s="16"/>
      <c r="N297" s="15"/>
      <c r="O297" s="15"/>
      <c r="P297" s="37"/>
    </row>
    <row r="298" spans="1:16" s="12" customFormat="1" ht="24.95" customHeight="1">
      <c r="A298" s="15" t="s">
        <v>464</v>
      </c>
      <c r="B298" s="55" t="s">
        <v>1297</v>
      </c>
      <c r="C298" s="15" t="s">
        <v>464</v>
      </c>
      <c r="D298" s="15" t="s">
        <v>8</v>
      </c>
      <c r="E298" s="15" t="s">
        <v>464</v>
      </c>
      <c r="F298" s="15">
        <v>22</v>
      </c>
      <c r="G298" s="15" t="s">
        <v>9</v>
      </c>
      <c r="H298" s="15" t="s">
        <v>9</v>
      </c>
      <c r="I298" s="15" t="s">
        <v>464</v>
      </c>
      <c r="J298" s="16" t="s">
        <v>972</v>
      </c>
      <c r="K298" s="16"/>
      <c r="L298" s="16"/>
      <c r="M298" s="16"/>
      <c r="N298" s="15"/>
      <c r="O298" s="15"/>
      <c r="P298" s="37"/>
    </row>
    <row r="299" spans="1:16" s="12" customFormat="1" ht="24.95" customHeight="1">
      <c r="A299" s="15" t="s">
        <v>465</v>
      </c>
      <c r="B299" s="55" t="s">
        <v>1297</v>
      </c>
      <c r="C299" s="15" t="s">
        <v>465</v>
      </c>
      <c r="D299" s="15" t="s">
        <v>8</v>
      </c>
      <c r="E299" s="15" t="s">
        <v>465</v>
      </c>
      <c r="F299" s="15">
        <v>352</v>
      </c>
      <c r="G299" s="15">
        <v>440</v>
      </c>
      <c r="H299" s="15">
        <v>310</v>
      </c>
      <c r="I299" s="15" t="s">
        <v>465</v>
      </c>
      <c r="J299" s="16" t="s">
        <v>973</v>
      </c>
      <c r="K299" s="16"/>
      <c r="L299" s="16"/>
      <c r="M299" s="16"/>
      <c r="N299" s="15"/>
      <c r="O299" s="15"/>
      <c r="P299" s="37"/>
    </row>
    <row r="300" spans="1:16" s="12" customFormat="1" ht="24.95" customHeight="1">
      <c r="A300" s="15" t="s">
        <v>466</v>
      </c>
      <c r="B300" s="55" t="s">
        <v>1297</v>
      </c>
      <c r="C300" s="15" t="s">
        <v>466</v>
      </c>
      <c r="D300" s="15" t="s">
        <v>8</v>
      </c>
      <c r="E300" s="15" t="s">
        <v>466</v>
      </c>
      <c r="F300" s="15" t="s">
        <v>101</v>
      </c>
      <c r="G300" s="15" t="s">
        <v>86</v>
      </c>
      <c r="H300" s="15" t="s">
        <v>9</v>
      </c>
      <c r="I300" s="15" t="s">
        <v>466</v>
      </c>
      <c r="J300" s="16" t="s">
        <v>926</v>
      </c>
      <c r="K300" s="16"/>
      <c r="L300" s="16"/>
      <c r="M300" s="16"/>
      <c r="N300" s="15"/>
      <c r="O300" s="15"/>
      <c r="P300" s="37"/>
    </row>
    <row r="301" spans="1:16" s="12" customFormat="1" ht="24.95" customHeight="1">
      <c r="A301" s="15" t="s">
        <v>467</v>
      </c>
      <c r="B301" s="55" t="s">
        <v>1297</v>
      </c>
      <c r="C301" s="15" t="s">
        <v>467</v>
      </c>
      <c r="D301" s="15" t="s">
        <v>8</v>
      </c>
      <c r="E301" s="15" t="s">
        <v>467</v>
      </c>
      <c r="F301" s="15" t="s">
        <v>88</v>
      </c>
      <c r="G301" s="15" t="s">
        <v>9</v>
      </c>
      <c r="H301" s="15" t="s">
        <v>9</v>
      </c>
      <c r="I301" s="15" t="s">
        <v>467</v>
      </c>
      <c r="J301" s="16" t="s">
        <v>468</v>
      </c>
      <c r="K301" s="16"/>
      <c r="L301" s="16"/>
      <c r="M301" s="16"/>
      <c r="N301" s="15"/>
      <c r="O301" s="15"/>
      <c r="P301" s="37"/>
    </row>
    <row r="302" spans="1:16" s="12" customFormat="1" ht="24.95" customHeight="1">
      <c r="A302" s="15" t="s">
        <v>469</v>
      </c>
      <c r="B302" s="55" t="s">
        <v>1297</v>
      </c>
      <c r="C302" s="15" t="s">
        <v>469</v>
      </c>
      <c r="D302" s="15" t="s">
        <v>8</v>
      </c>
      <c r="E302" s="15" t="s">
        <v>469</v>
      </c>
      <c r="F302" s="15">
        <v>44</v>
      </c>
      <c r="G302" s="15">
        <v>66</v>
      </c>
      <c r="H302" s="15" t="s">
        <v>9</v>
      </c>
      <c r="I302" s="15" t="s">
        <v>469</v>
      </c>
      <c r="J302" s="16" t="s">
        <v>929</v>
      </c>
      <c r="K302" s="16"/>
      <c r="L302" s="16"/>
      <c r="M302" s="16"/>
      <c r="N302" s="15"/>
      <c r="O302" s="15"/>
      <c r="P302" s="37"/>
    </row>
    <row r="303" spans="1:16" s="12" customFormat="1" ht="24.95" customHeight="1">
      <c r="A303" s="15" t="s">
        <v>470</v>
      </c>
      <c r="B303" s="55" t="s">
        <v>1297</v>
      </c>
      <c r="C303" s="15" t="s">
        <v>470</v>
      </c>
      <c r="D303" s="15" t="s">
        <v>8</v>
      </c>
      <c r="E303" s="15" t="s">
        <v>470</v>
      </c>
      <c r="F303" s="15">
        <v>220</v>
      </c>
      <c r="G303" s="15" t="s">
        <v>471</v>
      </c>
      <c r="H303" s="15" t="s">
        <v>9</v>
      </c>
      <c r="I303" s="15" t="s">
        <v>470</v>
      </c>
      <c r="J303" s="16" t="s">
        <v>147</v>
      </c>
      <c r="K303" s="16"/>
      <c r="L303" s="16"/>
      <c r="M303" s="16"/>
      <c r="N303" s="15"/>
      <c r="O303" s="15"/>
      <c r="P303" s="37"/>
    </row>
    <row r="304" spans="1:16" s="12" customFormat="1" ht="24.95" customHeight="1">
      <c r="A304" s="16" t="s">
        <v>472</v>
      </c>
      <c r="B304" s="55" t="s">
        <v>1297</v>
      </c>
      <c r="C304" s="16" t="s">
        <v>472</v>
      </c>
      <c r="D304" s="15" t="s">
        <v>58</v>
      </c>
      <c r="E304" s="16" t="s">
        <v>472</v>
      </c>
      <c r="F304" s="15">
        <v>22</v>
      </c>
      <c r="G304" s="15" t="s">
        <v>9</v>
      </c>
      <c r="H304" s="15" t="s">
        <v>9</v>
      </c>
      <c r="I304" s="16" t="s">
        <v>472</v>
      </c>
      <c r="J304" s="16" t="s">
        <v>425</v>
      </c>
      <c r="K304" s="16"/>
      <c r="L304" s="16"/>
      <c r="M304" s="16"/>
      <c r="N304" s="15"/>
      <c r="O304" s="15"/>
      <c r="P304" s="37"/>
    </row>
    <row r="305" spans="1:16" s="12" customFormat="1" ht="24.95" customHeight="1">
      <c r="A305" s="15" t="s">
        <v>473</v>
      </c>
      <c r="B305" s="55" t="s">
        <v>1297</v>
      </c>
      <c r="C305" s="15" t="s">
        <v>473</v>
      </c>
      <c r="D305" s="15" t="s">
        <v>8</v>
      </c>
      <c r="E305" s="15" t="s">
        <v>473</v>
      </c>
      <c r="F305" s="15" t="s">
        <v>104</v>
      </c>
      <c r="G305" s="15" t="s">
        <v>9</v>
      </c>
      <c r="H305" s="15" t="s">
        <v>9</v>
      </c>
      <c r="I305" s="15" t="s">
        <v>473</v>
      </c>
      <c r="J305" s="16" t="s">
        <v>474</v>
      </c>
      <c r="K305" s="16"/>
      <c r="L305" s="16"/>
      <c r="M305" s="16"/>
      <c r="N305" s="15"/>
      <c r="O305" s="15"/>
      <c r="P305" s="37"/>
    </row>
    <row r="306" spans="1:16" s="12" customFormat="1" ht="24.95" customHeight="1">
      <c r="A306" s="15" t="s">
        <v>475</v>
      </c>
      <c r="B306" s="55" t="s">
        <v>1297</v>
      </c>
      <c r="C306" s="15" t="s">
        <v>475</v>
      </c>
      <c r="D306" s="15" t="s">
        <v>8</v>
      </c>
      <c r="E306" s="15" t="s">
        <v>475</v>
      </c>
      <c r="F306" s="15">
        <v>44</v>
      </c>
      <c r="G306" s="15" t="s">
        <v>9</v>
      </c>
      <c r="H306" s="15" t="s">
        <v>9</v>
      </c>
      <c r="I306" s="15" t="s">
        <v>475</v>
      </c>
      <c r="J306" s="16" t="s">
        <v>974</v>
      </c>
      <c r="K306" s="16"/>
      <c r="L306" s="16"/>
      <c r="M306" s="16"/>
      <c r="N306" s="15"/>
      <c r="O306" s="15"/>
      <c r="P306" s="37"/>
    </row>
    <row r="307" spans="1:16" s="12" customFormat="1" ht="24.95" customHeight="1">
      <c r="A307" s="15" t="s">
        <v>476</v>
      </c>
      <c r="B307" s="55" t="s">
        <v>1297</v>
      </c>
      <c r="C307" s="15" t="s">
        <v>476</v>
      </c>
      <c r="D307" s="15" t="s">
        <v>9</v>
      </c>
      <c r="E307" s="15" t="s">
        <v>476</v>
      </c>
      <c r="F307" s="15" t="s">
        <v>9</v>
      </c>
      <c r="G307" s="15" t="s">
        <v>9</v>
      </c>
      <c r="H307" s="15" t="s">
        <v>9</v>
      </c>
      <c r="I307" s="15" t="s">
        <v>476</v>
      </c>
      <c r="J307" s="16" t="s">
        <v>340</v>
      </c>
      <c r="K307" s="16"/>
      <c r="L307" s="16"/>
      <c r="M307" s="16"/>
      <c r="N307" s="15"/>
      <c r="O307" s="15"/>
      <c r="P307" s="37"/>
    </row>
    <row r="308" spans="1:16" s="12" customFormat="1" ht="24.95" customHeight="1">
      <c r="A308" s="16" t="s">
        <v>477</v>
      </c>
      <c r="B308" s="55" t="s">
        <v>1297</v>
      </c>
      <c r="C308" s="16" t="s">
        <v>477</v>
      </c>
      <c r="D308" s="15" t="s">
        <v>8</v>
      </c>
      <c r="E308" s="16" t="s">
        <v>477</v>
      </c>
      <c r="F308" s="15">
        <v>88</v>
      </c>
      <c r="G308" s="15">
        <v>132</v>
      </c>
      <c r="H308" s="15" t="s">
        <v>9</v>
      </c>
      <c r="I308" s="16" t="s">
        <v>477</v>
      </c>
      <c r="J308" s="16" t="s">
        <v>975</v>
      </c>
      <c r="K308" s="16"/>
      <c r="L308" s="16"/>
      <c r="M308" s="16"/>
      <c r="N308" s="15"/>
      <c r="O308" s="15"/>
      <c r="P308" s="37"/>
    </row>
    <row r="309" spans="1:16" s="12" customFormat="1" ht="24.95" customHeight="1">
      <c r="A309" s="16" t="s">
        <v>478</v>
      </c>
      <c r="B309" s="55" t="s">
        <v>1297</v>
      </c>
      <c r="C309" s="16" t="s">
        <v>478</v>
      </c>
      <c r="D309" s="15" t="s">
        <v>8</v>
      </c>
      <c r="E309" s="16" t="s">
        <v>478</v>
      </c>
      <c r="F309" s="15" t="s">
        <v>99</v>
      </c>
      <c r="G309" s="15" t="s">
        <v>9</v>
      </c>
      <c r="H309" s="15" t="s">
        <v>9</v>
      </c>
      <c r="I309" s="16" t="s">
        <v>478</v>
      </c>
      <c r="J309" s="16" t="s">
        <v>479</v>
      </c>
      <c r="K309" s="16"/>
      <c r="L309" s="16"/>
      <c r="M309" s="16"/>
      <c r="N309" s="15"/>
      <c r="O309" s="15"/>
      <c r="P309" s="37"/>
    </row>
    <row r="310" spans="1:16" s="12" customFormat="1" ht="24.95" customHeight="1">
      <c r="A310" s="15" t="s">
        <v>480</v>
      </c>
      <c r="B310" s="55" t="s">
        <v>1297</v>
      </c>
      <c r="C310" s="15" t="s">
        <v>480</v>
      </c>
      <c r="D310" s="15" t="s">
        <v>8</v>
      </c>
      <c r="E310" s="15" t="s">
        <v>480</v>
      </c>
      <c r="F310" s="15" t="s">
        <v>99</v>
      </c>
      <c r="G310" s="15" t="s">
        <v>9</v>
      </c>
      <c r="H310" s="15" t="s">
        <v>9</v>
      </c>
      <c r="I310" s="15" t="s">
        <v>480</v>
      </c>
      <c r="J310" s="16" t="s">
        <v>481</v>
      </c>
      <c r="K310" s="16"/>
      <c r="L310" s="16"/>
      <c r="M310" s="16"/>
      <c r="N310" s="15"/>
      <c r="O310" s="15"/>
      <c r="P310" s="37"/>
    </row>
    <row r="311" spans="1:16" s="12" customFormat="1" ht="24.95" customHeight="1">
      <c r="A311" s="15" t="s">
        <v>482</v>
      </c>
      <c r="B311" s="55" t="s">
        <v>1297</v>
      </c>
      <c r="C311" s="15" t="s">
        <v>482</v>
      </c>
      <c r="D311" s="15" t="s">
        <v>8</v>
      </c>
      <c r="E311" s="15" t="s">
        <v>482</v>
      </c>
      <c r="F311" s="15">
        <v>44</v>
      </c>
      <c r="G311" s="15">
        <v>66</v>
      </c>
      <c r="H311" s="15" t="s">
        <v>9</v>
      </c>
      <c r="I311" s="15" t="s">
        <v>482</v>
      </c>
      <c r="J311" s="16" t="s">
        <v>976</v>
      </c>
      <c r="K311" s="16"/>
      <c r="L311" s="16"/>
      <c r="M311" s="16"/>
      <c r="N311" s="15"/>
      <c r="O311" s="15"/>
      <c r="P311" s="37"/>
    </row>
    <row r="312" spans="1:16" s="12" customFormat="1" ht="24.95" customHeight="1">
      <c r="A312" s="15" t="s">
        <v>483</v>
      </c>
      <c r="B312" s="55" t="s">
        <v>1297</v>
      </c>
      <c r="C312" s="15" t="s">
        <v>483</v>
      </c>
      <c r="D312" s="15" t="s">
        <v>8</v>
      </c>
      <c r="E312" s="15" t="s">
        <v>483</v>
      </c>
      <c r="F312" s="15" t="s">
        <v>92</v>
      </c>
      <c r="G312" s="15" t="s">
        <v>9</v>
      </c>
      <c r="H312" s="15" t="s">
        <v>9</v>
      </c>
      <c r="I312" s="15" t="s">
        <v>483</v>
      </c>
      <c r="J312" s="16" t="s">
        <v>913</v>
      </c>
      <c r="K312" s="16"/>
      <c r="L312" s="16"/>
      <c r="M312" s="16"/>
      <c r="N312" s="15"/>
      <c r="O312" s="15"/>
      <c r="P312" s="37"/>
    </row>
    <row r="313" spans="1:16" s="12" customFormat="1" ht="24.95" customHeight="1">
      <c r="A313" s="15" t="s">
        <v>484</v>
      </c>
      <c r="B313" s="55" t="s">
        <v>1297</v>
      </c>
      <c r="C313" s="15" t="s">
        <v>484</v>
      </c>
      <c r="D313" s="15" t="s">
        <v>8</v>
      </c>
      <c r="E313" s="15" t="s">
        <v>484</v>
      </c>
      <c r="F313" s="15" t="s">
        <v>94</v>
      </c>
      <c r="G313" s="15" t="s">
        <v>9</v>
      </c>
      <c r="H313" s="15" t="s">
        <v>9</v>
      </c>
      <c r="I313" s="15" t="s">
        <v>484</v>
      </c>
      <c r="J313" s="16" t="s">
        <v>957</v>
      </c>
      <c r="K313" s="16"/>
      <c r="L313" s="16"/>
      <c r="M313" s="16"/>
      <c r="N313" s="15"/>
      <c r="O313" s="15"/>
      <c r="P313" s="37"/>
    </row>
    <row r="314" spans="1:16" s="12" customFormat="1" ht="0.75" customHeight="1">
      <c r="A314" s="15" t="s">
        <v>485</v>
      </c>
      <c r="B314" s="55" t="s">
        <v>1297</v>
      </c>
      <c r="C314" s="15" t="s">
        <v>485</v>
      </c>
      <c r="D314" s="15" t="s">
        <v>8</v>
      </c>
      <c r="E314" s="15" t="s">
        <v>485</v>
      </c>
      <c r="F314" s="15" t="s">
        <v>94</v>
      </c>
      <c r="G314" s="15" t="s">
        <v>124</v>
      </c>
      <c r="H314" s="15">
        <v>8</v>
      </c>
      <c r="I314" s="15" t="s">
        <v>485</v>
      </c>
      <c r="J314" s="16" t="s">
        <v>899</v>
      </c>
      <c r="K314" s="16"/>
      <c r="L314" s="16"/>
      <c r="M314" s="16"/>
      <c r="N314" s="15"/>
      <c r="O314" s="15"/>
      <c r="P314" s="37"/>
    </row>
    <row r="315" spans="1:16" ht="24.95" customHeight="1">
      <c r="A315" s="56" t="s">
        <v>486</v>
      </c>
      <c r="B315" s="56" t="s">
        <v>1258</v>
      </c>
      <c r="C315" s="56" t="s">
        <v>486</v>
      </c>
      <c r="D315" s="55" t="s">
        <v>8</v>
      </c>
      <c r="E315" s="56" t="s">
        <v>486</v>
      </c>
      <c r="F315" s="55">
        <v>17.600000000000001</v>
      </c>
      <c r="G315" s="55" t="s">
        <v>9</v>
      </c>
      <c r="H315" s="55">
        <v>78</v>
      </c>
      <c r="I315" s="56" t="s">
        <v>486</v>
      </c>
      <c r="J315" s="56" t="s">
        <v>977</v>
      </c>
      <c r="K315" s="56" t="s">
        <v>1143</v>
      </c>
      <c r="L315" s="16" t="s">
        <v>1181</v>
      </c>
      <c r="M315" s="56" t="s">
        <v>1235</v>
      </c>
      <c r="N315" s="56" t="s">
        <v>1233</v>
      </c>
      <c r="O315" s="55" t="s">
        <v>1162</v>
      </c>
      <c r="P315" s="63" t="s">
        <v>1187</v>
      </c>
    </row>
    <row r="316" spans="1:16" s="12" customFormat="1" ht="24.95" customHeight="1">
      <c r="A316" s="15" t="s">
        <v>487</v>
      </c>
      <c r="B316" s="55" t="s">
        <v>1297</v>
      </c>
      <c r="C316" s="15" t="s">
        <v>487</v>
      </c>
      <c r="D316" s="15" t="s">
        <v>8</v>
      </c>
      <c r="E316" s="15" t="s">
        <v>487</v>
      </c>
      <c r="F316" s="15">
        <v>176</v>
      </c>
      <c r="G316" s="15" t="s">
        <v>9</v>
      </c>
      <c r="H316" s="15" t="s">
        <v>9</v>
      </c>
      <c r="I316" s="15" t="s">
        <v>487</v>
      </c>
      <c r="J316" s="16" t="s">
        <v>54</v>
      </c>
      <c r="K316" s="16"/>
      <c r="L316" s="16"/>
      <c r="M316" s="16"/>
      <c r="N316" s="15"/>
      <c r="O316" s="15"/>
      <c r="P316" s="37"/>
    </row>
    <row r="317" spans="1:16" s="12" customFormat="1" ht="24.95" customHeight="1">
      <c r="A317" s="15" t="s">
        <v>488</v>
      </c>
      <c r="B317" s="55" t="s">
        <v>1297</v>
      </c>
      <c r="C317" s="15" t="s">
        <v>488</v>
      </c>
      <c r="D317" s="15" t="s">
        <v>8</v>
      </c>
      <c r="E317" s="15" t="s">
        <v>488</v>
      </c>
      <c r="F317" s="15" t="s">
        <v>9</v>
      </c>
      <c r="G317" s="15" t="s">
        <v>101</v>
      </c>
      <c r="H317" s="15" t="s">
        <v>9</v>
      </c>
      <c r="I317" s="15" t="s">
        <v>488</v>
      </c>
      <c r="J317" s="16" t="s">
        <v>150</v>
      </c>
      <c r="K317" s="16"/>
      <c r="L317" s="16"/>
      <c r="M317" s="16"/>
      <c r="N317" s="15"/>
      <c r="O317" s="15"/>
      <c r="P317" s="37"/>
    </row>
    <row r="318" spans="1:16" s="12" customFormat="1" ht="24.95" customHeight="1">
      <c r="A318" s="15" t="s">
        <v>489</v>
      </c>
      <c r="B318" s="55" t="s">
        <v>1297</v>
      </c>
      <c r="C318" s="15" t="s">
        <v>489</v>
      </c>
      <c r="D318" s="15" t="s">
        <v>8</v>
      </c>
      <c r="E318" s="15" t="s">
        <v>489</v>
      </c>
      <c r="F318" s="15" t="s">
        <v>99</v>
      </c>
      <c r="G318" s="15" t="s">
        <v>9</v>
      </c>
      <c r="H318" s="15" t="s">
        <v>9</v>
      </c>
      <c r="I318" s="15" t="s">
        <v>489</v>
      </c>
      <c r="J318" s="16" t="s">
        <v>9</v>
      </c>
      <c r="K318" s="16"/>
      <c r="L318" s="16"/>
      <c r="M318" s="16"/>
      <c r="N318" s="15"/>
      <c r="O318" s="15"/>
      <c r="P318" s="37"/>
    </row>
    <row r="319" spans="1:16" s="12" customFormat="1" ht="24.95" customHeight="1">
      <c r="A319" s="15" t="s">
        <v>490</v>
      </c>
      <c r="B319" s="55" t="s">
        <v>1297</v>
      </c>
      <c r="C319" s="15" t="s">
        <v>490</v>
      </c>
      <c r="D319" s="15" t="s">
        <v>8</v>
      </c>
      <c r="E319" s="15" t="s">
        <v>490</v>
      </c>
      <c r="F319" s="15">
        <v>22</v>
      </c>
      <c r="G319" s="15">
        <v>44</v>
      </c>
      <c r="H319" s="15" t="s">
        <v>9</v>
      </c>
      <c r="I319" s="15" t="s">
        <v>490</v>
      </c>
      <c r="J319" s="16" t="s">
        <v>147</v>
      </c>
      <c r="K319" s="16"/>
      <c r="L319" s="16"/>
      <c r="M319" s="16"/>
      <c r="N319" s="15"/>
      <c r="O319" s="15"/>
      <c r="P319" s="37"/>
    </row>
    <row r="320" spans="1:16" s="12" customFormat="1" ht="24.95" customHeight="1">
      <c r="A320" s="15" t="s">
        <v>491</v>
      </c>
      <c r="B320" s="55" t="s">
        <v>1297</v>
      </c>
      <c r="C320" s="15" t="s">
        <v>491</v>
      </c>
      <c r="D320" s="15" t="s">
        <v>8</v>
      </c>
      <c r="E320" s="15" t="s">
        <v>491</v>
      </c>
      <c r="F320" s="15" t="s">
        <v>86</v>
      </c>
      <c r="G320" s="15" t="s">
        <v>107</v>
      </c>
      <c r="H320" s="15" t="s">
        <v>9</v>
      </c>
      <c r="I320" s="15" t="s">
        <v>491</v>
      </c>
      <c r="J320" s="16" t="s">
        <v>147</v>
      </c>
      <c r="K320" s="16"/>
      <c r="L320" s="16"/>
      <c r="M320" s="16"/>
      <c r="N320" s="15"/>
      <c r="O320" s="15"/>
      <c r="P320" s="15"/>
    </row>
    <row r="321" spans="1:16" s="12" customFormat="1" ht="24.95" customHeight="1">
      <c r="A321" s="15" t="s">
        <v>492</v>
      </c>
      <c r="B321" s="55" t="s">
        <v>1297</v>
      </c>
      <c r="C321" s="15" t="s">
        <v>492</v>
      </c>
      <c r="D321" s="15" t="s">
        <v>8</v>
      </c>
      <c r="E321" s="15" t="s">
        <v>492</v>
      </c>
      <c r="F321" s="15" t="s">
        <v>327</v>
      </c>
      <c r="G321" s="15" t="s">
        <v>493</v>
      </c>
      <c r="H321" s="15" t="s">
        <v>9</v>
      </c>
      <c r="I321" s="15" t="s">
        <v>492</v>
      </c>
      <c r="J321" s="16" t="s">
        <v>147</v>
      </c>
      <c r="K321" s="16"/>
      <c r="L321" s="16"/>
      <c r="M321" s="16"/>
      <c r="N321" s="15"/>
      <c r="O321" s="15"/>
      <c r="P321" s="15"/>
    </row>
    <row r="322" spans="1:16" s="12" customFormat="1" ht="24.95" customHeight="1">
      <c r="A322" s="15" t="s">
        <v>494</v>
      </c>
      <c r="B322" s="55" t="s">
        <v>1297</v>
      </c>
      <c r="C322" s="15" t="s">
        <v>494</v>
      </c>
      <c r="D322" s="15" t="s">
        <v>8</v>
      </c>
      <c r="E322" s="15" t="s">
        <v>494</v>
      </c>
      <c r="F322" s="15" t="s">
        <v>149</v>
      </c>
      <c r="G322" s="15" t="s">
        <v>88</v>
      </c>
      <c r="H322" s="15" t="s">
        <v>877</v>
      </c>
      <c r="I322" s="15" t="s">
        <v>494</v>
      </c>
      <c r="J322" s="16" t="s">
        <v>978</v>
      </c>
      <c r="K322" s="16"/>
      <c r="L322" s="16"/>
      <c r="M322" s="16"/>
      <c r="N322" s="15"/>
      <c r="O322" s="15"/>
      <c r="P322" s="15"/>
    </row>
    <row r="323" spans="1:16" s="12" customFormat="1" ht="24.95" customHeight="1">
      <c r="A323" s="15" t="s">
        <v>495</v>
      </c>
      <c r="B323" s="55" t="s">
        <v>1297</v>
      </c>
      <c r="C323" s="15" t="s">
        <v>495</v>
      </c>
      <c r="D323" s="15" t="s">
        <v>8</v>
      </c>
      <c r="E323" s="15" t="s">
        <v>495</v>
      </c>
      <c r="F323" s="15" t="s">
        <v>149</v>
      </c>
      <c r="G323" s="15" t="s">
        <v>9</v>
      </c>
      <c r="H323" s="15" t="s">
        <v>9</v>
      </c>
      <c r="I323" s="15" t="s">
        <v>495</v>
      </c>
      <c r="J323" s="16" t="s">
        <v>195</v>
      </c>
      <c r="K323" s="16"/>
      <c r="L323" s="16"/>
      <c r="M323" s="16"/>
      <c r="N323" s="15"/>
      <c r="O323" s="15"/>
      <c r="P323" s="15"/>
    </row>
    <row r="324" spans="1:16" s="12" customFormat="1" ht="24.95" customHeight="1">
      <c r="A324" s="15" t="s">
        <v>496</v>
      </c>
      <c r="B324" s="55" t="s">
        <v>1297</v>
      </c>
      <c r="C324" s="15" t="s">
        <v>496</v>
      </c>
      <c r="D324" s="15" t="s">
        <v>8</v>
      </c>
      <c r="E324" s="15" t="s">
        <v>496</v>
      </c>
      <c r="F324" s="15" t="s">
        <v>94</v>
      </c>
      <c r="G324" s="15" t="s">
        <v>9</v>
      </c>
      <c r="H324" s="15">
        <v>78</v>
      </c>
      <c r="I324" s="15" t="s">
        <v>496</v>
      </c>
      <c r="J324" s="16" t="s">
        <v>497</v>
      </c>
      <c r="K324" s="16"/>
      <c r="L324" s="16"/>
      <c r="M324" s="16"/>
      <c r="N324" s="15"/>
      <c r="O324" s="15"/>
      <c r="P324" s="15"/>
    </row>
    <row r="325" spans="1:16" s="12" customFormat="1" ht="24.95" customHeight="1">
      <c r="A325" s="15" t="s">
        <v>498</v>
      </c>
      <c r="B325" s="55" t="s">
        <v>1297</v>
      </c>
      <c r="C325" s="15" t="s">
        <v>498</v>
      </c>
      <c r="D325" s="15" t="s">
        <v>58</v>
      </c>
      <c r="E325" s="15" t="s">
        <v>498</v>
      </c>
      <c r="F325" s="15" t="s">
        <v>92</v>
      </c>
      <c r="G325" s="15" t="s">
        <v>9</v>
      </c>
      <c r="H325" s="15" t="s">
        <v>9</v>
      </c>
      <c r="I325" s="15" t="s">
        <v>498</v>
      </c>
      <c r="J325" s="16" t="s">
        <v>979</v>
      </c>
      <c r="K325" s="16"/>
      <c r="L325" s="16"/>
      <c r="M325" s="16"/>
      <c r="N325" s="15"/>
      <c r="O325" s="15"/>
      <c r="P325" s="15"/>
    </row>
    <row r="326" spans="1:16" s="12" customFormat="1" ht="24.95" customHeight="1">
      <c r="A326" s="15" t="s">
        <v>499</v>
      </c>
      <c r="B326" s="55" t="s">
        <v>1297</v>
      </c>
      <c r="C326" s="15" t="s">
        <v>499</v>
      </c>
      <c r="D326" s="15" t="s">
        <v>58</v>
      </c>
      <c r="E326" s="15" t="s">
        <v>499</v>
      </c>
      <c r="F326" s="15" t="s">
        <v>149</v>
      </c>
      <c r="G326" s="15" t="s">
        <v>9</v>
      </c>
      <c r="H326" s="15" t="s">
        <v>9</v>
      </c>
      <c r="I326" s="15" t="s">
        <v>499</v>
      </c>
      <c r="J326" s="16" t="s">
        <v>195</v>
      </c>
      <c r="K326" s="16"/>
      <c r="L326" s="16"/>
      <c r="M326" s="16"/>
      <c r="N326" s="15"/>
      <c r="O326" s="15"/>
      <c r="P326" s="15"/>
    </row>
    <row r="327" spans="1:16" s="12" customFormat="1" ht="24.95" customHeight="1">
      <c r="A327" s="15" t="s">
        <v>1102</v>
      </c>
      <c r="B327" s="55" t="s">
        <v>1297</v>
      </c>
      <c r="C327" s="15" t="s">
        <v>1102</v>
      </c>
      <c r="D327" s="15" t="s">
        <v>9</v>
      </c>
      <c r="E327" s="15" t="s">
        <v>1102</v>
      </c>
      <c r="F327" s="15" t="s">
        <v>9</v>
      </c>
      <c r="G327" s="15" t="s">
        <v>9</v>
      </c>
      <c r="H327" s="15" t="s">
        <v>9</v>
      </c>
      <c r="I327" s="15" t="s">
        <v>1102</v>
      </c>
      <c r="J327" s="16" t="s">
        <v>135</v>
      </c>
      <c r="K327" s="16"/>
      <c r="L327" s="16"/>
      <c r="M327" s="16"/>
      <c r="N327" s="15"/>
      <c r="O327" s="15"/>
      <c r="P327" s="15"/>
    </row>
    <row r="328" spans="1:16" s="12" customFormat="1" ht="24.95" customHeight="1">
      <c r="A328" s="15" t="s">
        <v>500</v>
      </c>
      <c r="B328" s="55" t="s">
        <v>1297</v>
      </c>
      <c r="C328" s="15" t="s">
        <v>500</v>
      </c>
      <c r="D328" s="15" t="s">
        <v>58</v>
      </c>
      <c r="E328" s="15" t="s">
        <v>500</v>
      </c>
      <c r="F328" s="15" t="s">
        <v>88</v>
      </c>
      <c r="G328" s="15" t="s">
        <v>9</v>
      </c>
      <c r="H328" s="15" t="s">
        <v>9</v>
      </c>
      <c r="I328" s="15" t="s">
        <v>500</v>
      </c>
      <c r="J328" s="16" t="s">
        <v>501</v>
      </c>
      <c r="K328" s="16"/>
      <c r="L328" s="16"/>
      <c r="M328" s="16"/>
      <c r="N328" s="15"/>
      <c r="O328" s="15"/>
      <c r="P328" s="15"/>
    </row>
    <row r="329" spans="1:16" s="12" customFormat="1" ht="24.95" customHeight="1">
      <c r="A329" s="15" t="s">
        <v>502</v>
      </c>
      <c r="B329" s="55" t="s">
        <v>1297</v>
      </c>
      <c r="C329" s="15" t="s">
        <v>502</v>
      </c>
      <c r="D329" s="15" t="s">
        <v>58</v>
      </c>
      <c r="E329" s="15" t="s">
        <v>502</v>
      </c>
      <c r="F329" s="15" t="s">
        <v>88</v>
      </c>
      <c r="G329" s="15" t="s">
        <v>9</v>
      </c>
      <c r="H329" s="15" t="s">
        <v>9</v>
      </c>
      <c r="I329" s="15" t="s">
        <v>502</v>
      </c>
      <c r="J329" s="16" t="s">
        <v>980</v>
      </c>
      <c r="K329" s="16"/>
      <c r="L329" s="16"/>
      <c r="M329" s="16"/>
      <c r="N329" s="15"/>
      <c r="O329" s="15"/>
      <c r="P329" s="15"/>
    </row>
    <row r="330" spans="1:16" s="12" customFormat="1" ht="24.95" customHeight="1">
      <c r="A330" s="15" t="s">
        <v>503</v>
      </c>
      <c r="B330" s="55" t="s">
        <v>1297</v>
      </c>
      <c r="C330" s="15" t="s">
        <v>503</v>
      </c>
      <c r="D330" s="15" t="s">
        <v>58</v>
      </c>
      <c r="E330" s="15" t="s">
        <v>503</v>
      </c>
      <c r="F330" s="15" t="s">
        <v>88</v>
      </c>
      <c r="G330" s="15" t="s">
        <v>9</v>
      </c>
      <c r="H330" s="15" t="s">
        <v>9</v>
      </c>
      <c r="I330" s="15" t="s">
        <v>503</v>
      </c>
      <c r="J330" s="16" t="s">
        <v>981</v>
      </c>
      <c r="K330" s="16"/>
      <c r="L330" s="16"/>
      <c r="M330" s="16"/>
      <c r="N330" s="15"/>
      <c r="O330" s="15"/>
      <c r="P330" s="15"/>
    </row>
    <row r="331" spans="1:16" s="12" customFormat="1" ht="24.95" customHeight="1">
      <c r="A331" s="15" t="s">
        <v>504</v>
      </c>
      <c r="B331" s="55" t="s">
        <v>1297</v>
      </c>
      <c r="C331" s="15" t="s">
        <v>504</v>
      </c>
      <c r="D331" s="15" t="s">
        <v>8</v>
      </c>
      <c r="E331" s="15" t="s">
        <v>504</v>
      </c>
      <c r="F331" s="15" t="s">
        <v>9</v>
      </c>
      <c r="G331" s="15" t="s">
        <v>149</v>
      </c>
      <c r="H331" s="15" t="s">
        <v>9</v>
      </c>
      <c r="I331" s="15" t="s">
        <v>504</v>
      </c>
      <c r="J331" s="16" t="s">
        <v>505</v>
      </c>
      <c r="K331" s="16"/>
      <c r="L331" s="16"/>
      <c r="M331" s="16"/>
      <c r="N331" s="15"/>
      <c r="O331" s="15"/>
      <c r="P331" s="15"/>
    </row>
    <row r="332" spans="1:16" s="12" customFormat="1" ht="24.95" customHeight="1">
      <c r="A332" s="15" t="s">
        <v>506</v>
      </c>
      <c r="B332" s="55" t="s">
        <v>1297</v>
      </c>
      <c r="C332" s="15" t="s">
        <v>506</v>
      </c>
      <c r="D332" s="15" t="s">
        <v>8</v>
      </c>
      <c r="E332" s="15" t="s">
        <v>506</v>
      </c>
      <c r="F332" s="15" t="s">
        <v>88</v>
      </c>
      <c r="G332" s="15" t="s">
        <v>9</v>
      </c>
      <c r="H332" s="15" t="s">
        <v>9</v>
      </c>
      <c r="I332" s="15" t="s">
        <v>506</v>
      </c>
      <c r="J332" s="16" t="s">
        <v>982</v>
      </c>
      <c r="K332" s="16"/>
      <c r="L332" s="16"/>
      <c r="M332" s="16"/>
      <c r="N332" s="15"/>
      <c r="O332" s="15"/>
      <c r="P332" s="15"/>
    </row>
    <row r="333" spans="1:16" s="12" customFormat="1" ht="24.95" customHeight="1">
      <c r="A333" s="15" t="s">
        <v>507</v>
      </c>
      <c r="B333" s="55" t="s">
        <v>1297</v>
      </c>
      <c r="C333" s="15" t="s">
        <v>507</v>
      </c>
      <c r="D333" s="15" t="s">
        <v>8</v>
      </c>
      <c r="E333" s="15" t="s">
        <v>507</v>
      </c>
      <c r="F333" s="15" t="s">
        <v>88</v>
      </c>
      <c r="G333" s="15" t="s">
        <v>9</v>
      </c>
      <c r="H333" s="15" t="s">
        <v>9</v>
      </c>
      <c r="I333" s="15" t="s">
        <v>507</v>
      </c>
      <c r="J333" s="16" t="s">
        <v>976</v>
      </c>
      <c r="K333" s="16"/>
      <c r="L333" s="16"/>
      <c r="M333" s="16"/>
      <c r="N333" s="15"/>
      <c r="O333" s="15"/>
      <c r="P333" s="15"/>
    </row>
    <row r="334" spans="1:16" ht="24.95" customHeight="1">
      <c r="A334" s="56" t="s">
        <v>508</v>
      </c>
      <c r="B334" s="56" t="s">
        <v>1294</v>
      </c>
      <c r="C334" s="56" t="s">
        <v>508</v>
      </c>
      <c r="D334" s="55" t="s">
        <v>8</v>
      </c>
      <c r="E334" s="56" t="s">
        <v>508</v>
      </c>
      <c r="F334" s="55">
        <v>4.4000000000000004</v>
      </c>
      <c r="G334" s="55" t="s">
        <v>9</v>
      </c>
      <c r="H334" s="55">
        <v>4</v>
      </c>
      <c r="I334" s="56" t="s">
        <v>508</v>
      </c>
      <c r="J334" s="56" t="s">
        <v>983</v>
      </c>
      <c r="K334" s="56" t="s">
        <v>1190</v>
      </c>
      <c r="L334" s="16" t="s">
        <v>1189</v>
      </c>
      <c r="M334" s="56" t="s">
        <v>1188</v>
      </c>
      <c r="N334" s="56" t="s">
        <v>1233</v>
      </c>
      <c r="O334" s="56" t="s">
        <v>1163</v>
      </c>
      <c r="P334" s="56" t="s">
        <v>1191</v>
      </c>
    </row>
    <row r="335" spans="1:16" s="12" customFormat="1" ht="24.95" customHeight="1">
      <c r="A335" s="15" t="s">
        <v>509</v>
      </c>
      <c r="B335" s="55" t="s">
        <v>1297</v>
      </c>
      <c r="C335" s="15" t="s">
        <v>509</v>
      </c>
      <c r="D335" s="15" t="s">
        <v>58</v>
      </c>
      <c r="E335" s="15" t="s">
        <v>509</v>
      </c>
      <c r="F335" s="15" t="s">
        <v>94</v>
      </c>
      <c r="G335" s="15" t="s">
        <v>9</v>
      </c>
      <c r="H335" s="15" t="s">
        <v>9</v>
      </c>
      <c r="I335" s="15" t="s">
        <v>509</v>
      </c>
      <c r="J335" s="16" t="s">
        <v>984</v>
      </c>
      <c r="K335" s="16"/>
      <c r="L335" s="16"/>
      <c r="M335" s="16"/>
      <c r="N335" s="15"/>
      <c r="O335" s="15"/>
      <c r="P335" s="15"/>
    </row>
    <row r="336" spans="1:16" s="12" customFormat="1" ht="24.95" customHeight="1">
      <c r="A336" s="15" t="s">
        <v>510</v>
      </c>
      <c r="B336" s="55" t="s">
        <v>1297</v>
      </c>
      <c r="C336" s="15" t="s">
        <v>510</v>
      </c>
      <c r="D336" s="15" t="s">
        <v>58</v>
      </c>
      <c r="E336" s="15" t="s">
        <v>510</v>
      </c>
      <c r="F336" s="15" t="s">
        <v>169</v>
      </c>
      <c r="G336" s="15" t="s">
        <v>9</v>
      </c>
      <c r="H336" s="15" t="s">
        <v>9</v>
      </c>
      <c r="I336" s="15" t="s">
        <v>510</v>
      </c>
      <c r="J336" s="16" t="s">
        <v>195</v>
      </c>
      <c r="K336" s="16"/>
      <c r="L336" s="16"/>
      <c r="M336" s="16"/>
      <c r="N336" s="15"/>
      <c r="O336" s="15"/>
      <c r="P336" s="15"/>
    </row>
    <row r="337" spans="1:16" s="12" customFormat="1" ht="24.95" customHeight="1">
      <c r="A337" s="15" t="s">
        <v>511</v>
      </c>
      <c r="B337" s="55" t="s">
        <v>1297</v>
      </c>
      <c r="C337" s="15" t="s">
        <v>511</v>
      </c>
      <c r="D337" s="15" t="s">
        <v>58</v>
      </c>
      <c r="E337" s="15" t="s">
        <v>511</v>
      </c>
      <c r="F337" s="15" t="s">
        <v>149</v>
      </c>
      <c r="G337" s="15" t="s">
        <v>9</v>
      </c>
      <c r="H337" s="15" t="s">
        <v>9</v>
      </c>
      <c r="I337" s="15" t="s">
        <v>511</v>
      </c>
      <c r="J337" s="16" t="s">
        <v>195</v>
      </c>
      <c r="K337" s="16"/>
      <c r="L337" s="16"/>
      <c r="M337" s="16"/>
      <c r="N337" s="15"/>
      <c r="O337" s="15"/>
      <c r="P337" s="15"/>
    </row>
    <row r="338" spans="1:16" s="12" customFormat="1" ht="24.95" customHeight="1">
      <c r="A338" s="15" t="s">
        <v>512</v>
      </c>
      <c r="B338" s="55" t="s">
        <v>1297</v>
      </c>
      <c r="C338" s="15" t="s">
        <v>512</v>
      </c>
      <c r="D338" s="15" t="s">
        <v>58</v>
      </c>
      <c r="E338" s="15" t="s">
        <v>512</v>
      </c>
      <c r="F338" s="15" t="s">
        <v>94</v>
      </c>
      <c r="G338" s="15" t="s">
        <v>9</v>
      </c>
      <c r="H338" s="15" t="s">
        <v>9</v>
      </c>
      <c r="I338" s="15" t="s">
        <v>512</v>
      </c>
      <c r="J338" s="16" t="s">
        <v>513</v>
      </c>
      <c r="K338" s="16"/>
      <c r="L338" s="16"/>
      <c r="M338" s="16"/>
      <c r="N338" s="15"/>
      <c r="O338" s="15"/>
      <c r="P338" s="15"/>
    </row>
    <row r="339" spans="1:16" s="12" customFormat="1" ht="24.95" customHeight="1">
      <c r="A339" s="15" t="s">
        <v>515</v>
      </c>
      <c r="B339" s="55" t="s">
        <v>1297</v>
      </c>
      <c r="C339" s="15" t="s">
        <v>515</v>
      </c>
      <c r="D339" s="15" t="s">
        <v>58</v>
      </c>
      <c r="E339" s="15" t="s">
        <v>515</v>
      </c>
      <c r="F339" s="15" t="s">
        <v>99</v>
      </c>
      <c r="G339" s="15" t="s">
        <v>9</v>
      </c>
      <c r="H339" s="15" t="s">
        <v>9</v>
      </c>
      <c r="I339" s="15" t="s">
        <v>515</v>
      </c>
      <c r="J339" s="16" t="s">
        <v>275</v>
      </c>
      <c r="K339" s="16"/>
      <c r="L339" s="16"/>
      <c r="M339" s="16"/>
      <c r="N339" s="15"/>
      <c r="O339" s="15"/>
      <c r="P339" s="15"/>
    </row>
    <row r="340" spans="1:16" ht="24.95" customHeight="1">
      <c r="A340" s="56" t="s">
        <v>514</v>
      </c>
      <c r="B340" s="55" t="s">
        <v>1297</v>
      </c>
      <c r="C340" s="56" t="s">
        <v>514</v>
      </c>
      <c r="D340" s="55" t="s">
        <v>58</v>
      </c>
      <c r="E340" s="56" t="s">
        <v>514</v>
      </c>
      <c r="F340" s="55">
        <v>0.88</v>
      </c>
      <c r="G340" s="55" t="s">
        <v>9</v>
      </c>
      <c r="H340" s="55" t="s">
        <v>9</v>
      </c>
      <c r="I340" s="56" t="s">
        <v>514</v>
      </c>
      <c r="J340" s="56" t="s">
        <v>244</v>
      </c>
      <c r="K340" s="56" t="s">
        <v>1135</v>
      </c>
      <c r="L340" s="16" t="s">
        <v>1154</v>
      </c>
      <c r="M340" s="51" t="s">
        <v>1231</v>
      </c>
      <c r="N340" s="56" t="s">
        <v>1232</v>
      </c>
      <c r="O340" s="56"/>
      <c r="P340" s="56" t="s">
        <v>1192</v>
      </c>
    </row>
    <row r="341" spans="1:16" s="12" customFormat="1" ht="24.95" customHeight="1">
      <c r="A341" s="15" t="s">
        <v>516</v>
      </c>
      <c r="B341" s="55" t="s">
        <v>1297</v>
      </c>
      <c r="C341" s="15" t="s">
        <v>516</v>
      </c>
      <c r="D341" s="15" t="s">
        <v>8</v>
      </c>
      <c r="E341" s="15" t="s">
        <v>516</v>
      </c>
      <c r="F341" s="15" t="s">
        <v>88</v>
      </c>
      <c r="G341" s="15" t="s">
        <v>114</v>
      </c>
      <c r="H341" s="15" t="s">
        <v>9</v>
      </c>
      <c r="I341" s="15" t="s">
        <v>516</v>
      </c>
      <c r="J341" s="16" t="s">
        <v>517</v>
      </c>
      <c r="K341" s="16"/>
      <c r="L341" s="16"/>
      <c r="M341" s="16"/>
      <c r="N341" s="15"/>
      <c r="O341" s="15"/>
      <c r="P341" s="15"/>
    </row>
    <row r="342" spans="1:16" s="12" customFormat="1" ht="24.95" customHeight="1">
      <c r="A342" s="15" t="s">
        <v>518</v>
      </c>
      <c r="B342" s="55" t="s">
        <v>1297</v>
      </c>
      <c r="C342" s="15" t="s">
        <v>518</v>
      </c>
      <c r="D342" s="15" t="s">
        <v>58</v>
      </c>
      <c r="E342" s="15" t="s">
        <v>518</v>
      </c>
      <c r="F342" s="15" t="s">
        <v>101</v>
      </c>
      <c r="G342" s="15" t="s">
        <v>102</v>
      </c>
      <c r="H342" s="15" t="s">
        <v>9</v>
      </c>
      <c r="I342" s="15" t="s">
        <v>518</v>
      </c>
      <c r="J342" s="16" t="s">
        <v>985</v>
      </c>
      <c r="K342" s="16"/>
      <c r="L342" s="16"/>
      <c r="M342" s="16"/>
      <c r="N342" s="15"/>
      <c r="O342" s="15"/>
      <c r="P342" s="15"/>
    </row>
    <row r="343" spans="1:16" s="12" customFormat="1" ht="24.95" customHeight="1">
      <c r="A343" s="16" t="s">
        <v>519</v>
      </c>
      <c r="B343" s="55" t="s">
        <v>1297</v>
      </c>
      <c r="C343" s="16" t="s">
        <v>519</v>
      </c>
      <c r="D343" s="15" t="s">
        <v>186</v>
      </c>
      <c r="E343" s="16" t="s">
        <v>519</v>
      </c>
      <c r="F343" s="15" t="s">
        <v>101</v>
      </c>
      <c r="G343" s="15" t="s">
        <v>9</v>
      </c>
      <c r="H343" s="15" t="s">
        <v>9</v>
      </c>
      <c r="I343" s="16" t="s">
        <v>519</v>
      </c>
      <c r="J343" s="16" t="s">
        <v>899</v>
      </c>
      <c r="K343" s="16"/>
      <c r="L343" s="16"/>
      <c r="M343" s="16"/>
      <c r="N343" s="15"/>
      <c r="O343" s="15"/>
      <c r="P343" s="15"/>
    </row>
    <row r="344" spans="1:16" s="12" customFormat="1" ht="24.95" customHeight="1">
      <c r="A344" s="16" t="s">
        <v>519</v>
      </c>
      <c r="B344" s="55" t="s">
        <v>1297</v>
      </c>
      <c r="C344" s="16" t="s">
        <v>519</v>
      </c>
      <c r="D344" s="15" t="s">
        <v>58</v>
      </c>
      <c r="E344" s="16" t="s">
        <v>519</v>
      </c>
      <c r="F344" s="15" t="s">
        <v>94</v>
      </c>
      <c r="G344" s="15" t="s">
        <v>9</v>
      </c>
      <c r="H344" s="15" t="s">
        <v>9</v>
      </c>
      <c r="I344" s="16" t="s">
        <v>519</v>
      </c>
      <c r="J344" s="16" t="s">
        <v>899</v>
      </c>
      <c r="K344" s="16"/>
      <c r="L344" s="16"/>
      <c r="M344" s="16"/>
      <c r="N344" s="15"/>
      <c r="O344" s="15"/>
      <c r="P344" s="15"/>
    </row>
    <row r="345" spans="1:16" s="12" customFormat="1" ht="24.95" customHeight="1">
      <c r="A345" s="15" t="s">
        <v>520</v>
      </c>
      <c r="B345" s="55" t="s">
        <v>1297</v>
      </c>
      <c r="C345" s="15" t="s">
        <v>520</v>
      </c>
      <c r="D345" s="15" t="s">
        <v>186</v>
      </c>
      <c r="E345" s="15" t="s">
        <v>520</v>
      </c>
      <c r="F345" s="15" t="s">
        <v>101</v>
      </c>
      <c r="G345" s="15" t="s">
        <v>9</v>
      </c>
      <c r="H345" s="15" t="s">
        <v>9</v>
      </c>
      <c r="I345" s="15" t="s">
        <v>520</v>
      </c>
      <c r="J345" s="16" t="s">
        <v>9</v>
      </c>
      <c r="K345" s="16"/>
      <c r="L345" s="16"/>
      <c r="M345" s="16"/>
      <c r="N345" s="15"/>
      <c r="O345" s="15"/>
      <c r="P345" s="15"/>
    </row>
    <row r="346" spans="1:16" s="12" customFormat="1" ht="24.95" customHeight="1">
      <c r="A346" s="15" t="s">
        <v>521</v>
      </c>
      <c r="B346" s="55" t="s">
        <v>1297</v>
      </c>
      <c r="C346" s="15" t="s">
        <v>521</v>
      </c>
      <c r="D346" s="15" t="s">
        <v>186</v>
      </c>
      <c r="E346" s="15" t="s">
        <v>521</v>
      </c>
      <c r="F346" s="15" t="s">
        <v>101</v>
      </c>
      <c r="G346" s="15" t="s">
        <v>9</v>
      </c>
      <c r="H346" s="15" t="s">
        <v>9</v>
      </c>
      <c r="I346" s="15" t="s">
        <v>521</v>
      </c>
      <c r="J346" s="16" t="s">
        <v>9</v>
      </c>
      <c r="K346" s="16"/>
      <c r="L346" s="16"/>
      <c r="M346" s="16"/>
      <c r="N346" s="15"/>
      <c r="O346" s="15"/>
      <c r="P346" s="15"/>
    </row>
    <row r="347" spans="1:16" s="12" customFormat="1" ht="24.95" customHeight="1">
      <c r="A347" s="15" t="s">
        <v>522</v>
      </c>
      <c r="B347" s="55" t="s">
        <v>1297</v>
      </c>
      <c r="C347" s="15" t="s">
        <v>522</v>
      </c>
      <c r="D347" s="15" t="s">
        <v>186</v>
      </c>
      <c r="E347" s="15" t="s">
        <v>522</v>
      </c>
      <c r="F347" s="15" t="s">
        <v>101</v>
      </c>
      <c r="G347" s="15" t="s">
        <v>9</v>
      </c>
      <c r="H347" s="15" t="s">
        <v>9</v>
      </c>
      <c r="I347" s="15" t="s">
        <v>522</v>
      </c>
      <c r="J347" s="16" t="s">
        <v>9</v>
      </c>
      <c r="K347" s="16"/>
      <c r="L347" s="16"/>
      <c r="M347" s="16"/>
      <c r="N347" s="15"/>
      <c r="O347" s="15"/>
      <c r="P347" s="15"/>
    </row>
    <row r="348" spans="1:16" s="12" customFormat="1" ht="24.95" customHeight="1">
      <c r="A348" s="16" t="s">
        <v>523</v>
      </c>
      <c r="B348" s="55" t="s">
        <v>1297</v>
      </c>
      <c r="C348" s="16" t="s">
        <v>523</v>
      </c>
      <c r="D348" s="15" t="s">
        <v>186</v>
      </c>
      <c r="E348" s="16" t="s">
        <v>523</v>
      </c>
      <c r="F348" s="15" t="s">
        <v>101</v>
      </c>
      <c r="G348" s="15" t="s">
        <v>9</v>
      </c>
      <c r="H348" s="15" t="s">
        <v>9</v>
      </c>
      <c r="I348" s="16" t="s">
        <v>523</v>
      </c>
      <c r="J348" s="16" t="s">
        <v>9</v>
      </c>
      <c r="K348" s="16"/>
      <c r="L348" s="16"/>
      <c r="M348" s="16"/>
      <c r="N348" s="15"/>
      <c r="O348" s="15"/>
      <c r="P348" s="15"/>
    </row>
    <row r="349" spans="1:16" s="12" customFormat="1" ht="24.95" customHeight="1">
      <c r="A349" s="15" t="s">
        <v>524</v>
      </c>
      <c r="B349" s="55" t="s">
        <v>1297</v>
      </c>
      <c r="C349" s="15" t="s">
        <v>524</v>
      </c>
      <c r="D349" s="15" t="s">
        <v>186</v>
      </c>
      <c r="E349" s="15" t="s">
        <v>524</v>
      </c>
      <c r="F349" s="15" t="s">
        <v>114</v>
      </c>
      <c r="G349" s="15" t="s">
        <v>9</v>
      </c>
      <c r="H349" s="15" t="s">
        <v>9</v>
      </c>
      <c r="I349" s="15" t="s">
        <v>524</v>
      </c>
      <c r="J349" s="16" t="s">
        <v>525</v>
      </c>
      <c r="K349" s="16"/>
      <c r="L349" s="16"/>
      <c r="M349" s="16"/>
      <c r="N349" s="15"/>
      <c r="O349" s="15"/>
      <c r="P349" s="15"/>
    </row>
    <row r="350" spans="1:16" s="12" customFormat="1" ht="24.95" customHeight="1">
      <c r="A350" s="15" t="s">
        <v>526</v>
      </c>
      <c r="B350" s="55" t="s">
        <v>1297</v>
      </c>
      <c r="C350" s="15" t="s">
        <v>526</v>
      </c>
      <c r="D350" s="15" t="s">
        <v>8</v>
      </c>
      <c r="E350" s="15" t="s">
        <v>526</v>
      </c>
      <c r="F350" s="15" t="s">
        <v>101</v>
      </c>
      <c r="G350" s="15" t="s">
        <v>86</v>
      </c>
      <c r="H350" s="15" t="s">
        <v>9</v>
      </c>
      <c r="I350" s="15" t="s">
        <v>526</v>
      </c>
      <c r="J350" s="16" t="s">
        <v>902</v>
      </c>
      <c r="K350" s="16"/>
      <c r="L350" s="16"/>
      <c r="M350" s="16"/>
      <c r="N350" s="16"/>
      <c r="O350" s="16"/>
      <c r="P350" s="16"/>
    </row>
    <row r="351" spans="1:16" s="12" customFormat="1" ht="24.95" customHeight="1">
      <c r="A351" s="15" t="s">
        <v>527</v>
      </c>
      <c r="B351" s="55" t="s">
        <v>1297</v>
      </c>
      <c r="C351" s="15" t="s">
        <v>527</v>
      </c>
      <c r="D351" s="15" t="s">
        <v>58</v>
      </c>
      <c r="E351" s="15" t="s">
        <v>527</v>
      </c>
      <c r="F351" s="15" t="s">
        <v>149</v>
      </c>
      <c r="G351" s="15" t="s">
        <v>9</v>
      </c>
      <c r="H351" s="15" t="s">
        <v>9</v>
      </c>
      <c r="I351" s="15" t="s">
        <v>527</v>
      </c>
      <c r="J351" s="16" t="s">
        <v>528</v>
      </c>
      <c r="K351" s="16"/>
      <c r="L351" s="16"/>
      <c r="M351" s="16"/>
      <c r="N351" s="15"/>
      <c r="O351" s="15"/>
      <c r="P351" s="15"/>
    </row>
    <row r="352" spans="1:16" s="12" customFormat="1" ht="24.95" customHeight="1">
      <c r="A352" s="15" t="s">
        <v>529</v>
      </c>
      <c r="B352" s="55" t="s">
        <v>1297</v>
      </c>
      <c r="C352" s="15" t="s">
        <v>529</v>
      </c>
      <c r="D352" s="15" t="s">
        <v>58</v>
      </c>
      <c r="E352" s="15" t="s">
        <v>529</v>
      </c>
      <c r="F352" s="15" t="s">
        <v>199</v>
      </c>
      <c r="G352" s="15" t="s">
        <v>9</v>
      </c>
      <c r="H352" s="15" t="s">
        <v>9</v>
      </c>
      <c r="I352" s="15" t="s">
        <v>529</v>
      </c>
      <c r="J352" s="16" t="s">
        <v>530</v>
      </c>
      <c r="K352" s="16"/>
      <c r="L352" s="16"/>
      <c r="M352" s="16"/>
      <c r="N352" s="15"/>
      <c r="O352" s="15"/>
      <c r="P352" s="15"/>
    </row>
    <row r="353" spans="1:16" s="12" customFormat="1" ht="24.95" customHeight="1">
      <c r="A353" s="15" t="s">
        <v>531</v>
      </c>
      <c r="B353" s="55" t="s">
        <v>1297</v>
      </c>
      <c r="C353" s="15" t="s">
        <v>531</v>
      </c>
      <c r="D353" s="15" t="s">
        <v>8</v>
      </c>
      <c r="E353" s="15" t="s">
        <v>531</v>
      </c>
      <c r="F353" s="15" t="s">
        <v>86</v>
      </c>
      <c r="G353" s="15" t="s">
        <v>94</v>
      </c>
      <c r="H353" s="15" t="s">
        <v>9</v>
      </c>
      <c r="I353" s="15" t="s">
        <v>531</v>
      </c>
      <c r="J353" s="16" t="s">
        <v>986</v>
      </c>
      <c r="K353" s="16"/>
      <c r="L353" s="16"/>
      <c r="M353" s="16"/>
      <c r="N353" s="15"/>
      <c r="O353" s="15"/>
      <c r="P353" s="15"/>
    </row>
    <row r="354" spans="1:16" s="12" customFormat="1" ht="24.95" customHeight="1">
      <c r="A354" s="15" t="s">
        <v>532</v>
      </c>
      <c r="B354" s="55" t="s">
        <v>1297</v>
      </c>
      <c r="C354" s="15" t="s">
        <v>532</v>
      </c>
      <c r="D354" s="15" t="s">
        <v>8</v>
      </c>
      <c r="E354" s="15" t="s">
        <v>532</v>
      </c>
      <c r="F354" s="15" t="s">
        <v>92</v>
      </c>
      <c r="G354" s="15" t="s">
        <v>86</v>
      </c>
      <c r="H354" s="15" t="s">
        <v>9</v>
      </c>
      <c r="I354" s="15" t="s">
        <v>532</v>
      </c>
      <c r="J354" s="16" t="s">
        <v>987</v>
      </c>
      <c r="K354" s="16"/>
      <c r="L354" s="16"/>
      <c r="M354" s="16"/>
      <c r="N354" s="15"/>
      <c r="O354" s="15"/>
      <c r="P354" s="15"/>
    </row>
    <row r="355" spans="1:16" s="12" customFormat="1" ht="24.95" customHeight="1">
      <c r="A355" s="15" t="s">
        <v>533</v>
      </c>
      <c r="B355" s="55" t="s">
        <v>1297</v>
      </c>
      <c r="C355" s="15" t="s">
        <v>533</v>
      </c>
      <c r="D355" s="15" t="s">
        <v>8</v>
      </c>
      <c r="E355" s="15" t="s">
        <v>533</v>
      </c>
      <c r="F355" s="15" t="s">
        <v>102</v>
      </c>
      <c r="G355" s="15" t="s">
        <v>216</v>
      </c>
      <c r="H355" s="15" t="s">
        <v>9</v>
      </c>
      <c r="I355" s="15" t="s">
        <v>533</v>
      </c>
      <c r="J355" s="16" t="s">
        <v>988</v>
      </c>
      <c r="K355" s="16"/>
      <c r="L355" s="16"/>
      <c r="M355" s="16"/>
      <c r="N355" s="15"/>
      <c r="O355" s="15"/>
      <c r="P355" s="15"/>
    </row>
    <row r="356" spans="1:16" s="12" customFormat="1" ht="24.95" customHeight="1">
      <c r="A356" s="15" t="s">
        <v>534</v>
      </c>
      <c r="B356" s="55" t="s">
        <v>1297</v>
      </c>
      <c r="C356" s="15" t="s">
        <v>534</v>
      </c>
      <c r="D356" s="15" t="s">
        <v>8</v>
      </c>
      <c r="E356" s="15" t="s">
        <v>534</v>
      </c>
      <c r="F356" s="15" t="s">
        <v>94</v>
      </c>
      <c r="G356" s="15" t="s">
        <v>99</v>
      </c>
      <c r="H356" s="15" t="s">
        <v>9</v>
      </c>
      <c r="I356" s="15" t="s">
        <v>534</v>
      </c>
      <c r="J356" s="16" t="s">
        <v>140</v>
      </c>
      <c r="K356" s="16"/>
      <c r="L356" s="16"/>
      <c r="M356" s="16"/>
      <c r="N356" s="15"/>
      <c r="O356" s="15"/>
      <c r="P356" s="15"/>
    </row>
    <row r="357" spans="1:16" s="12" customFormat="1" ht="24.95" customHeight="1">
      <c r="A357" s="15" t="s">
        <v>535</v>
      </c>
      <c r="B357" s="55" t="s">
        <v>1297</v>
      </c>
      <c r="C357" s="15" t="s">
        <v>535</v>
      </c>
      <c r="D357" s="15" t="s">
        <v>8</v>
      </c>
      <c r="E357" s="15" t="s">
        <v>535</v>
      </c>
      <c r="F357" s="15" t="s">
        <v>101</v>
      </c>
      <c r="G357" s="15" t="s">
        <v>9</v>
      </c>
      <c r="H357" s="15" t="s">
        <v>9</v>
      </c>
      <c r="I357" s="15" t="s">
        <v>535</v>
      </c>
      <c r="J357" s="16" t="s">
        <v>536</v>
      </c>
      <c r="K357" s="16"/>
      <c r="L357" s="16"/>
      <c r="M357" s="16"/>
      <c r="N357" s="15"/>
      <c r="O357" s="15"/>
      <c r="P357" s="15"/>
    </row>
    <row r="358" spans="1:16" s="12" customFormat="1" ht="24.95" customHeight="1">
      <c r="A358" s="15" t="s">
        <v>537</v>
      </c>
      <c r="B358" s="55" t="s">
        <v>1297</v>
      </c>
      <c r="C358" s="15" t="s">
        <v>537</v>
      </c>
      <c r="D358" s="15" t="s">
        <v>8</v>
      </c>
      <c r="E358" s="15" t="s">
        <v>537</v>
      </c>
      <c r="F358" s="15">
        <v>440</v>
      </c>
      <c r="G358" s="15" t="s">
        <v>9</v>
      </c>
      <c r="H358" s="15" t="s">
        <v>9</v>
      </c>
      <c r="I358" s="15" t="s">
        <v>537</v>
      </c>
      <c r="J358" s="16" t="s">
        <v>275</v>
      </c>
      <c r="K358" s="16"/>
      <c r="L358" s="16"/>
      <c r="M358" s="16"/>
      <c r="N358" s="15"/>
      <c r="O358" s="15"/>
      <c r="P358" s="15"/>
    </row>
    <row r="359" spans="1:16" s="12" customFormat="1" ht="24.95" customHeight="1">
      <c r="A359" s="15" t="s">
        <v>538</v>
      </c>
      <c r="B359" s="55" t="s">
        <v>1297</v>
      </c>
      <c r="C359" s="15" t="s">
        <v>538</v>
      </c>
      <c r="D359" s="15" t="s">
        <v>58</v>
      </c>
      <c r="E359" s="15" t="s">
        <v>538</v>
      </c>
      <c r="F359" s="15" t="s">
        <v>88</v>
      </c>
      <c r="G359" s="15" t="s">
        <v>9</v>
      </c>
      <c r="H359" s="15" t="s">
        <v>9</v>
      </c>
      <c r="I359" s="15" t="s">
        <v>538</v>
      </c>
      <c r="J359" s="16" t="s">
        <v>195</v>
      </c>
      <c r="K359" s="16"/>
      <c r="L359" s="16"/>
      <c r="M359" s="16"/>
      <c r="N359" s="15"/>
      <c r="O359" s="15"/>
      <c r="P359" s="15"/>
    </row>
    <row r="360" spans="1:16" s="12" customFormat="1" ht="24.95" customHeight="1">
      <c r="A360" s="15" t="s">
        <v>539</v>
      </c>
      <c r="B360" s="55" t="s">
        <v>1297</v>
      </c>
      <c r="C360" s="15" t="s">
        <v>539</v>
      </c>
      <c r="D360" s="15" t="s">
        <v>58</v>
      </c>
      <c r="E360" s="15" t="s">
        <v>539</v>
      </c>
      <c r="F360" s="15" t="s">
        <v>149</v>
      </c>
      <c r="G360" s="15" t="s">
        <v>9</v>
      </c>
      <c r="H360" s="15" t="s">
        <v>9</v>
      </c>
      <c r="I360" s="15" t="s">
        <v>539</v>
      </c>
      <c r="J360" s="16" t="s">
        <v>195</v>
      </c>
      <c r="K360" s="16"/>
      <c r="L360" s="16"/>
      <c r="M360" s="16"/>
      <c r="N360" s="15"/>
      <c r="O360" s="15"/>
      <c r="P360" s="15"/>
    </row>
    <row r="361" spans="1:16" ht="24.95" customHeight="1">
      <c r="A361" s="56" t="s">
        <v>540</v>
      </c>
      <c r="B361" s="55" t="s">
        <v>1297</v>
      </c>
      <c r="C361" s="56" t="s">
        <v>540</v>
      </c>
      <c r="D361" s="55" t="s">
        <v>8</v>
      </c>
      <c r="E361" s="56" t="s">
        <v>540</v>
      </c>
      <c r="F361" s="55">
        <v>0.09</v>
      </c>
      <c r="G361" s="55">
        <v>0.26</v>
      </c>
      <c r="H361" s="55">
        <v>1.6</v>
      </c>
      <c r="I361" s="56" t="s">
        <v>540</v>
      </c>
      <c r="J361" s="56" t="s">
        <v>147</v>
      </c>
      <c r="K361" s="56" t="s">
        <v>1061</v>
      </c>
      <c r="L361" s="16"/>
      <c r="M361" s="56" t="s">
        <v>1194</v>
      </c>
      <c r="N361" s="56" t="s">
        <v>1193</v>
      </c>
      <c r="O361" s="55" t="s">
        <v>1196</v>
      </c>
      <c r="P361" s="55" t="s">
        <v>1195</v>
      </c>
    </row>
    <row r="362" spans="1:16" s="12" customFormat="1" ht="24.95" customHeight="1">
      <c r="A362" s="15" t="s">
        <v>541</v>
      </c>
      <c r="B362" s="55" t="s">
        <v>1297</v>
      </c>
      <c r="C362" s="15" t="s">
        <v>541</v>
      </c>
      <c r="D362" s="15" t="s">
        <v>8</v>
      </c>
      <c r="E362" s="15" t="s">
        <v>541</v>
      </c>
      <c r="F362" s="15" t="s">
        <v>99</v>
      </c>
      <c r="G362" s="15" t="s">
        <v>9</v>
      </c>
      <c r="H362" s="15" t="s">
        <v>9</v>
      </c>
      <c r="I362" s="15" t="s">
        <v>541</v>
      </c>
      <c r="J362" s="16" t="s">
        <v>989</v>
      </c>
      <c r="K362" s="16"/>
      <c r="L362" s="16"/>
      <c r="M362" s="16"/>
      <c r="N362" s="15"/>
      <c r="O362" s="15"/>
      <c r="P362" s="15"/>
    </row>
    <row r="363" spans="1:16" s="12" customFormat="1" ht="24.95" customHeight="1">
      <c r="A363" s="15" t="s">
        <v>542</v>
      </c>
      <c r="B363" s="55" t="s">
        <v>1297</v>
      </c>
      <c r="C363" s="15" t="s">
        <v>542</v>
      </c>
      <c r="D363" s="15" t="s">
        <v>8</v>
      </c>
      <c r="E363" s="15" t="s">
        <v>542</v>
      </c>
      <c r="F363" s="15" t="s">
        <v>9</v>
      </c>
      <c r="G363" s="15">
        <v>88</v>
      </c>
      <c r="H363" s="15" t="s">
        <v>9</v>
      </c>
      <c r="I363" s="15" t="s">
        <v>542</v>
      </c>
      <c r="J363" s="16" t="s">
        <v>899</v>
      </c>
      <c r="K363" s="16"/>
      <c r="L363" s="16"/>
      <c r="M363" s="16"/>
      <c r="N363" s="15"/>
      <c r="O363" s="15"/>
      <c r="P363" s="15"/>
    </row>
    <row r="364" spans="1:16" s="12" customFormat="1" ht="24.95" customHeight="1">
      <c r="A364" s="15" t="s">
        <v>543</v>
      </c>
      <c r="B364" s="55" t="s">
        <v>1297</v>
      </c>
      <c r="C364" s="15" t="s">
        <v>543</v>
      </c>
      <c r="D364" s="15" t="s">
        <v>8</v>
      </c>
      <c r="E364" s="15" t="s">
        <v>543</v>
      </c>
      <c r="F364" s="15">
        <v>44</v>
      </c>
      <c r="G364" s="15">
        <v>88</v>
      </c>
      <c r="H364" s="15" t="s">
        <v>9</v>
      </c>
      <c r="I364" s="15" t="s">
        <v>543</v>
      </c>
      <c r="J364" s="16" t="s">
        <v>990</v>
      </c>
      <c r="K364" s="16"/>
      <c r="L364" s="16"/>
      <c r="M364" s="16"/>
      <c r="N364" s="15"/>
      <c r="O364" s="15"/>
      <c r="P364" s="15"/>
    </row>
    <row r="365" spans="1:16" s="12" customFormat="1" ht="24.95" customHeight="1">
      <c r="A365" s="15" t="s">
        <v>544</v>
      </c>
      <c r="B365" s="55" t="s">
        <v>1297</v>
      </c>
      <c r="C365" s="15" t="s">
        <v>544</v>
      </c>
      <c r="D365" s="15" t="s">
        <v>58</v>
      </c>
      <c r="E365" s="15" t="s">
        <v>544</v>
      </c>
      <c r="F365" s="15" t="s">
        <v>94</v>
      </c>
      <c r="G365" s="15" t="s">
        <v>9</v>
      </c>
      <c r="H365" s="15" t="s">
        <v>9</v>
      </c>
      <c r="I365" s="15" t="s">
        <v>544</v>
      </c>
      <c r="J365" s="16" t="s">
        <v>991</v>
      </c>
      <c r="K365" s="16"/>
      <c r="L365" s="16"/>
      <c r="M365" s="16"/>
      <c r="N365" s="15"/>
      <c r="O365" s="15"/>
      <c r="P365" s="15"/>
    </row>
    <row r="366" spans="1:16" s="12" customFormat="1" ht="24.95" customHeight="1">
      <c r="A366" s="15" t="s">
        <v>545</v>
      </c>
      <c r="B366" s="55" t="s">
        <v>1297</v>
      </c>
      <c r="C366" s="15" t="s">
        <v>545</v>
      </c>
      <c r="D366" s="15" t="s">
        <v>8</v>
      </c>
      <c r="E366" s="15" t="s">
        <v>545</v>
      </c>
      <c r="F366" s="15" t="s">
        <v>177</v>
      </c>
      <c r="G366" s="15" t="s">
        <v>9</v>
      </c>
      <c r="H366" s="15" t="s">
        <v>9</v>
      </c>
      <c r="I366" s="15" t="s">
        <v>545</v>
      </c>
      <c r="J366" s="16" t="s">
        <v>992</v>
      </c>
      <c r="K366" s="16"/>
      <c r="L366" s="16"/>
      <c r="M366" s="16"/>
      <c r="N366" s="15"/>
      <c r="O366" s="15"/>
      <c r="P366" s="15"/>
    </row>
    <row r="367" spans="1:16" s="12" customFormat="1" ht="24.95" customHeight="1">
      <c r="A367" s="15" t="s">
        <v>546</v>
      </c>
      <c r="B367" s="55" t="s">
        <v>1297</v>
      </c>
      <c r="C367" s="15" t="s">
        <v>546</v>
      </c>
      <c r="D367" s="15" t="s">
        <v>58</v>
      </c>
      <c r="E367" s="15" t="s">
        <v>546</v>
      </c>
      <c r="F367" s="15" t="s">
        <v>94</v>
      </c>
      <c r="G367" s="15" t="s">
        <v>9</v>
      </c>
      <c r="H367" s="15" t="s">
        <v>9</v>
      </c>
      <c r="I367" s="15" t="s">
        <v>546</v>
      </c>
      <c r="J367" s="16" t="s">
        <v>993</v>
      </c>
      <c r="K367" s="16"/>
      <c r="L367" s="16"/>
      <c r="M367" s="16"/>
      <c r="N367" s="15"/>
      <c r="O367" s="15"/>
      <c r="P367" s="15"/>
    </row>
    <row r="368" spans="1:16" s="12" customFormat="1" ht="24.95" customHeight="1">
      <c r="A368" s="15" t="s">
        <v>547</v>
      </c>
      <c r="B368" s="55" t="s">
        <v>1297</v>
      </c>
      <c r="C368" s="15" t="s">
        <v>547</v>
      </c>
      <c r="D368" s="15" t="s">
        <v>58</v>
      </c>
      <c r="E368" s="15" t="s">
        <v>547</v>
      </c>
      <c r="F368" s="15" t="s">
        <v>102</v>
      </c>
      <c r="G368" s="15" t="s">
        <v>9</v>
      </c>
      <c r="H368" s="15" t="s">
        <v>9</v>
      </c>
      <c r="I368" s="15" t="s">
        <v>547</v>
      </c>
      <c r="J368" s="16" t="s">
        <v>195</v>
      </c>
      <c r="K368" s="16"/>
      <c r="L368" s="16"/>
      <c r="M368" s="16"/>
      <c r="N368" s="15"/>
      <c r="O368" s="15"/>
      <c r="P368" s="15"/>
    </row>
    <row r="369" spans="1:16" s="12" customFormat="1" ht="24.95" customHeight="1">
      <c r="A369" s="15" t="s">
        <v>548</v>
      </c>
      <c r="B369" s="55" t="s">
        <v>1297</v>
      </c>
      <c r="C369" s="15" t="s">
        <v>548</v>
      </c>
      <c r="D369" s="15" t="s">
        <v>58</v>
      </c>
      <c r="E369" s="15" t="s">
        <v>548</v>
      </c>
      <c r="F369" s="15">
        <v>4.3999999999999997E-2</v>
      </c>
      <c r="G369" s="15" t="s">
        <v>9</v>
      </c>
      <c r="H369" s="15" t="s">
        <v>9</v>
      </c>
      <c r="I369" s="15" t="s">
        <v>548</v>
      </c>
      <c r="J369" s="16" t="s">
        <v>195</v>
      </c>
      <c r="K369" s="16"/>
      <c r="L369" s="16"/>
      <c r="M369" s="16"/>
      <c r="N369" s="15"/>
      <c r="O369" s="15"/>
      <c r="P369" s="15"/>
    </row>
    <row r="370" spans="1:16" s="12" customFormat="1" ht="24.95" customHeight="1">
      <c r="A370" s="15" t="s">
        <v>549</v>
      </c>
      <c r="B370" s="55" t="s">
        <v>1297</v>
      </c>
      <c r="C370" s="15" t="s">
        <v>549</v>
      </c>
      <c r="D370" s="15" t="s">
        <v>8</v>
      </c>
      <c r="E370" s="15" t="s">
        <v>549</v>
      </c>
      <c r="F370" s="15" t="s">
        <v>177</v>
      </c>
      <c r="G370" s="15" t="s">
        <v>101</v>
      </c>
      <c r="H370" s="15" t="s">
        <v>881</v>
      </c>
      <c r="I370" s="15" t="s">
        <v>549</v>
      </c>
      <c r="J370" s="16" t="s">
        <v>994</v>
      </c>
      <c r="K370" s="16"/>
      <c r="L370" s="16"/>
      <c r="M370" s="16"/>
      <c r="N370" s="16"/>
      <c r="O370" s="16"/>
      <c r="P370" s="16"/>
    </row>
    <row r="371" spans="1:16" s="12" customFormat="1" ht="24.95" customHeight="1">
      <c r="A371" s="15" t="s">
        <v>550</v>
      </c>
      <c r="B371" s="55" t="s">
        <v>1297</v>
      </c>
      <c r="C371" s="15" t="s">
        <v>550</v>
      </c>
      <c r="D371" s="15" t="s">
        <v>8</v>
      </c>
      <c r="E371" s="15" t="s">
        <v>550</v>
      </c>
      <c r="F371" s="15" t="s">
        <v>86</v>
      </c>
      <c r="G371" s="15" t="s">
        <v>9</v>
      </c>
      <c r="H371" s="15" t="s">
        <v>9</v>
      </c>
      <c r="I371" s="15" t="s">
        <v>550</v>
      </c>
      <c r="J371" s="16" t="s">
        <v>995</v>
      </c>
      <c r="K371" s="16"/>
      <c r="L371" s="16"/>
      <c r="M371" s="16"/>
      <c r="N371" s="15"/>
      <c r="O371" s="15"/>
      <c r="P371" s="15"/>
    </row>
    <row r="372" spans="1:16" s="12" customFormat="1" ht="24.95" customHeight="1">
      <c r="A372" s="15" t="s">
        <v>551</v>
      </c>
      <c r="B372" s="55" t="s">
        <v>1297</v>
      </c>
      <c r="C372" s="15" t="s">
        <v>551</v>
      </c>
      <c r="D372" s="15" t="s">
        <v>58</v>
      </c>
      <c r="E372" s="15" t="s">
        <v>551</v>
      </c>
      <c r="F372" s="15" t="s">
        <v>88</v>
      </c>
      <c r="G372" s="15" t="s">
        <v>9</v>
      </c>
      <c r="H372" s="15" t="s">
        <v>9</v>
      </c>
      <c r="I372" s="15" t="s">
        <v>551</v>
      </c>
      <c r="J372" s="16" t="s">
        <v>996</v>
      </c>
      <c r="K372" s="16"/>
      <c r="L372" s="16"/>
      <c r="M372" s="16"/>
      <c r="N372" s="16"/>
      <c r="O372" s="16"/>
      <c r="P372" s="16"/>
    </row>
    <row r="373" spans="1:16" s="12" customFormat="1" ht="24.95" customHeight="1">
      <c r="A373" s="15" t="s">
        <v>552</v>
      </c>
      <c r="B373" s="55" t="s">
        <v>1297</v>
      </c>
      <c r="C373" s="15" t="s">
        <v>552</v>
      </c>
      <c r="D373" s="15" t="s">
        <v>8</v>
      </c>
      <c r="E373" s="15" t="s">
        <v>552</v>
      </c>
      <c r="F373" s="15" t="s">
        <v>88</v>
      </c>
      <c r="G373" s="15" t="s">
        <v>9</v>
      </c>
      <c r="H373" s="15" t="s">
        <v>876</v>
      </c>
      <c r="I373" s="15" t="s">
        <v>552</v>
      </c>
      <c r="J373" s="16" t="s">
        <v>997</v>
      </c>
      <c r="K373" s="16"/>
      <c r="L373" s="16"/>
      <c r="M373" s="16"/>
      <c r="N373" s="15"/>
      <c r="O373" s="15"/>
      <c r="P373" s="15"/>
    </row>
    <row r="374" spans="1:16" s="12" customFormat="1" ht="24.95" customHeight="1">
      <c r="A374" s="15" t="s">
        <v>553</v>
      </c>
      <c r="B374" s="55" t="s">
        <v>1297</v>
      </c>
      <c r="C374" s="15" t="s">
        <v>553</v>
      </c>
      <c r="D374" s="15" t="s">
        <v>58</v>
      </c>
      <c r="E374" s="15" t="s">
        <v>553</v>
      </c>
      <c r="F374" s="15" t="s">
        <v>94</v>
      </c>
      <c r="G374" s="15" t="s">
        <v>9</v>
      </c>
      <c r="H374" s="15" t="s">
        <v>9</v>
      </c>
      <c r="I374" s="15" t="s">
        <v>553</v>
      </c>
      <c r="J374" s="16" t="s">
        <v>919</v>
      </c>
      <c r="K374" s="16"/>
      <c r="L374" s="16"/>
      <c r="M374" s="16"/>
      <c r="N374" s="15"/>
      <c r="O374" s="15"/>
      <c r="P374" s="15"/>
    </row>
    <row r="375" spans="1:16" s="12" customFormat="1" ht="24.95" customHeight="1">
      <c r="A375" s="15" t="s">
        <v>554</v>
      </c>
      <c r="B375" s="55" t="s">
        <v>1297</v>
      </c>
      <c r="C375" s="15" t="s">
        <v>554</v>
      </c>
      <c r="D375" s="15" t="s">
        <v>58</v>
      </c>
      <c r="E375" s="15" t="s">
        <v>554</v>
      </c>
      <c r="F375" s="15" t="s">
        <v>94</v>
      </c>
      <c r="G375" s="15" t="s">
        <v>9</v>
      </c>
      <c r="H375" s="15" t="s">
        <v>9</v>
      </c>
      <c r="I375" s="15" t="s">
        <v>554</v>
      </c>
      <c r="J375" s="16" t="s">
        <v>147</v>
      </c>
      <c r="K375" s="16"/>
      <c r="L375" s="16"/>
      <c r="M375" s="16"/>
      <c r="N375" s="15"/>
      <c r="O375" s="15"/>
      <c r="P375" s="15"/>
    </row>
    <row r="376" spans="1:16" s="12" customFormat="1" ht="42.75" customHeight="1">
      <c r="A376" s="15" t="s">
        <v>555</v>
      </c>
      <c r="B376" s="55" t="s">
        <v>1297</v>
      </c>
      <c r="C376" s="15" t="s">
        <v>555</v>
      </c>
      <c r="D376" s="15" t="s">
        <v>58</v>
      </c>
      <c r="E376" s="15" t="s">
        <v>555</v>
      </c>
      <c r="F376" s="15" t="s">
        <v>101</v>
      </c>
      <c r="G376" s="15" t="s">
        <v>9</v>
      </c>
      <c r="H376" s="15" t="s">
        <v>9</v>
      </c>
      <c r="I376" s="15" t="s">
        <v>555</v>
      </c>
      <c r="J376" s="16" t="s">
        <v>556</v>
      </c>
      <c r="K376" s="16"/>
      <c r="L376" s="16"/>
      <c r="M376" s="16"/>
      <c r="N376" s="15"/>
      <c r="O376" s="15"/>
      <c r="P376" s="15"/>
    </row>
    <row r="377" spans="1:16" s="12" customFormat="1" ht="24.95" customHeight="1">
      <c r="A377" s="15" t="s">
        <v>557</v>
      </c>
      <c r="B377" s="55" t="s">
        <v>1297</v>
      </c>
      <c r="C377" s="15" t="s">
        <v>557</v>
      </c>
      <c r="D377" s="15" t="s">
        <v>8</v>
      </c>
      <c r="E377" s="15" t="s">
        <v>557</v>
      </c>
      <c r="F377" s="15" t="s">
        <v>86</v>
      </c>
      <c r="G377" s="15" t="s">
        <v>9</v>
      </c>
      <c r="H377" s="15" t="s">
        <v>9</v>
      </c>
      <c r="I377" s="15" t="s">
        <v>557</v>
      </c>
      <c r="J377" s="16" t="s">
        <v>147</v>
      </c>
      <c r="K377" s="16"/>
      <c r="L377" s="16"/>
      <c r="M377" s="16"/>
      <c r="N377" s="15"/>
      <c r="O377" s="15"/>
      <c r="P377" s="15"/>
    </row>
    <row r="378" spans="1:16" s="12" customFormat="1" ht="24.95" customHeight="1">
      <c r="A378" s="15" t="s">
        <v>558</v>
      </c>
      <c r="B378" s="55" t="s">
        <v>1297</v>
      </c>
      <c r="C378" s="15" t="s">
        <v>558</v>
      </c>
      <c r="D378" s="15" t="s">
        <v>8</v>
      </c>
      <c r="E378" s="15" t="s">
        <v>558</v>
      </c>
      <c r="F378" s="15">
        <v>264</v>
      </c>
      <c r="G378" s="15">
        <v>440</v>
      </c>
      <c r="H378" s="15" t="s">
        <v>9</v>
      </c>
      <c r="I378" s="15" t="s">
        <v>558</v>
      </c>
      <c r="J378" s="16" t="s">
        <v>975</v>
      </c>
      <c r="K378" s="16"/>
      <c r="L378" s="16"/>
      <c r="M378" s="16"/>
      <c r="N378" s="16"/>
      <c r="O378" s="16"/>
      <c r="P378" s="16"/>
    </row>
    <row r="379" spans="1:16" s="12" customFormat="1" ht="24.95" customHeight="1">
      <c r="A379" s="15" t="s">
        <v>559</v>
      </c>
      <c r="B379" s="55" t="s">
        <v>1297</v>
      </c>
      <c r="C379" s="15" t="s">
        <v>559</v>
      </c>
      <c r="D379" s="15" t="s">
        <v>8</v>
      </c>
      <c r="E379" s="15" t="s">
        <v>559</v>
      </c>
      <c r="F379" s="15" t="s">
        <v>86</v>
      </c>
      <c r="G379" s="15" t="s">
        <v>9</v>
      </c>
      <c r="H379" s="15" t="s">
        <v>9</v>
      </c>
      <c r="I379" s="15" t="s">
        <v>559</v>
      </c>
      <c r="J379" s="16" t="s">
        <v>902</v>
      </c>
      <c r="K379" s="16"/>
      <c r="L379" s="16"/>
      <c r="M379" s="16"/>
      <c r="N379" s="15"/>
      <c r="O379" s="15"/>
      <c r="P379" s="15"/>
    </row>
    <row r="380" spans="1:16" s="12" customFormat="1" ht="24.95" customHeight="1">
      <c r="A380" s="15" t="s">
        <v>560</v>
      </c>
      <c r="B380" s="55" t="s">
        <v>1297</v>
      </c>
      <c r="C380" s="15" t="s">
        <v>560</v>
      </c>
      <c r="D380" s="15" t="s">
        <v>58</v>
      </c>
      <c r="E380" s="15" t="s">
        <v>560</v>
      </c>
      <c r="F380" s="15" t="s">
        <v>88</v>
      </c>
      <c r="G380" s="15" t="s">
        <v>9</v>
      </c>
      <c r="H380" s="15" t="s">
        <v>9</v>
      </c>
      <c r="I380" s="15" t="s">
        <v>560</v>
      </c>
      <c r="J380" s="16" t="s">
        <v>998</v>
      </c>
      <c r="K380" s="16"/>
      <c r="L380" s="16"/>
      <c r="M380" s="16"/>
      <c r="N380" s="15"/>
      <c r="O380" s="15"/>
      <c r="P380" s="15"/>
    </row>
    <row r="381" spans="1:16" s="12" customFormat="1" ht="24.95" customHeight="1">
      <c r="A381" s="15" t="s">
        <v>561</v>
      </c>
      <c r="B381" s="55" t="s">
        <v>1297</v>
      </c>
      <c r="C381" s="15" t="s">
        <v>561</v>
      </c>
      <c r="D381" s="15" t="s">
        <v>8</v>
      </c>
      <c r="E381" s="15" t="s">
        <v>561</v>
      </c>
      <c r="F381" s="15" t="s">
        <v>9</v>
      </c>
      <c r="G381" s="15" t="s">
        <v>149</v>
      </c>
      <c r="H381" s="15" t="s">
        <v>9</v>
      </c>
      <c r="I381" s="15" t="s">
        <v>561</v>
      </c>
      <c r="J381" s="16" t="s">
        <v>934</v>
      </c>
      <c r="K381" s="16"/>
      <c r="L381" s="16"/>
      <c r="M381" s="16"/>
      <c r="N381" s="15"/>
      <c r="O381" s="15"/>
      <c r="P381" s="15"/>
    </row>
    <row r="382" spans="1:16" s="12" customFormat="1" ht="24.95" customHeight="1">
      <c r="A382" s="15" t="s">
        <v>562</v>
      </c>
      <c r="B382" s="55" t="s">
        <v>1297</v>
      </c>
      <c r="C382" s="15" t="s">
        <v>562</v>
      </c>
      <c r="D382" s="15" t="s">
        <v>58</v>
      </c>
      <c r="E382" s="15" t="s">
        <v>562</v>
      </c>
      <c r="F382" s="15" t="s">
        <v>86</v>
      </c>
      <c r="G382" s="15" t="s">
        <v>9</v>
      </c>
      <c r="H382" s="15" t="s">
        <v>9</v>
      </c>
      <c r="I382" s="15" t="s">
        <v>562</v>
      </c>
      <c r="J382" s="16" t="s">
        <v>244</v>
      </c>
      <c r="K382" s="16"/>
      <c r="L382" s="16"/>
      <c r="M382" s="16"/>
      <c r="N382" s="15"/>
      <c r="O382" s="15"/>
      <c r="P382" s="15"/>
    </row>
    <row r="383" spans="1:16" s="12" customFormat="1" ht="24.95" customHeight="1">
      <c r="A383" s="16" t="s">
        <v>563</v>
      </c>
      <c r="B383" s="55" t="s">
        <v>1297</v>
      </c>
      <c r="C383" s="16" t="s">
        <v>563</v>
      </c>
      <c r="D383" s="15" t="s">
        <v>58</v>
      </c>
      <c r="E383" s="16" t="s">
        <v>563</v>
      </c>
      <c r="F383" s="15" t="s">
        <v>107</v>
      </c>
      <c r="G383" s="15" t="s">
        <v>9</v>
      </c>
      <c r="H383" s="15" t="s">
        <v>9</v>
      </c>
      <c r="I383" s="16" t="s">
        <v>563</v>
      </c>
      <c r="J383" s="16" t="s">
        <v>930</v>
      </c>
      <c r="K383" s="16"/>
      <c r="L383" s="16"/>
      <c r="M383" s="16"/>
      <c r="N383" s="15"/>
      <c r="O383" s="15"/>
      <c r="P383" s="15"/>
    </row>
    <row r="384" spans="1:16" s="12" customFormat="1" ht="24.95" customHeight="1">
      <c r="A384" s="15" t="s">
        <v>564</v>
      </c>
      <c r="B384" s="55" t="s">
        <v>1297</v>
      </c>
      <c r="C384" s="15" t="s">
        <v>564</v>
      </c>
      <c r="D384" s="15" t="s">
        <v>58</v>
      </c>
      <c r="E384" s="15" t="s">
        <v>564</v>
      </c>
      <c r="F384" s="15" t="s">
        <v>92</v>
      </c>
      <c r="G384" s="15" t="s">
        <v>9</v>
      </c>
      <c r="H384" s="15" t="s">
        <v>9</v>
      </c>
      <c r="I384" s="15" t="s">
        <v>564</v>
      </c>
      <c r="J384" s="16" t="s">
        <v>999</v>
      </c>
      <c r="K384" s="16"/>
      <c r="L384" s="16"/>
      <c r="M384" s="16"/>
      <c r="N384" s="15"/>
      <c r="O384" s="15"/>
      <c r="P384" s="15"/>
    </row>
    <row r="385" spans="1:16" s="12" customFormat="1" ht="24.95" customHeight="1">
      <c r="A385" s="15" t="s">
        <v>565</v>
      </c>
      <c r="B385" s="55" t="s">
        <v>1297</v>
      </c>
      <c r="C385" s="15" t="s">
        <v>565</v>
      </c>
      <c r="D385" s="15" t="s">
        <v>8</v>
      </c>
      <c r="E385" s="15" t="s">
        <v>565</v>
      </c>
      <c r="F385" s="15">
        <v>44</v>
      </c>
      <c r="G385" s="15" t="s">
        <v>9</v>
      </c>
      <c r="H385" s="15" t="s">
        <v>9</v>
      </c>
      <c r="I385" s="15" t="s">
        <v>565</v>
      </c>
      <c r="J385" s="16" t="s">
        <v>566</v>
      </c>
      <c r="K385" s="16"/>
      <c r="L385" s="16"/>
      <c r="M385" s="16"/>
      <c r="N385" s="15"/>
      <c r="O385" s="15"/>
      <c r="P385" s="15"/>
    </row>
    <row r="386" spans="1:16" s="12" customFormat="1" ht="24.95" customHeight="1">
      <c r="A386" s="15" t="s">
        <v>567</v>
      </c>
      <c r="B386" s="55" t="s">
        <v>1297</v>
      </c>
      <c r="C386" s="15" t="s">
        <v>567</v>
      </c>
      <c r="D386" s="15" t="s">
        <v>58</v>
      </c>
      <c r="E386" s="15" t="s">
        <v>567</v>
      </c>
      <c r="F386" s="15" t="s">
        <v>149</v>
      </c>
      <c r="G386" s="15" t="s">
        <v>9</v>
      </c>
      <c r="H386" s="15" t="s">
        <v>9</v>
      </c>
      <c r="I386" s="15" t="s">
        <v>567</v>
      </c>
      <c r="J386" s="16" t="s">
        <v>275</v>
      </c>
      <c r="K386" s="16"/>
      <c r="L386" s="16"/>
      <c r="M386" s="16"/>
      <c r="N386" s="15"/>
      <c r="O386" s="15"/>
      <c r="P386" s="15"/>
    </row>
    <row r="387" spans="1:16" s="12" customFormat="1" ht="24.95" customHeight="1">
      <c r="A387" s="15" t="s">
        <v>568</v>
      </c>
      <c r="B387" s="55" t="s">
        <v>1297</v>
      </c>
      <c r="C387" s="15" t="s">
        <v>568</v>
      </c>
      <c r="D387" s="15" t="s">
        <v>8</v>
      </c>
      <c r="E387" s="15" t="s">
        <v>568</v>
      </c>
      <c r="F387" s="15">
        <v>352</v>
      </c>
      <c r="G387" s="15">
        <v>440</v>
      </c>
      <c r="H387" s="15" t="s">
        <v>9</v>
      </c>
      <c r="I387" s="15" t="s">
        <v>568</v>
      </c>
      <c r="J387" s="16" t="s">
        <v>973</v>
      </c>
      <c r="K387" s="16"/>
      <c r="L387" s="16"/>
      <c r="M387" s="16"/>
      <c r="N387" s="15"/>
      <c r="O387" s="15"/>
      <c r="P387" s="15"/>
    </row>
    <row r="388" spans="1:16" s="12" customFormat="1" ht="24.95" customHeight="1">
      <c r="A388" s="15" t="s">
        <v>569</v>
      </c>
      <c r="B388" s="55" t="s">
        <v>1297</v>
      </c>
      <c r="C388" s="15" t="s">
        <v>569</v>
      </c>
      <c r="D388" s="15" t="s">
        <v>58</v>
      </c>
      <c r="E388" s="15" t="s">
        <v>569</v>
      </c>
      <c r="F388" s="15" t="s">
        <v>173</v>
      </c>
      <c r="G388" s="15" t="s">
        <v>9</v>
      </c>
      <c r="H388" s="15" t="s">
        <v>9</v>
      </c>
      <c r="I388" s="15" t="s">
        <v>569</v>
      </c>
      <c r="J388" s="16" t="s">
        <v>570</v>
      </c>
      <c r="K388" s="16"/>
      <c r="L388" s="16"/>
      <c r="M388" s="16"/>
      <c r="N388" s="15"/>
      <c r="O388" s="15"/>
      <c r="P388" s="15"/>
    </row>
    <row r="389" spans="1:16" s="12" customFormat="1" ht="24.95" customHeight="1">
      <c r="A389" s="15" t="s">
        <v>571</v>
      </c>
      <c r="B389" s="55" t="s">
        <v>1297</v>
      </c>
      <c r="C389" s="15" t="s">
        <v>571</v>
      </c>
      <c r="D389" s="15" t="s">
        <v>8</v>
      </c>
      <c r="E389" s="15" t="s">
        <v>571</v>
      </c>
      <c r="F389" s="15" t="s">
        <v>327</v>
      </c>
      <c r="G389" s="15" t="s">
        <v>9</v>
      </c>
      <c r="H389" s="15" t="s">
        <v>9</v>
      </c>
      <c r="I389" s="15" t="s">
        <v>571</v>
      </c>
      <c r="J389" s="16" t="s">
        <v>239</v>
      </c>
      <c r="K389" s="16"/>
      <c r="L389" s="16"/>
      <c r="M389" s="16"/>
      <c r="N389" s="15"/>
      <c r="O389" s="15"/>
      <c r="P389" s="15"/>
    </row>
    <row r="390" spans="1:16" s="12" customFormat="1" ht="24.95" customHeight="1">
      <c r="A390" s="15" t="s">
        <v>572</v>
      </c>
      <c r="B390" s="55" t="s">
        <v>1297</v>
      </c>
      <c r="C390" s="15" t="s">
        <v>572</v>
      </c>
      <c r="D390" s="15" t="s">
        <v>8</v>
      </c>
      <c r="E390" s="15" t="s">
        <v>572</v>
      </c>
      <c r="F390" s="15" t="s">
        <v>88</v>
      </c>
      <c r="G390" s="15" t="s">
        <v>9</v>
      </c>
      <c r="H390" s="15" t="s">
        <v>9</v>
      </c>
      <c r="I390" s="15" t="s">
        <v>572</v>
      </c>
      <c r="J390" s="16" t="s">
        <v>899</v>
      </c>
      <c r="K390" s="16"/>
      <c r="L390" s="16"/>
      <c r="M390" s="16"/>
      <c r="N390" s="15"/>
      <c r="O390" s="15"/>
      <c r="P390" s="15"/>
    </row>
    <row r="391" spans="1:16" s="12" customFormat="1" ht="24.95" customHeight="1">
      <c r="A391" s="15" t="s">
        <v>573</v>
      </c>
      <c r="B391" s="55" t="s">
        <v>1297</v>
      </c>
      <c r="C391" s="15" t="s">
        <v>573</v>
      </c>
      <c r="D391" s="15" t="s">
        <v>8</v>
      </c>
      <c r="E391" s="15" t="s">
        <v>573</v>
      </c>
      <c r="F391" s="15" t="s">
        <v>101</v>
      </c>
      <c r="G391" s="15" t="s">
        <v>9</v>
      </c>
      <c r="H391" s="15" t="s">
        <v>9</v>
      </c>
      <c r="I391" s="15" t="s">
        <v>573</v>
      </c>
      <c r="J391" s="16" t="s">
        <v>305</v>
      </c>
      <c r="K391" s="16"/>
      <c r="L391" s="16"/>
      <c r="M391" s="16"/>
      <c r="N391" s="15"/>
      <c r="O391" s="15"/>
      <c r="P391" s="15"/>
    </row>
    <row r="392" spans="1:16" s="12" customFormat="1" ht="24.95" customHeight="1">
      <c r="A392" s="15" t="s">
        <v>574</v>
      </c>
      <c r="B392" s="55" t="s">
        <v>1297</v>
      </c>
      <c r="C392" s="15" t="s">
        <v>574</v>
      </c>
      <c r="D392" s="15" t="s">
        <v>58</v>
      </c>
      <c r="E392" s="15" t="s">
        <v>574</v>
      </c>
      <c r="F392" s="15" t="s">
        <v>114</v>
      </c>
      <c r="G392" s="15" t="s">
        <v>9</v>
      </c>
      <c r="H392" s="15" t="s">
        <v>9</v>
      </c>
      <c r="I392" s="15" t="s">
        <v>574</v>
      </c>
      <c r="J392" s="16" t="s">
        <v>575</v>
      </c>
      <c r="K392" s="16"/>
      <c r="L392" s="16"/>
      <c r="M392" s="16"/>
      <c r="N392" s="15"/>
      <c r="O392" s="15"/>
      <c r="P392" s="15"/>
    </row>
    <row r="393" spans="1:16" s="12" customFormat="1" ht="24.95" customHeight="1">
      <c r="A393" s="15" t="s">
        <v>576</v>
      </c>
      <c r="B393" s="55" t="s">
        <v>1297</v>
      </c>
      <c r="C393" s="15" t="s">
        <v>576</v>
      </c>
      <c r="D393" s="15" t="s">
        <v>8</v>
      </c>
      <c r="E393" s="15" t="s">
        <v>576</v>
      </c>
      <c r="F393" s="15" t="s">
        <v>88</v>
      </c>
      <c r="G393" s="15" t="s">
        <v>9</v>
      </c>
      <c r="H393" s="15" t="s">
        <v>9</v>
      </c>
      <c r="I393" s="15" t="s">
        <v>576</v>
      </c>
      <c r="J393" s="16" t="s">
        <v>577</v>
      </c>
      <c r="K393" s="16"/>
      <c r="L393" s="16"/>
      <c r="M393" s="16"/>
      <c r="N393" s="15"/>
      <c r="O393" s="15"/>
      <c r="P393" s="15"/>
    </row>
    <row r="394" spans="1:16" s="12" customFormat="1" ht="24.95" customHeight="1">
      <c r="A394" s="15" t="s">
        <v>578</v>
      </c>
      <c r="B394" s="55" t="s">
        <v>1297</v>
      </c>
      <c r="C394" s="15" t="s">
        <v>578</v>
      </c>
      <c r="D394" s="15" t="s">
        <v>8</v>
      </c>
      <c r="E394" s="15" t="s">
        <v>578</v>
      </c>
      <c r="F394" s="15" t="s">
        <v>88</v>
      </c>
      <c r="G394" s="15" t="s">
        <v>9</v>
      </c>
      <c r="H394" s="15" t="s">
        <v>9</v>
      </c>
      <c r="I394" s="15" t="s">
        <v>578</v>
      </c>
      <c r="J394" s="16" t="s">
        <v>579</v>
      </c>
      <c r="K394" s="16"/>
      <c r="L394" s="16"/>
      <c r="M394" s="16"/>
      <c r="N394" s="15"/>
      <c r="O394" s="15"/>
      <c r="P394" s="15"/>
    </row>
    <row r="395" spans="1:16" s="12" customFormat="1" ht="24.95" customHeight="1">
      <c r="A395" s="15" t="s">
        <v>580</v>
      </c>
      <c r="B395" s="55" t="s">
        <v>1297</v>
      </c>
      <c r="C395" s="15" t="s">
        <v>580</v>
      </c>
      <c r="D395" s="15" t="s">
        <v>8</v>
      </c>
      <c r="E395" s="15" t="s">
        <v>580</v>
      </c>
      <c r="F395" s="15">
        <v>880</v>
      </c>
      <c r="G395" s="15" t="s">
        <v>9</v>
      </c>
      <c r="H395" s="15" t="s">
        <v>9</v>
      </c>
      <c r="I395" s="15" t="s">
        <v>580</v>
      </c>
      <c r="J395" s="16" t="s">
        <v>54</v>
      </c>
      <c r="K395" s="16"/>
      <c r="L395" s="16"/>
      <c r="M395" s="16"/>
      <c r="N395" s="15"/>
      <c r="O395" s="15"/>
      <c r="P395" s="15"/>
    </row>
    <row r="396" spans="1:16" s="12" customFormat="1" ht="24.95" customHeight="1">
      <c r="A396" s="15" t="s">
        <v>581</v>
      </c>
      <c r="B396" s="55" t="s">
        <v>1297</v>
      </c>
      <c r="C396" s="15" t="s">
        <v>581</v>
      </c>
      <c r="D396" s="15" t="s">
        <v>8</v>
      </c>
      <c r="E396" s="15" t="s">
        <v>581</v>
      </c>
      <c r="F396" s="15" t="s">
        <v>149</v>
      </c>
      <c r="G396" s="15" t="s">
        <v>9</v>
      </c>
      <c r="H396" s="15" t="s">
        <v>9</v>
      </c>
      <c r="I396" s="15" t="s">
        <v>581</v>
      </c>
      <c r="J396" s="16" t="s">
        <v>582</v>
      </c>
      <c r="K396" s="16"/>
      <c r="L396" s="16"/>
      <c r="M396" s="16"/>
      <c r="N396" s="15"/>
      <c r="O396" s="15"/>
      <c r="P396" s="15"/>
    </row>
    <row r="397" spans="1:16" s="12" customFormat="1" ht="24.95" customHeight="1">
      <c r="A397" s="15" t="s">
        <v>583</v>
      </c>
      <c r="B397" s="55" t="s">
        <v>1297</v>
      </c>
      <c r="C397" s="15" t="s">
        <v>583</v>
      </c>
      <c r="D397" s="15" t="s">
        <v>8</v>
      </c>
      <c r="E397" s="15" t="s">
        <v>583</v>
      </c>
      <c r="F397" s="15" t="s">
        <v>327</v>
      </c>
      <c r="G397" s="15" t="s">
        <v>9</v>
      </c>
      <c r="H397" s="15" t="s">
        <v>9</v>
      </c>
      <c r="I397" s="15" t="s">
        <v>583</v>
      </c>
      <c r="J397" s="16" t="s">
        <v>919</v>
      </c>
      <c r="K397" s="16"/>
      <c r="L397" s="16"/>
      <c r="M397" s="16"/>
      <c r="N397" s="15"/>
      <c r="O397" s="15"/>
      <c r="P397" s="15"/>
    </row>
    <row r="398" spans="1:16" s="12" customFormat="1" ht="24.95" customHeight="1">
      <c r="A398" s="15" t="s">
        <v>584</v>
      </c>
      <c r="B398" s="55" t="s">
        <v>1297</v>
      </c>
      <c r="C398" s="15" t="s">
        <v>584</v>
      </c>
      <c r="D398" s="15" t="s">
        <v>9</v>
      </c>
      <c r="E398" s="15" t="s">
        <v>584</v>
      </c>
      <c r="F398" s="15" t="s">
        <v>9</v>
      </c>
      <c r="G398" s="15" t="s">
        <v>9</v>
      </c>
      <c r="H398" s="15" t="s">
        <v>9</v>
      </c>
      <c r="I398" s="15" t="s">
        <v>584</v>
      </c>
      <c r="J398" s="16" t="s">
        <v>585</v>
      </c>
      <c r="K398" s="16"/>
      <c r="L398" s="16"/>
      <c r="M398" s="16"/>
      <c r="N398" s="15"/>
      <c r="O398" s="15"/>
      <c r="P398" s="15"/>
    </row>
    <row r="399" spans="1:16" ht="24.95" customHeight="1">
      <c r="A399" s="56" t="s">
        <v>586</v>
      </c>
      <c r="B399" s="56" t="s">
        <v>1293</v>
      </c>
      <c r="C399" s="56" t="s">
        <v>586</v>
      </c>
      <c r="D399" s="55" t="s">
        <v>8</v>
      </c>
      <c r="E399" s="56" t="s">
        <v>586</v>
      </c>
      <c r="F399" s="55">
        <v>44</v>
      </c>
      <c r="G399" s="55" t="s">
        <v>9</v>
      </c>
      <c r="H399" s="55" t="s">
        <v>9</v>
      </c>
      <c r="I399" s="56" t="s">
        <v>586</v>
      </c>
      <c r="J399" s="56" t="s">
        <v>1000</v>
      </c>
      <c r="K399" s="56" t="s">
        <v>1143</v>
      </c>
      <c r="L399" s="16" t="s">
        <v>1164</v>
      </c>
      <c r="M399" s="56" t="s">
        <v>1165</v>
      </c>
      <c r="N399" s="56" t="s">
        <v>1233</v>
      </c>
      <c r="O399" s="55">
        <v>0.2</v>
      </c>
      <c r="P399" s="55">
        <v>4</v>
      </c>
    </row>
    <row r="400" spans="1:16" ht="24.95" customHeight="1">
      <c r="A400" s="69" t="s">
        <v>587</v>
      </c>
      <c r="B400" s="55" t="s">
        <v>1297</v>
      </c>
      <c r="C400" s="69" t="s">
        <v>587</v>
      </c>
      <c r="D400" s="55" t="s">
        <v>8</v>
      </c>
      <c r="E400" s="69" t="s">
        <v>587</v>
      </c>
      <c r="F400" s="55">
        <v>440</v>
      </c>
      <c r="G400" s="55">
        <v>880</v>
      </c>
      <c r="H400" s="55" t="s">
        <v>9</v>
      </c>
      <c r="I400" s="69" t="s">
        <v>587</v>
      </c>
      <c r="J400" s="56" t="s">
        <v>1001</v>
      </c>
      <c r="K400" s="56" t="s">
        <v>1143</v>
      </c>
      <c r="L400" s="16"/>
      <c r="M400" s="56" t="s">
        <v>1165</v>
      </c>
      <c r="N400" s="56" t="s">
        <v>1233</v>
      </c>
      <c r="O400" s="55">
        <v>0.2</v>
      </c>
      <c r="P400" s="55">
        <v>4</v>
      </c>
    </row>
    <row r="401" spans="1:16" s="12" customFormat="1" ht="24.95" customHeight="1">
      <c r="A401" s="15" t="s">
        <v>588</v>
      </c>
      <c r="B401" s="55" t="s">
        <v>1297</v>
      </c>
      <c r="C401" s="15" t="s">
        <v>588</v>
      </c>
      <c r="D401" s="15" t="s">
        <v>8</v>
      </c>
      <c r="E401" s="15" t="s">
        <v>588</v>
      </c>
      <c r="F401" s="15" t="s">
        <v>92</v>
      </c>
      <c r="G401" s="15" t="s">
        <v>9</v>
      </c>
      <c r="H401" s="15" t="s">
        <v>9</v>
      </c>
      <c r="I401" s="15" t="s">
        <v>588</v>
      </c>
      <c r="J401" s="16" t="s">
        <v>922</v>
      </c>
      <c r="K401" s="16"/>
      <c r="L401" s="16"/>
      <c r="M401" s="16"/>
      <c r="N401" s="15"/>
      <c r="O401" s="15"/>
      <c r="P401" s="15"/>
    </row>
    <row r="402" spans="1:16" s="12" customFormat="1" ht="24.95" customHeight="1">
      <c r="A402" s="15" t="s">
        <v>589</v>
      </c>
      <c r="B402" s="55" t="s">
        <v>1297</v>
      </c>
      <c r="C402" s="15" t="s">
        <v>589</v>
      </c>
      <c r="D402" s="15" t="s">
        <v>8</v>
      </c>
      <c r="E402" s="15" t="s">
        <v>589</v>
      </c>
      <c r="F402" s="15">
        <v>44</v>
      </c>
      <c r="G402" s="15" t="s">
        <v>9</v>
      </c>
      <c r="H402" s="15" t="s">
        <v>9</v>
      </c>
      <c r="I402" s="15" t="s">
        <v>589</v>
      </c>
      <c r="J402" s="16" t="s">
        <v>140</v>
      </c>
      <c r="K402" s="16"/>
      <c r="L402" s="16"/>
      <c r="M402" s="16"/>
      <c r="N402" s="15"/>
      <c r="O402" s="15"/>
      <c r="P402" s="15"/>
    </row>
    <row r="403" spans="1:16" s="12" customFormat="1" ht="24.95" customHeight="1">
      <c r="A403" s="15" t="s">
        <v>590</v>
      </c>
      <c r="B403" s="55" t="s">
        <v>1297</v>
      </c>
      <c r="C403" s="15" t="s">
        <v>590</v>
      </c>
      <c r="D403" s="15" t="s">
        <v>8</v>
      </c>
      <c r="E403" s="15" t="s">
        <v>590</v>
      </c>
      <c r="F403" s="15">
        <v>22</v>
      </c>
      <c r="G403" s="15">
        <v>44</v>
      </c>
      <c r="H403" s="15" t="s">
        <v>9</v>
      </c>
      <c r="I403" s="15" t="s">
        <v>590</v>
      </c>
      <c r="J403" s="16" t="s">
        <v>147</v>
      </c>
      <c r="K403" s="16"/>
      <c r="L403" s="16"/>
      <c r="M403" s="16"/>
      <c r="N403" s="15"/>
      <c r="O403" s="15"/>
      <c r="P403" s="15"/>
    </row>
    <row r="404" spans="1:16" s="12" customFormat="1" ht="24.95" customHeight="1">
      <c r="A404" s="15" t="s">
        <v>591</v>
      </c>
      <c r="B404" s="55" t="s">
        <v>1297</v>
      </c>
      <c r="C404" s="15" t="s">
        <v>591</v>
      </c>
      <c r="D404" s="15" t="s">
        <v>8</v>
      </c>
      <c r="E404" s="15" t="s">
        <v>591</v>
      </c>
      <c r="F404" s="15" t="s">
        <v>169</v>
      </c>
      <c r="G404" s="15" t="s">
        <v>9</v>
      </c>
      <c r="H404" s="15" t="s">
        <v>876</v>
      </c>
      <c r="I404" s="15" t="s">
        <v>591</v>
      </c>
      <c r="J404" s="16" t="s">
        <v>585</v>
      </c>
      <c r="K404" s="16"/>
      <c r="L404" s="16"/>
      <c r="M404" s="16"/>
      <c r="N404" s="15"/>
      <c r="O404" s="15"/>
      <c r="P404" s="15"/>
    </row>
    <row r="405" spans="1:16" s="12" customFormat="1" ht="24.95" customHeight="1">
      <c r="A405" s="15" t="s">
        <v>592</v>
      </c>
      <c r="B405" s="55" t="s">
        <v>1297</v>
      </c>
      <c r="C405" s="15" t="s">
        <v>592</v>
      </c>
      <c r="D405" s="15" t="s">
        <v>8</v>
      </c>
      <c r="E405" s="15" t="s">
        <v>592</v>
      </c>
      <c r="F405" s="15" t="s">
        <v>88</v>
      </c>
      <c r="G405" s="15" t="s">
        <v>9</v>
      </c>
      <c r="H405" s="15" t="s">
        <v>9</v>
      </c>
      <c r="I405" s="15" t="s">
        <v>592</v>
      </c>
      <c r="J405" s="16" t="s">
        <v>1002</v>
      </c>
      <c r="K405" s="16"/>
      <c r="L405" s="16"/>
      <c r="M405" s="16"/>
      <c r="N405" s="15"/>
      <c r="O405" s="15"/>
      <c r="P405" s="15"/>
    </row>
    <row r="406" spans="1:16" s="12" customFormat="1" ht="24.95" customHeight="1">
      <c r="A406" s="15" t="s">
        <v>593</v>
      </c>
      <c r="B406" s="55" t="s">
        <v>1297</v>
      </c>
      <c r="C406" s="15" t="s">
        <v>593</v>
      </c>
      <c r="D406" s="15" t="s">
        <v>58</v>
      </c>
      <c r="E406" s="15" t="s">
        <v>593</v>
      </c>
      <c r="F406" s="15" t="s">
        <v>9</v>
      </c>
      <c r="G406" s="15">
        <v>4.3999999999999997E-2</v>
      </c>
      <c r="H406" s="15" t="s">
        <v>9</v>
      </c>
      <c r="I406" s="15" t="s">
        <v>593</v>
      </c>
      <c r="J406" s="16" t="s">
        <v>902</v>
      </c>
      <c r="K406" s="16"/>
      <c r="L406" s="16"/>
      <c r="M406" s="16"/>
      <c r="N406" s="15"/>
      <c r="O406" s="15"/>
      <c r="P406" s="15"/>
    </row>
    <row r="407" spans="1:16" s="12" customFormat="1" ht="24.95" customHeight="1">
      <c r="A407" s="15" t="s">
        <v>594</v>
      </c>
      <c r="B407" s="55" t="s">
        <v>1297</v>
      </c>
      <c r="C407" s="15" t="s">
        <v>594</v>
      </c>
      <c r="D407" s="15" t="s">
        <v>58</v>
      </c>
      <c r="E407" s="15" t="s">
        <v>594</v>
      </c>
      <c r="F407" s="15" t="s">
        <v>101</v>
      </c>
      <c r="G407" s="15" t="s">
        <v>9</v>
      </c>
      <c r="H407" s="15" t="s">
        <v>9</v>
      </c>
      <c r="I407" s="15" t="s">
        <v>594</v>
      </c>
      <c r="J407" s="16" t="s">
        <v>1003</v>
      </c>
      <c r="K407" s="16"/>
      <c r="L407" s="16"/>
      <c r="M407" s="16"/>
      <c r="N407" s="15"/>
      <c r="O407" s="15"/>
      <c r="P407" s="15"/>
    </row>
    <row r="408" spans="1:16" s="12" customFormat="1" ht="24.95" customHeight="1">
      <c r="A408" s="15" t="s">
        <v>595</v>
      </c>
      <c r="B408" s="55" t="s">
        <v>1297</v>
      </c>
      <c r="C408" s="15" t="s">
        <v>595</v>
      </c>
      <c r="D408" s="15" t="s">
        <v>58</v>
      </c>
      <c r="E408" s="15" t="s">
        <v>595</v>
      </c>
      <c r="F408" s="15" t="s">
        <v>94</v>
      </c>
      <c r="G408" s="15" t="s">
        <v>9</v>
      </c>
      <c r="H408" s="15" t="s">
        <v>9</v>
      </c>
      <c r="I408" s="15" t="s">
        <v>595</v>
      </c>
      <c r="J408" s="16" t="s">
        <v>902</v>
      </c>
      <c r="K408" s="16"/>
      <c r="L408" s="16"/>
      <c r="M408" s="16"/>
      <c r="N408" s="16"/>
      <c r="O408" s="16"/>
      <c r="P408" s="16"/>
    </row>
    <row r="409" spans="1:16" s="12" customFormat="1" ht="24.95" customHeight="1">
      <c r="A409" s="15" t="s">
        <v>596</v>
      </c>
      <c r="B409" s="55" t="s">
        <v>1297</v>
      </c>
      <c r="C409" s="15" t="s">
        <v>596</v>
      </c>
      <c r="D409" s="15" t="s">
        <v>58</v>
      </c>
      <c r="E409" s="15" t="s">
        <v>596</v>
      </c>
      <c r="F409" s="15" t="s">
        <v>86</v>
      </c>
      <c r="G409" s="15" t="s">
        <v>9</v>
      </c>
      <c r="H409" s="15" t="s">
        <v>9</v>
      </c>
      <c r="I409" s="15" t="s">
        <v>596</v>
      </c>
      <c r="J409" s="16" t="s">
        <v>902</v>
      </c>
      <c r="K409" s="16"/>
      <c r="L409" s="16"/>
      <c r="M409" s="16"/>
      <c r="N409" s="15"/>
      <c r="O409" s="15"/>
      <c r="P409" s="15"/>
    </row>
    <row r="410" spans="1:16" ht="30" customHeight="1">
      <c r="A410" s="56" t="s">
        <v>597</v>
      </c>
      <c r="B410" s="55" t="s">
        <v>1297</v>
      </c>
      <c r="C410" s="56" t="s">
        <v>597</v>
      </c>
      <c r="D410" s="55" t="s">
        <v>58</v>
      </c>
      <c r="E410" s="56" t="s">
        <v>597</v>
      </c>
      <c r="F410" s="55" t="s">
        <v>9</v>
      </c>
      <c r="G410" s="55">
        <v>1.76</v>
      </c>
      <c r="H410" s="55" t="s">
        <v>9</v>
      </c>
      <c r="I410" s="56" t="s">
        <v>597</v>
      </c>
      <c r="J410" s="56" t="s">
        <v>902</v>
      </c>
      <c r="K410" s="56" t="s">
        <v>1135</v>
      </c>
      <c r="L410" s="16" t="s">
        <v>1154</v>
      </c>
      <c r="M410" s="56" t="s">
        <v>1231</v>
      </c>
      <c r="N410" s="56" t="s">
        <v>1232</v>
      </c>
      <c r="O410" s="56" t="s">
        <v>1155</v>
      </c>
      <c r="P410" s="56" t="s">
        <v>1180</v>
      </c>
    </row>
    <row r="411" spans="1:16" ht="30" customHeight="1">
      <c r="A411" s="56" t="s">
        <v>598</v>
      </c>
      <c r="B411" s="55" t="s">
        <v>1297</v>
      </c>
      <c r="C411" s="56" t="s">
        <v>598</v>
      </c>
      <c r="D411" s="55" t="s">
        <v>58</v>
      </c>
      <c r="E411" s="56" t="s">
        <v>598</v>
      </c>
      <c r="F411" s="55" t="s">
        <v>9</v>
      </c>
      <c r="G411" s="55">
        <v>1.76</v>
      </c>
      <c r="H411" s="55" t="s">
        <v>9</v>
      </c>
      <c r="I411" s="56" t="s">
        <v>598</v>
      </c>
      <c r="J411" s="56" t="s">
        <v>902</v>
      </c>
      <c r="K411" s="56" t="s">
        <v>1135</v>
      </c>
      <c r="L411" s="16" t="s">
        <v>1154</v>
      </c>
      <c r="M411" s="56" t="s">
        <v>1231</v>
      </c>
      <c r="N411" s="56" t="s">
        <v>1232</v>
      </c>
      <c r="O411" s="56" t="s">
        <v>1155</v>
      </c>
      <c r="P411" s="56" t="s">
        <v>1180</v>
      </c>
    </row>
    <row r="412" spans="1:16" s="12" customFormat="1" ht="24.95" customHeight="1">
      <c r="A412" s="15" t="s">
        <v>599</v>
      </c>
      <c r="B412" s="55" t="s">
        <v>1297</v>
      </c>
      <c r="C412" s="15" t="s">
        <v>599</v>
      </c>
      <c r="D412" s="15" t="s">
        <v>8</v>
      </c>
      <c r="E412" s="15" t="s">
        <v>599</v>
      </c>
      <c r="F412" s="15" t="s">
        <v>94</v>
      </c>
      <c r="G412" s="15" t="s">
        <v>9</v>
      </c>
      <c r="H412" s="15" t="s">
        <v>9</v>
      </c>
      <c r="I412" s="15" t="s">
        <v>599</v>
      </c>
      <c r="J412" s="16" t="s">
        <v>275</v>
      </c>
      <c r="K412" s="16"/>
      <c r="L412" s="16"/>
      <c r="M412" s="16"/>
      <c r="N412" s="15"/>
      <c r="O412" s="15"/>
      <c r="P412" s="15"/>
    </row>
    <row r="413" spans="1:16" s="12" customFormat="1" ht="24.95" customHeight="1">
      <c r="A413" s="15" t="s">
        <v>600</v>
      </c>
      <c r="B413" s="55" t="s">
        <v>1297</v>
      </c>
      <c r="C413" s="15" t="s">
        <v>600</v>
      </c>
      <c r="D413" s="15" t="s">
        <v>8</v>
      </c>
      <c r="E413" s="15" t="s">
        <v>600</v>
      </c>
      <c r="F413" s="15" t="s">
        <v>86</v>
      </c>
      <c r="G413" s="15" t="s">
        <v>9</v>
      </c>
      <c r="H413" s="15" t="s">
        <v>9</v>
      </c>
      <c r="I413" s="15" t="s">
        <v>600</v>
      </c>
      <c r="J413" s="16" t="s">
        <v>601</v>
      </c>
      <c r="K413" s="16"/>
      <c r="L413" s="16"/>
      <c r="M413" s="16"/>
      <c r="N413" s="15"/>
      <c r="O413" s="15"/>
      <c r="P413" s="15"/>
    </row>
    <row r="414" spans="1:16" s="12" customFormat="1" ht="35.25" customHeight="1">
      <c r="A414" s="15" t="s">
        <v>602</v>
      </c>
      <c r="B414" s="55" t="s">
        <v>1297</v>
      </c>
      <c r="C414" s="15" t="s">
        <v>602</v>
      </c>
      <c r="D414" s="15" t="s">
        <v>58</v>
      </c>
      <c r="E414" s="15" t="s">
        <v>602</v>
      </c>
      <c r="F414" s="15" t="s">
        <v>88</v>
      </c>
      <c r="G414" s="15" t="s">
        <v>9</v>
      </c>
      <c r="H414" s="15" t="s">
        <v>9</v>
      </c>
      <c r="I414" s="15" t="s">
        <v>602</v>
      </c>
      <c r="J414" s="16" t="s">
        <v>603</v>
      </c>
      <c r="K414" s="16"/>
      <c r="L414" s="16"/>
      <c r="M414" s="16"/>
      <c r="N414" s="15"/>
      <c r="O414" s="15"/>
      <c r="P414" s="15"/>
    </row>
    <row r="415" spans="1:16" s="12" customFormat="1" ht="24.95" customHeight="1">
      <c r="A415" s="15" t="s">
        <v>604</v>
      </c>
      <c r="B415" s="15"/>
      <c r="C415" s="15" t="s">
        <v>604</v>
      </c>
      <c r="D415" s="15" t="s">
        <v>8</v>
      </c>
      <c r="E415" s="15" t="s">
        <v>604</v>
      </c>
      <c r="F415" s="15" t="s">
        <v>169</v>
      </c>
      <c r="G415" s="15" t="s">
        <v>88</v>
      </c>
      <c r="H415" s="15" t="s">
        <v>9</v>
      </c>
      <c r="I415" s="15" t="s">
        <v>604</v>
      </c>
      <c r="J415" s="16" t="s">
        <v>1004</v>
      </c>
      <c r="K415" s="16"/>
      <c r="L415" s="16"/>
      <c r="M415" s="16"/>
      <c r="N415" s="15"/>
      <c r="O415" s="15"/>
      <c r="P415" s="15"/>
    </row>
    <row r="416" spans="1:16" s="12" customFormat="1" ht="24.95" customHeight="1">
      <c r="A416" s="15" t="s">
        <v>605</v>
      </c>
      <c r="B416" s="15"/>
      <c r="C416" s="15" t="s">
        <v>605</v>
      </c>
      <c r="D416" s="15" t="s">
        <v>8</v>
      </c>
      <c r="E416" s="15" t="s">
        <v>605</v>
      </c>
      <c r="F416" s="15" t="s">
        <v>88</v>
      </c>
      <c r="G416" s="15" t="s">
        <v>9</v>
      </c>
      <c r="H416" s="15" t="s">
        <v>9</v>
      </c>
      <c r="I416" s="15" t="s">
        <v>605</v>
      </c>
      <c r="J416" s="16" t="s">
        <v>1004</v>
      </c>
      <c r="K416" s="16"/>
      <c r="L416" s="16"/>
      <c r="M416" s="16"/>
      <c r="N416" s="15"/>
      <c r="O416" s="15"/>
      <c r="P416" s="15"/>
    </row>
    <row r="417" spans="1:16" s="12" customFormat="1" ht="24.95" customHeight="1">
      <c r="A417" s="15" t="s">
        <v>606</v>
      </c>
      <c r="B417" s="55" t="s">
        <v>1297</v>
      </c>
      <c r="C417" s="15" t="s">
        <v>606</v>
      </c>
      <c r="D417" s="15" t="s">
        <v>8</v>
      </c>
      <c r="E417" s="15" t="s">
        <v>606</v>
      </c>
      <c r="F417" s="15" t="s">
        <v>607</v>
      </c>
      <c r="G417" s="15" t="s">
        <v>9</v>
      </c>
      <c r="H417" s="15" t="s">
        <v>9</v>
      </c>
      <c r="I417" s="15" t="s">
        <v>606</v>
      </c>
      <c r="J417" s="16" t="s">
        <v>147</v>
      </c>
      <c r="K417" s="16"/>
      <c r="L417" s="16"/>
      <c r="M417" s="16"/>
      <c r="N417" s="15"/>
      <c r="O417" s="15"/>
      <c r="P417" s="15"/>
    </row>
    <row r="418" spans="1:16" s="12" customFormat="1" ht="24.95" customHeight="1">
      <c r="A418" s="15" t="s">
        <v>608</v>
      </c>
      <c r="B418" s="55" t="s">
        <v>1297</v>
      </c>
      <c r="C418" s="15" t="s">
        <v>608</v>
      </c>
      <c r="D418" s="15" t="s">
        <v>8</v>
      </c>
      <c r="E418" s="15" t="s">
        <v>608</v>
      </c>
      <c r="F418" s="15" t="s">
        <v>327</v>
      </c>
      <c r="G418" s="15" t="s">
        <v>493</v>
      </c>
      <c r="H418" s="15" t="s">
        <v>9</v>
      </c>
      <c r="I418" s="15" t="s">
        <v>608</v>
      </c>
      <c r="J418" s="16" t="s">
        <v>147</v>
      </c>
      <c r="K418" s="16"/>
      <c r="L418" s="16"/>
      <c r="M418" s="16"/>
      <c r="N418" s="15"/>
      <c r="O418" s="15"/>
      <c r="P418" s="15"/>
    </row>
    <row r="419" spans="1:16" ht="30" customHeight="1">
      <c r="A419" s="56" t="s">
        <v>1106</v>
      </c>
      <c r="B419" s="55" t="s">
        <v>1297</v>
      </c>
      <c r="C419" s="56" t="s">
        <v>1106</v>
      </c>
      <c r="D419" s="55" t="s">
        <v>8</v>
      </c>
      <c r="E419" s="56" t="s">
        <v>1106</v>
      </c>
      <c r="F419" s="55" t="s">
        <v>9</v>
      </c>
      <c r="G419" s="55">
        <v>4.4000000000000004</v>
      </c>
      <c r="H419" s="55" t="s">
        <v>9</v>
      </c>
      <c r="I419" s="56" t="s">
        <v>1106</v>
      </c>
      <c r="J419" s="56" t="s">
        <v>1005</v>
      </c>
      <c r="K419" s="56" t="s">
        <v>1143</v>
      </c>
      <c r="L419" s="16" t="s">
        <v>1197</v>
      </c>
      <c r="M419" s="51" t="s">
        <v>1238</v>
      </c>
      <c r="N419" s="56" t="s">
        <v>1233</v>
      </c>
      <c r="O419" s="55" t="s">
        <v>1198</v>
      </c>
      <c r="P419" s="55" t="s">
        <v>1199</v>
      </c>
    </row>
    <row r="420" spans="1:16" s="12" customFormat="1" ht="24.95" customHeight="1">
      <c r="A420" s="15" t="s">
        <v>609</v>
      </c>
      <c r="B420" s="55" t="s">
        <v>1297</v>
      </c>
      <c r="C420" s="15" t="s">
        <v>609</v>
      </c>
      <c r="D420" s="15" t="s">
        <v>8</v>
      </c>
      <c r="E420" s="15" t="s">
        <v>609</v>
      </c>
      <c r="F420" s="15" t="s">
        <v>94</v>
      </c>
      <c r="G420" s="15" t="s">
        <v>99</v>
      </c>
      <c r="H420" s="15">
        <v>4</v>
      </c>
      <c r="I420" s="15" t="s">
        <v>609</v>
      </c>
      <c r="J420" s="16" t="s">
        <v>957</v>
      </c>
      <c r="K420" s="16"/>
      <c r="L420" s="16"/>
      <c r="M420" s="16"/>
      <c r="N420" s="15"/>
      <c r="O420" s="15"/>
      <c r="P420" s="15"/>
    </row>
    <row r="421" spans="1:16" s="12" customFormat="1" ht="24.95" customHeight="1">
      <c r="A421" s="15" t="s">
        <v>610</v>
      </c>
      <c r="B421" s="55" t="s">
        <v>1297</v>
      </c>
      <c r="C421" s="15" t="s">
        <v>610</v>
      </c>
      <c r="D421" s="15" t="s">
        <v>8</v>
      </c>
      <c r="E421" s="15" t="s">
        <v>610</v>
      </c>
      <c r="F421" s="15">
        <v>22</v>
      </c>
      <c r="G421" s="15" t="s">
        <v>9</v>
      </c>
      <c r="H421" s="15" t="s">
        <v>9</v>
      </c>
      <c r="I421" s="15" t="s">
        <v>610</v>
      </c>
      <c r="J421" s="16" t="s">
        <v>425</v>
      </c>
      <c r="K421" s="16"/>
      <c r="L421" s="16"/>
      <c r="M421" s="16"/>
      <c r="N421" s="15"/>
      <c r="O421" s="15"/>
      <c r="P421" s="15"/>
    </row>
    <row r="422" spans="1:16" s="12" customFormat="1" ht="24.95" customHeight="1">
      <c r="A422" s="15" t="s">
        <v>611</v>
      </c>
      <c r="B422" s="55" t="s">
        <v>1297</v>
      </c>
      <c r="C422" s="15" t="s">
        <v>611</v>
      </c>
      <c r="D422" s="15" t="s">
        <v>58</v>
      </c>
      <c r="E422" s="15" t="s">
        <v>611</v>
      </c>
      <c r="F422" s="15" t="s">
        <v>101</v>
      </c>
      <c r="G422" s="15" t="s">
        <v>9</v>
      </c>
      <c r="H422" s="15" t="s">
        <v>9</v>
      </c>
      <c r="I422" s="15" t="s">
        <v>611</v>
      </c>
      <c r="J422" s="16" t="s">
        <v>612</v>
      </c>
      <c r="K422" s="16"/>
      <c r="L422" s="16"/>
      <c r="M422" s="16"/>
      <c r="N422" s="15"/>
      <c r="O422" s="15"/>
      <c r="P422" s="15"/>
    </row>
    <row r="423" spans="1:16" s="12" customFormat="1" ht="24.95" customHeight="1">
      <c r="A423" s="15" t="s">
        <v>613</v>
      </c>
      <c r="B423" s="55" t="s">
        <v>1297</v>
      </c>
      <c r="C423" s="15" t="s">
        <v>613</v>
      </c>
      <c r="D423" s="15" t="s">
        <v>8</v>
      </c>
      <c r="E423" s="15" t="s">
        <v>613</v>
      </c>
      <c r="F423" s="15" t="s">
        <v>94</v>
      </c>
      <c r="G423" s="15" t="s">
        <v>9</v>
      </c>
      <c r="H423" s="15" t="s">
        <v>9</v>
      </c>
      <c r="I423" s="15" t="s">
        <v>613</v>
      </c>
      <c r="J423" s="16" t="s">
        <v>1006</v>
      </c>
      <c r="K423" s="16"/>
      <c r="L423" s="16"/>
      <c r="M423" s="16"/>
      <c r="N423" s="15"/>
      <c r="O423" s="15"/>
      <c r="P423" s="15"/>
    </row>
    <row r="424" spans="1:16" s="12" customFormat="1" ht="24.95" customHeight="1">
      <c r="A424" s="15" t="s">
        <v>614</v>
      </c>
      <c r="B424" s="55" t="s">
        <v>1297</v>
      </c>
      <c r="C424" s="15" t="s">
        <v>614</v>
      </c>
      <c r="D424" s="15" t="s">
        <v>58</v>
      </c>
      <c r="E424" s="15" t="s">
        <v>614</v>
      </c>
      <c r="F424" s="15" t="s">
        <v>92</v>
      </c>
      <c r="G424" s="15" t="s">
        <v>9</v>
      </c>
      <c r="H424" s="15" t="s">
        <v>9</v>
      </c>
      <c r="I424" s="15" t="s">
        <v>614</v>
      </c>
      <c r="J424" s="16" t="s">
        <v>221</v>
      </c>
      <c r="K424" s="16"/>
      <c r="L424" s="16"/>
      <c r="M424" s="16"/>
      <c r="N424" s="15"/>
      <c r="O424" s="15"/>
      <c r="P424" s="15"/>
    </row>
    <row r="425" spans="1:16" s="12" customFormat="1" ht="24.95" customHeight="1">
      <c r="A425" s="15" t="s">
        <v>615</v>
      </c>
      <c r="B425" s="55" t="s">
        <v>1297</v>
      </c>
      <c r="C425" s="15" t="s">
        <v>615</v>
      </c>
      <c r="D425" s="15" t="s">
        <v>58</v>
      </c>
      <c r="E425" s="15" t="s">
        <v>615</v>
      </c>
      <c r="F425" s="15" t="s">
        <v>92</v>
      </c>
      <c r="G425" s="15" t="s">
        <v>9</v>
      </c>
      <c r="H425" s="15" t="s">
        <v>9</v>
      </c>
      <c r="I425" s="15" t="s">
        <v>615</v>
      </c>
      <c r="J425" s="16" t="s">
        <v>617</v>
      </c>
      <c r="K425" s="16"/>
      <c r="L425" s="16"/>
      <c r="M425" s="16"/>
      <c r="N425" s="15"/>
      <c r="O425" s="15"/>
      <c r="P425" s="15"/>
    </row>
    <row r="426" spans="1:16" s="12" customFormat="1" ht="24.95" customHeight="1">
      <c r="A426" s="15" t="s">
        <v>616</v>
      </c>
      <c r="B426" s="55" t="s">
        <v>1297</v>
      </c>
      <c r="C426" s="15" t="s">
        <v>616</v>
      </c>
      <c r="D426" s="15" t="s">
        <v>58</v>
      </c>
      <c r="E426" s="15" t="s">
        <v>616</v>
      </c>
      <c r="F426" s="15" t="s">
        <v>101</v>
      </c>
      <c r="G426" s="15" t="s">
        <v>9</v>
      </c>
      <c r="H426" s="15" t="s">
        <v>9</v>
      </c>
      <c r="I426" s="15" t="s">
        <v>616</v>
      </c>
      <c r="J426" s="16" t="s">
        <v>115</v>
      </c>
      <c r="K426" s="16"/>
      <c r="L426" s="16"/>
      <c r="M426" s="16"/>
      <c r="N426" s="15"/>
      <c r="O426" s="15"/>
      <c r="P426" s="15"/>
    </row>
    <row r="427" spans="1:16" s="12" customFormat="1" ht="24.95" customHeight="1">
      <c r="A427" s="15" t="s">
        <v>618</v>
      </c>
      <c r="B427" s="55" t="s">
        <v>1297</v>
      </c>
      <c r="C427" s="15" t="s">
        <v>618</v>
      </c>
      <c r="D427" s="15" t="s">
        <v>58</v>
      </c>
      <c r="E427" s="15" t="s">
        <v>618</v>
      </c>
      <c r="F427" s="15" t="s">
        <v>101</v>
      </c>
      <c r="G427" s="15" t="s">
        <v>9</v>
      </c>
      <c r="H427" s="15" t="s">
        <v>9</v>
      </c>
      <c r="I427" s="15" t="s">
        <v>618</v>
      </c>
      <c r="J427" s="16" t="s">
        <v>195</v>
      </c>
      <c r="K427" s="16"/>
      <c r="L427" s="16"/>
      <c r="M427" s="16"/>
      <c r="N427" s="15"/>
      <c r="O427" s="15"/>
      <c r="P427" s="15"/>
    </row>
    <row r="428" spans="1:16" ht="30" customHeight="1">
      <c r="A428" s="56" t="s">
        <v>619</v>
      </c>
      <c r="B428" s="56" t="s">
        <v>1291</v>
      </c>
      <c r="C428" s="56" t="s">
        <v>619</v>
      </c>
      <c r="D428" s="55" t="s">
        <v>58</v>
      </c>
      <c r="E428" s="56" t="s">
        <v>619</v>
      </c>
      <c r="F428" s="55">
        <v>0.02</v>
      </c>
      <c r="G428" s="55" t="s">
        <v>9</v>
      </c>
      <c r="H428" s="70" t="s">
        <v>9</v>
      </c>
      <c r="I428" s="56" t="s">
        <v>619</v>
      </c>
      <c r="J428" s="56" t="s">
        <v>140</v>
      </c>
      <c r="K428" s="56" t="s">
        <v>1135</v>
      </c>
      <c r="M428" s="56" t="s">
        <v>1239</v>
      </c>
      <c r="N428" s="56" t="s">
        <v>1232</v>
      </c>
      <c r="O428" s="56" t="s">
        <v>1240</v>
      </c>
      <c r="P428" s="64" t="s">
        <v>1192</v>
      </c>
    </row>
    <row r="429" spans="1:16" s="12" customFormat="1" ht="24.95" customHeight="1">
      <c r="A429" s="16" t="s">
        <v>620</v>
      </c>
      <c r="B429" s="55" t="s">
        <v>1297</v>
      </c>
      <c r="C429" s="16" t="s">
        <v>620</v>
      </c>
      <c r="D429" s="15" t="s">
        <v>58</v>
      </c>
      <c r="E429" s="16" t="s">
        <v>620</v>
      </c>
      <c r="F429" s="15" t="s">
        <v>88</v>
      </c>
      <c r="G429" s="15" t="s">
        <v>9</v>
      </c>
      <c r="H429" s="15" t="s">
        <v>9</v>
      </c>
      <c r="I429" s="16" t="s">
        <v>620</v>
      </c>
      <c r="J429" s="16" t="s">
        <v>1007</v>
      </c>
      <c r="K429" s="16"/>
      <c r="L429" s="16"/>
      <c r="M429" s="16"/>
      <c r="N429" s="15"/>
      <c r="O429" s="15"/>
      <c r="P429" s="15"/>
    </row>
    <row r="430" spans="1:16" s="12" customFormat="1" ht="24.95" customHeight="1">
      <c r="A430" s="15" t="s">
        <v>621</v>
      </c>
      <c r="B430" s="15"/>
      <c r="C430" s="15" t="s">
        <v>621</v>
      </c>
      <c r="D430" s="15" t="s">
        <v>58</v>
      </c>
      <c r="E430" s="15" t="s">
        <v>621</v>
      </c>
      <c r="F430" s="15" t="s">
        <v>169</v>
      </c>
      <c r="G430" s="15" t="s">
        <v>120</v>
      </c>
      <c r="H430" s="15" t="s">
        <v>875</v>
      </c>
      <c r="I430" s="15" t="s">
        <v>621</v>
      </c>
      <c r="J430" s="16" t="s">
        <v>622</v>
      </c>
      <c r="K430" s="16"/>
      <c r="L430" s="16"/>
      <c r="M430" s="16"/>
      <c r="N430" s="16"/>
      <c r="O430" s="16"/>
      <c r="P430" s="42"/>
    </row>
    <row r="431" spans="1:16" s="12" customFormat="1" ht="24.95" customHeight="1">
      <c r="A431" s="15" t="s">
        <v>623</v>
      </c>
      <c r="B431" s="55" t="s">
        <v>1297</v>
      </c>
      <c r="C431" s="15" t="s">
        <v>623</v>
      </c>
      <c r="D431" s="15" t="s">
        <v>58</v>
      </c>
      <c r="E431" s="15" t="s">
        <v>623</v>
      </c>
      <c r="F431" s="15" t="s">
        <v>94</v>
      </c>
      <c r="G431" s="15" t="s">
        <v>9</v>
      </c>
      <c r="H431" s="15" t="s">
        <v>9</v>
      </c>
      <c r="I431" s="15" t="s">
        <v>623</v>
      </c>
      <c r="J431" s="16" t="s">
        <v>899</v>
      </c>
      <c r="K431" s="16"/>
      <c r="L431" s="16"/>
      <c r="M431" s="16"/>
      <c r="N431" s="15"/>
      <c r="O431" s="15"/>
      <c r="P431" s="15"/>
    </row>
    <row r="432" spans="1:16" s="12" customFormat="1" ht="24.95" customHeight="1">
      <c r="A432" s="15" t="s">
        <v>624</v>
      </c>
      <c r="B432" s="55" t="s">
        <v>1297</v>
      </c>
      <c r="C432" s="15" t="s">
        <v>624</v>
      </c>
      <c r="D432" s="15" t="s">
        <v>8</v>
      </c>
      <c r="E432" s="15" t="s">
        <v>624</v>
      </c>
      <c r="F432" s="15">
        <v>44</v>
      </c>
      <c r="G432" s="15">
        <v>88</v>
      </c>
      <c r="H432" s="15">
        <v>78</v>
      </c>
      <c r="I432" s="15" t="s">
        <v>624</v>
      </c>
      <c r="J432" s="16" t="s">
        <v>1008</v>
      </c>
      <c r="K432" s="16"/>
      <c r="L432" s="16"/>
      <c r="M432" s="16"/>
      <c r="N432" s="15"/>
      <c r="O432" s="15"/>
      <c r="P432" s="15"/>
    </row>
    <row r="433" spans="1:16" s="12" customFormat="1" ht="24.95" customHeight="1">
      <c r="A433" s="15" t="s">
        <v>625</v>
      </c>
      <c r="B433" s="55" t="s">
        <v>1297</v>
      </c>
      <c r="C433" s="15" t="s">
        <v>625</v>
      </c>
      <c r="D433" s="15" t="s">
        <v>8</v>
      </c>
      <c r="E433" s="15" t="s">
        <v>625</v>
      </c>
      <c r="F433" s="15">
        <v>176</v>
      </c>
      <c r="G433" s="15">
        <v>220</v>
      </c>
      <c r="H433" s="15" t="s">
        <v>9</v>
      </c>
      <c r="I433" s="15" t="s">
        <v>625</v>
      </c>
      <c r="J433" s="16" t="s">
        <v>626</v>
      </c>
      <c r="K433" s="16"/>
      <c r="L433" s="16"/>
      <c r="M433" s="16"/>
      <c r="N433" s="16"/>
      <c r="O433" s="16"/>
      <c r="P433" s="42"/>
    </row>
    <row r="434" spans="1:16" s="12" customFormat="1" ht="24.95" customHeight="1">
      <c r="A434" s="15" t="s">
        <v>627</v>
      </c>
      <c r="B434" s="55" t="s">
        <v>1297</v>
      </c>
      <c r="C434" s="15" t="s">
        <v>627</v>
      </c>
      <c r="D434" s="15" t="s">
        <v>8</v>
      </c>
      <c r="E434" s="15" t="s">
        <v>627</v>
      </c>
      <c r="F434" s="15">
        <v>880</v>
      </c>
      <c r="G434" s="15" t="s">
        <v>9</v>
      </c>
      <c r="H434" s="15" t="s">
        <v>9</v>
      </c>
      <c r="I434" s="15" t="s">
        <v>627</v>
      </c>
      <c r="J434" s="16" t="s">
        <v>140</v>
      </c>
      <c r="K434" s="16"/>
      <c r="L434" s="16"/>
      <c r="M434" s="16"/>
      <c r="N434" s="16"/>
      <c r="O434" s="16"/>
      <c r="P434" s="42"/>
    </row>
    <row r="435" spans="1:16" s="12" customFormat="1" ht="24.95" customHeight="1">
      <c r="A435" s="15" t="s">
        <v>628</v>
      </c>
      <c r="B435" s="55" t="s">
        <v>1297</v>
      </c>
      <c r="C435" s="15" t="s">
        <v>628</v>
      </c>
      <c r="D435" s="15" t="s">
        <v>8</v>
      </c>
      <c r="E435" s="15" t="s">
        <v>628</v>
      </c>
      <c r="F435" s="15">
        <v>880</v>
      </c>
      <c r="G435" s="15">
        <v>1100</v>
      </c>
      <c r="H435" s="15" t="s">
        <v>9</v>
      </c>
      <c r="I435" s="15" t="s">
        <v>628</v>
      </c>
      <c r="J435" s="16" t="s">
        <v>140</v>
      </c>
      <c r="K435" s="16"/>
      <c r="L435" s="16"/>
      <c r="M435" s="16"/>
      <c r="N435" s="15"/>
      <c r="O435" s="15"/>
      <c r="P435" s="15"/>
    </row>
    <row r="436" spans="1:16" s="12" customFormat="1" ht="24.95" customHeight="1">
      <c r="A436" s="15" t="s">
        <v>629</v>
      </c>
      <c r="B436" s="55" t="s">
        <v>1297</v>
      </c>
      <c r="C436" s="15" t="s">
        <v>629</v>
      </c>
      <c r="D436" s="15" t="s">
        <v>8</v>
      </c>
      <c r="E436" s="15" t="s">
        <v>629</v>
      </c>
      <c r="F436" s="15" t="s">
        <v>101</v>
      </c>
      <c r="G436" s="15" t="s">
        <v>9</v>
      </c>
      <c r="H436" s="15" t="s">
        <v>9</v>
      </c>
      <c r="I436" s="15" t="s">
        <v>629</v>
      </c>
      <c r="J436" s="16" t="s">
        <v>976</v>
      </c>
      <c r="K436" s="16"/>
      <c r="L436" s="16"/>
      <c r="M436" s="16"/>
      <c r="N436" s="15"/>
      <c r="O436" s="15"/>
      <c r="P436" s="15"/>
    </row>
    <row r="437" spans="1:16" s="12" customFormat="1" ht="24.95" customHeight="1">
      <c r="A437" s="15" t="s">
        <v>630</v>
      </c>
      <c r="B437" s="55" t="s">
        <v>1297</v>
      </c>
      <c r="C437" s="15" t="s">
        <v>630</v>
      </c>
      <c r="D437" s="15" t="s">
        <v>8</v>
      </c>
      <c r="E437" s="15" t="s">
        <v>630</v>
      </c>
      <c r="F437" s="15">
        <v>880</v>
      </c>
      <c r="G437" s="15" t="s">
        <v>9</v>
      </c>
      <c r="H437" s="15" t="s">
        <v>9</v>
      </c>
      <c r="I437" s="15" t="s">
        <v>630</v>
      </c>
      <c r="J437" s="16" t="s">
        <v>933</v>
      </c>
      <c r="K437" s="16"/>
      <c r="L437" s="16"/>
      <c r="M437" s="16"/>
      <c r="N437" s="15"/>
      <c r="O437" s="15"/>
      <c r="P437" s="15"/>
    </row>
    <row r="438" spans="1:16" s="12" customFormat="1" ht="24.95" customHeight="1">
      <c r="A438" s="15" t="s">
        <v>631</v>
      </c>
      <c r="B438" s="55" t="s">
        <v>1297</v>
      </c>
      <c r="C438" s="15" t="s">
        <v>631</v>
      </c>
      <c r="D438" s="15" t="s">
        <v>8</v>
      </c>
      <c r="E438" s="15" t="s">
        <v>631</v>
      </c>
      <c r="F438" s="15" t="s">
        <v>94</v>
      </c>
      <c r="G438" s="15" t="s">
        <v>124</v>
      </c>
      <c r="H438" s="15">
        <v>8</v>
      </c>
      <c r="I438" s="15" t="s">
        <v>631</v>
      </c>
      <c r="J438" s="16" t="s">
        <v>902</v>
      </c>
      <c r="K438" s="16"/>
      <c r="L438" s="16"/>
      <c r="M438" s="16"/>
      <c r="N438" s="15"/>
      <c r="O438" s="15"/>
      <c r="P438" s="15"/>
    </row>
    <row r="439" spans="1:16" s="12" customFormat="1" ht="24.95" customHeight="1">
      <c r="A439" s="15" t="s">
        <v>632</v>
      </c>
      <c r="B439" s="55" t="s">
        <v>1297</v>
      </c>
      <c r="C439" s="15" t="s">
        <v>632</v>
      </c>
      <c r="D439" s="15" t="s">
        <v>8</v>
      </c>
      <c r="E439" s="15" t="s">
        <v>632</v>
      </c>
      <c r="F439" s="15">
        <v>44</v>
      </c>
      <c r="G439" s="15" t="s">
        <v>9</v>
      </c>
      <c r="H439" s="15" t="s">
        <v>9</v>
      </c>
      <c r="I439" s="15" t="s">
        <v>632</v>
      </c>
      <c r="J439" s="16" t="s">
        <v>903</v>
      </c>
      <c r="K439" s="16"/>
      <c r="L439" s="16"/>
      <c r="M439" s="16"/>
      <c r="N439" s="15"/>
      <c r="O439" s="15"/>
      <c r="P439" s="15"/>
    </row>
    <row r="440" spans="1:16" s="12" customFormat="1" ht="24.95" customHeight="1">
      <c r="A440" s="15" t="s">
        <v>633</v>
      </c>
      <c r="B440" s="55" t="s">
        <v>1297</v>
      </c>
      <c r="C440" s="15" t="s">
        <v>633</v>
      </c>
      <c r="D440" s="15" t="s">
        <v>8</v>
      </c>
      <c r="E440" s="15" t="s">
        <v>633</v>
      </c>
      <c r="F440" s="15" t="s">
        <v>92</v>
      </c>
      <c r="G440" s="15" t="s">
        <v>9</v>
      </c>
      <c r="H440" s="15" t="s">
        <v>9</v>
      </c>
      <c r="I440" s="15" t="s">
        <v>633</v>
      </c>
      <c r="J440" s="16" t="s">
        <v>634</v>
      </c>
      <c r="K440" s="16"/>
      <c r="L440" s="16"/>
      <c r="M440" s="16"/>
      <c r="N440" s="15"/>
      <c r="O440" s="15"/>
      <c r="P440" s="15"/>
    </row>
    <row r="441" spans="1:16" s="12" customFormat="1" ht="24.95" customHeight="1">
      <c r="A441" s="15" t="s">
        <v>635</v>
      </c>
      <c r="B441" s="55" t="s">
        <v>1297</v>
      </c>
      <c r="C441" s="15" t="s">
        <v>635</v>
      </c>
      <c r="D441" s="15" t="s">
        <v>8</v>
      </c>
      <c r="E441" s="15" t="s">
        <v>635</v>
      </c>
      <c r="F441" s="15" t="s">
        <v>94</v>
      </c>
      <c r="G441" s="15" t="s">
        <v>99</v>
      </c>
      <c r="H441" s="15" t="s">
        <v>9</v>
      </c>
      <c r="I441" s="15" t="s">
        <v>635</v>
      </c>
      <c r="J441" s="16" t="s">
        <v>636</v>
      </c>
      <c r="K441" s="16"/>
      <c r="L441" s="16"/>
      <c r="M441" s="16"/>
      <c r="N441" s="15"/>
      <c r="O441" s="15"/>
      <c r="P441" s="15"/>
    </row>
    <row r="442" spans="1:16" s="12" customFormat="1" ht="24.95" customHeight="1">
      <c r="A442" s="15" t="s">
        <v>637</v>
      </c>
      <c r="B442" s="55" t="s">
        <v>1297</v>
      </c>
      <c r="C442" s="15" t="s">
        <v>637</v>
      </c>
      <c r="D442" s="15" t="s">
        <v>8</v>
      </c>
      <c r="E442" s="15" t="s">
        <v>637</v>
      </c>
      <c r="F442" s="15">
        <v>352</v>
      </c>
      <c r="G442" s="15" t="s">
        <v>9</v>
      </c>
      <c r="H442" s="15" t="s">
        <v>9</v>
      </c>
      <c r="I442" s="15" t="s">
        <v>637</v>
      </c>
      <c r="J442" s="16" t="s">
        <v>1009</v>
      </c>
      <c r="K442" s="16"/>
      <c r="L442" s="16"/>
      <c r="M442" s="16"/>
      <c r="N442" s="15"/>
      <c r="O442" s="15"/>
      <c r="P442" s="15"/>
    </row>
    <row r="443" spans="1:16" s="12" customFormat="1" ht="24.95" customHeight="1">
      <c r="A443" s="15" t="s">
        <v>638</v>
      </c>
      <c r="B443" s="55" t="s">
        <v>1297</v>
      </c>
      <c r="C443" s="15" t="s">
        <v>638</v>
      </c>
      <c r="D443" s="15" t="s">
        <v>8</v>
      </c>
      <c r="E443" s="15" t="s">
        <v>638</v>
      </c>
      <c r="F443" s="15">
        <v>44</v>
      </c>
      <c r="G443" s="15" t="s">
        <v>9</v>
      </c>
      <c r="H443" s="15">
        <v>39</v>
      </c>
      <c r="I443" s="15" t="s">
        <v>638</v>
      </c>
      <c r="J443" s="16" t="s">
        <v>147</v>
      </c>
      <c r="K443" s="16"/>
      <c r="L443" s="16"/>
      <c r="M443" s="16"/>
      <c r="N443" s="15"/>
      <c r="O443" s="15"/>
      <c r="P443" s="15"/>
    </row>
    <row r="444" spans="1:16" s="12" customFormat="1" ht="24.95" customHeight="1">
      <c r="A444" s="15" t="s">
        <v>639</v>
      </c>
      <c r="B444" s="55" t="s">
        <v>1297</v>
      </c>
      <c r="C444" s="15" t="s">
        <v>639</v>
      </c>
      <c r="D444" s="15" t="s">
        <v>8</v>
      </c>
      <c r="E444" s="15" t="s">
        <v>639</v>
      </c>
      <c r="F444" s="15">
        <v>44</v>
      </c>
      <c r="G444" s="15">
        <v>66</v>
      </c>
      <c r="H444" s="15" t="s">
        <v>9</v>
      </c>
      <c r="I444" s="15" t="s">
        <v>639</v>
      </c>
      <c r="J444" s="16" t="s">
        <v>975</v>
      </c>
      <c r="K444" s="16"/>
      <c r="L444" s="16"/>
      <c r="M444" s="16"/>
      <c r="N444" s="15"/>
      <c r="O444" s="15"/>
      <c r="P444" s="15"/>
    </row>
    <row r="445" spans="1:16" s="12" customFormat="1" ht="24.95" customHeight="1">
      <c r="A445" s="16" t="s">
        <v>640</v>
      </c>
      <c r="B445" s="55" t="s">
        <v>1297</v>
      </c>
      <c r="C445" s="16" t="s">
        <v>640</v>
      </c>
      <c r="D445" s="15" t="s">
        <v>58</v>
      </c>
      <c r="E445" s="16" t="s">
        <v>640</v>
      </c>
      <c r="F445" s="15" t="s">
        <v>114</v>
      </c>
      <c r="G445" s="15" t="s">
        <v>9</v>
      </c>
      <c r="H445" s="15" t="s">
        <v>9</v>
      </c>
      <c r="I445" s="16" t="s">
        <v>640</v>
      </c>
      <c r="J445" s="16" t="s">
        <v>641</v>
      </c>
      <c r="K445" s="16"/>
      <c r="L445" s="16"/>
      <c r="M445" s="16"/>
      <c r="N445" s="15"/>
      <c r="O445" s="15"/>
      <c r="P445" s="15"/>
    </row>
    <row r="446" spans="1:16" s="12" customFormat="1" ht="24.95" customHeight="1">
      <c r="A446" s="15" t="s">
        <v>642</v>
      </c>
      <c r="B446" s="55" t="s">
        <v>1297</v>
      </c>
      <c r="C446" s="15" t="s">
        <v>642</v>
      </c>
      <c r="D446" s="15" t="s">
        <v>58</v>
      </c>
      <c r="E446" s="15" t="s">
        <v>642</v>
      </c>
      <c r="F446" s="15" t="s">
        <v>149</v>
      </c>
      <c r="G446" s="15" t="s">
        <v>9</v>
      </c>
      <c r="H446" s="15" t="s">
        <v>877</v>
      </c>
      <c r="I446" s="15" t="s">
        <v>642</v>
      </c>
      <c r="J446" s="16" t="s">
        <v>195</v>
      </c>
      <c r="K446" s="16"/>
      <c r="L446" s="16"/>
      <c r="M446" s="16"/>
      <c r="N446" s="15"/>
      <c r="O446" s="15"/>
      <c r="P446" s="15"/>
    </row>
    <row r="447" spans="1:16" ht="39.950000000000003" customHeight="1">
      <c r="A447" s="56" t="s">
        <v>643</v>
      </c>
      <c r="B447" s="55" t="s">
        <v>1297</v>
      </c>
      <c r="C447" s="56" t="s">
        <v>643</v>
      </c>
      <c r="D447" s="55" t="s">
        <v>8</v>
      </c>
      <c r="E447" s="56" t="s">
        <v>643</v>
      </c>
      <c r="F447" s="55">
        <v>176</v>
      </c>
      <c r="G447" s="55">
        <v>264</v>
      </c>
      <c r="H447" s="55">
        <v>155</v>
      </c>
      <c r="I447" s="56" t="s">
        <v>643</v>
      </c>
      <c r="J447" s="56" t="s">
        <v>1010</v>
      </c>
      <c r="K447" s="56" t="s">
        <v>1143</v>
      </c>
      <c r="L447" s="16" t="s">
        <v>1145</v>
      </c>
      <c r="M447" s="56" t="s">
        <v>1200</v>
      </c>
      <c r="N447" s="56" t="s">
        <v>1233</v>
      </c>
      <c r="O447" s="56" t="s">
        <v>1163</v>
      </c>
      <c r="P447" s="64" t="s">
        <v>1201</v>
      </c>
    </row>
    <row r="448" spans="1:16" s="12" customFormat="1" ht="24.95" customHeight="1">
      <c r="A448" s="15" t="s">
        <v>644</v>
      </c>
      <c r="B448" s="55" t="s">
        <v>1297</v>
      </c>
      <c r="C448" s="15" t="s">
        <v>644</v>
      </c>
      <c r="D448" s="15" t="s">
        <v>8</v>
      </c>
      <c r="E448" s="15" t="s">
        <v>644</v>
      </c>
      <c r="F448" s="15" t="s">
        <v>99</v>
      </c>
      <c r="G448" s="15" t="s">
        <v>9</v>
      </c>
      <c r="H448" s="15" t="s">
        <v>9</v>
      </c>
      <c r="I448" s="15" t="s">
        <v>644</v>
      </c>
      <c r="J448" s="16" t="s">
        <v>1011</v>
      </c>
      <c r="K448" s="16"/>
      <c r="L448" s="16"/>
      <c r="M448" s="16"/>
      <c r="N448" s="15"/>
      <c r="O448" s="15"/>
      <c r="P448" s="15"/>
    </row>
    <row r="449" spans="1:16" s="12" customFormat="1" ht="24.95" customHeight="1">
      <c r="A449" s="15" t="s">
        <v>645</v>
      </c>
      <c r="B449" s="55" t="s">
        <v>1297</v>
      </c>
      <c r="C449" s="15" t="s">
        <v>645</v>
      </c>
      <c r="D449" s="15" t="s">
        <v>8</v>
      </c>
      <c r="E449" s="15" t="s">
        <v>645</v>
      </c>
      <c r="F449" s="15" t="s">
        <v>169</v>
      </c>
      <c r="G449" s="15" t="s">
        <v>9</v>
      </c>
      <c r="H449" s="15" t="s">
        <v>9</v>
      </c>
      <c r="I449" s="15" t="s">
        <v>645</v>
      </c>
      <c r="J449" s="16" t="s">
        <v>1012</v>
      </c>
      <c r="K449" s="16"/>
      <c r="L449" s="16"/>
      <c r="M449" s="16"/>
      <c r="N449" s="15"/>
      <c r="O449" s="15"/>
      <c r="P449" s="15"/>
    </row>
    <row r="450" spans="1:16" s="12" customFormat="1" ht="24.95" customHeight="1">
      <c r="A450" s="15" t="s">
        <v>646</v>
      </c>
      <c r="B450" s="55" t="s">
        <v>1297</v>
      </c>
      <c r="C450" s="15" t="s">
        <v>646</v>
      </c>
      <c r="D450" s="15" t="s">
        <v>8</v>
      </c>
      <c r="E450" s="15" t="s">
        <v>646</v>
      </c>
      <c r="F450" s="15" t="s">
        <v>104</v>
      </c>
      <c r="G450" s="15">
        <v>44</v>
      </c>
      <c r="H450" s="15" t="s">
        <v>9</v>
      </c>
      <c r="I450" s="15" t="s">
        <v>646</v>
      </c>
      <c r="J450" s="16" t="s">
        <v>913</v>
      </c>
      <c r="K450" s="16"/>
      <c r="L450" s="16"/>
      <c r="M450" s="16"/>
      <c r="N450" s="15"/>
      <c r="O450" s="15"/>
      <c r="P450" s="15"/>
    </row>
    <row r="451" spans="1:16" s="12" customFormat="1" ht="24.95" customHeight="1">
      <c r="A451" s="15" t="s">
        <v>647</v>
      </c>
      <c r="B451" s="55" t="s">
        <v>1297</v>
      </c>
      <c r="C451" s="15" t="s">
        <v>647</v>
      </c>
      <c r="D451" s="15" t="s">
        <v>8</v>
      </c>
      <c r="E451" s="15" t="s">
        <v>647</v>
      </c>
      <c r="F451" s="15">
        <v>22</v>
      </c>
      <c r="G451" s="15" t="s">
        <v>453</v>
      </c>
      <c r="H451" s="15">
        <v>20</v>
      </c>
      <c r="I451" s="15" t="s">
        <v>647</v>
      </c>
      <c r="J451" s="16" t="s">
        <v>975</v>
      </c>
      <c r="K451" s="16"/>
      <c r="L451" s="16"/>
      <c r="M451" s="16"/>
      <c r="N451" s="15"/>
      <c r="O451" s="15"/>
      <c r="P451" s="15"/>
    </row>
    <row r="452" spans="1:16" ht="39.950000000000003" customHeight="1">
      <c r="A452" s="56" t="s">
        <v>648</v>
      </c>
      <c r="B452" s="55" t="s">
        <v>1297</v>
      </c>
      <c r="C452" s="56" t="s">
        <v>648</v>
      </c>
      <c r="D452" s="55" t="s">
        <v>8</v>
      </c>
      <c r="E452" s="56" t="s">
        <v>648</v>
      </c>
      <c r="F452" s="55">
        <v>17.600000000000001</v>
      </c>
      <c r="G452" s="55">
        <v>67.8</v>
      </c>
      <c r="H452" s="55" t="s">
        <v>9</v>
      </c>
      <c r="I452" s="56" t="s">
        <v>648</v>
      </c>
      <c r="J452" s="56" t="s">
        <v>1013</v>
      </c>
      <c r="K452" s="56" t="s">
        <v>1143</v>
      </c>
      <c r="L452" s="16" t="s">
        <v>1164</v>
      </c>
      <c r="M452" s="50" t="s">
        <v>1079</v>
      </c>
      <c r="N452" s="56" t="s">
        <v>1233</v>
      </c>
      <c r="O452" s="55" t="s">
        <v>1163</v>
      </c>
      <c r="P452" s="55" t="s">
        <v>1158</v>
      </c>
    </row>
    <row r="453" spans="1:16" s="12" customFormat="1" ht="24.95" customHeight="1">
      <c r="A453" s="15" t="s">
        <v>649</v>
      </c>
      <c r="B453" s="55" t="s">
        <v>1297</v>
      </c>
      <c r="C453" s="15" t="s">
        <v>649</v>
      </c>
      <c r="D453" s="15" t="s">
        <v>8</v>
      </c>
      <c r="E453" s="15" t="s">
        <v>649</v>
      </c>
      <c r="F453" s="15" t="s">
        <v>104</v>
      </c>
      <c r="G453" s="15" t="s">
        <v>9</v>
      </c>
      <c r="H453" s="15" t="s">
        <v>9</v>
      </c>
      <c r="I453" s="15" t="s">
        <v>649</v>
      </c>
      <c r="J453" s="16" t="s">
        <v>650</v>
      </c>
      <c r="K453" s="16"/>
      <c r="L453" s="16"/>
      <c r="M453" s="16"/>
      <c r="N453" s="15"/>
      <c r="O453" s="15"/>
      <c r="P453" s="15"/>
    </row>
    <row r="454" spans="1:16" s="12" customFormat="1" ht="24.95" customHeight="1">
      <c r="A454" s="15" t="s">
        <v>651</v>
      </c>
      <c r="B454" s="55" t="s">
        <v>1297</v>
      </c>
      <c r="C454" s="15" t="s">
        <v>651</v>
      </c>
      <c r="D454" s="15" t="s">
        <v>8</v>
      </c>
      <c r="E454" s="15" t="s">
        <v>651</v>
      </c>
      <c r="F454" s="15" t="s">
        <v>92</v>
      </c>
      <c r="G454" s="15" t="s">
        <v>9</v>
      </c>
      <c r="H454" s="15" t="s">
        <v>875</v>
      </c>
      <c r="I454" s="15" t="s">
        <v>651</v>
      </c>
      <c r="J454" s="16" t="s">
        <v>275</v>
      </c>
      <c r="K454" s="16"/>
      <c r="L454" s="16"/>
      <c r="M454" s="16"/>
      <c r="N454" s="15"/>
      <c r="O454" s="15"/>
      <c r="P454" s="15"/>
    </row>
    <row r="455" spans="1:16" s="12" customFormat="1" ht="24.95" customHeight="1">
      <c r="A455" s="16" t="s">
        <v>652</v>
      </c>
      <c r="B455" s="55" t="s">
        <v>1297</v>
      </c>
      <c r="C455" s="16" t="s">
        <v>652</v>
      </c>
      <c r="D455" s="15" t="s">
        <v>8</v>
      </c>
      <c r="E455" s="16" t="s">
        <v>652</v>
      </c>
      <c r="F455" s="15" t="s">
        <v>92</v>
      </c>
      <c r="G455" s="15" t="s">
        <v>9</v>
      </c>
      <c r="H455" s="15" t="s">
        <v>9</v>
      </c>
      <c r="I455" s="16" t="s">
        <v>652</v>
      </c>
      <c r="J455" s="16" t="s">
        <v>1014</v>
      </c>
      <c r="K455" s="16"/>
      <c r="L455" s="16"/>
      <c r="M455" s="16"/>
      <c r="N455" s="15"/>
      <c r="O455" s="15"/>
      <c r="P455" s="15"/>
    </row>
    <row r="456" spans="1:16" s="12" customFormat="1" ht="24.95" customHeight="1">
      <c r="A456" s="15" t="s">
        <v>653</v>
      </c>
      <c r="B456" s="55" t="s">
        <v>1297</v>
      </c>
      <c r="C456" s="15" t="s">
        <v>653</v>
      </c>
      <c r="D456" s="15" t="s">
        <v>58</v>
      </c>
      <c r="E456" s="15" t="s">
        <v>653</v>
      </c>
      <c r="F456" s="15" t="s">
        <v>327</v>
      </c>
      <c r="G456" s="15" t="s">
        <v>9</v>
      </c>
      <c r="H456" s="15" t="s">
        <v>9</v>
      </c>
      <c r="I456" s="15" t="s">
        <v>653</v>
      </c>
      <c r="J456" s="16" t="s">
        <v>195</v>
      </c>
      <c r="K456" s="16"/>
      <c r="L456" s="16"/>
      <c r="M456" s="16"/>
      <c r="N456" s="15"/>
      <c r="O456" s="15"/>
      <c r="P456" s="15"/>
    </row>
    <row r="457" spans="1:16" s="12" customFormat="1" ht="24.95" customHeight="1">
      <c r="A457" s="15" t="s">
        <v>654</v>
      </c>
      <c r="B457" s="55" t="s">
        <v>1297</v>
      </c>
      <c r="C457" s="15" t="s">
        <v>654</v>
      </c>
      <c r="D457" s="15" t="s">
        <v>8</v>
      </c>
      <c r="E457" s="15" t="s">
        <v>654</v>
      </c>
      <c r="F457" s="15" t="s">
        <v>9</v>
      </c>
      <c r="G457" s="15">
        <v>132</v>
      </c>
      <c r="H457" s="15" t="s">
        <v>9</v>
      </c>
      <c r="I457" s="15" t="s">
        <v>654</v>
      </c>
      <c r="J457" s="16" t="s">
        <v>1015</v>
      </c>
      <c r="K457" s="16"/>
      <c r="L457" s="16"/>
      <c r="M457" s="16"/>
      <c r="N457" s="15"/>
      <c r="O457" s="15"/>
      <c r="P457" s="15"/>
    </row>
    <row r="458" spans="1:16" s="12" customFormat="1" ht="24.95" customHeight="1">
      <c r="A458" s="15" t="s">
        <v>655</v>
      </c>
      <c r="B458" s="55" t="s">
        <v>1297</v>
      </c>
      <c r="C458" s="15" t="s">
        <v>655</v>
      </c>
      <c r="D458" s="15" t="s">
        <v>8</v>
      </c>
      <c r="E458" s="15" t="s">
        <v>655</v>
      </c>
      <c r="F458" s="15" t="s">
        <v>9</v>
      </c>
      <c r="G458" s="15" t="s">
        <v>114</v>
      </c>
      <c r="H458" s="15" t="s">
        <v>9</v>
      </c>
      <c r="I458" s="15" t="s">
        <v>655</v>
      </c>
      <c r="J458" s="16" t="s">
        <v>975</v>
      </c>
      <c r="K458" s="16"/>
      <c r="L458" s="16"/>
      <c r="M458" s="16"/>
      <c r="N458" s="15"/>
      <c r="O458" s="15"/>
      <c r="P458" s="15"/>
    </row>
    <row r="459" spans="1:16" s="12" customFormat="1" ht="24.95" customHeight="1">
      <c r="A459" s="16" t="s">
        <v>656</v>
      </c>
      <c r="B459" s="55" t="s">
        <v>1297</v>
      </c>
      <c r="C459" s="16" t="s">
        <v>656</v>
      </c>
      <c r="D459" s="15" t="s">
        <v>8</v>
      </c>
      <c r="E459" s="16" t="s">
        <v>656</v>
      </c>
      <c r="F459" s="15" t="s">
        <v>169</v>
      </c>
      <c r="G459" s="15" t="s">
        <v>9</v>
      </c>
      <c r="H459" s="15" t="s">
        <v>9</v>
      </c>
      <c r="I459" s="16" t="s">
        <v>656</v>
      </c>
      <c r="J459" s="16" t="s">
        <v>657</v>
      </c>
      <c r="K459" s="16"/>
      <c r="L459" s="16"/>
      <c r="M459" s="16"/>
      <c r="N459" s="15"/>
      <c r="O459" s="15"/>
      <c r="P459" s="15"/>
    </row>
    <row r="460" spans="1:16" s="12" customFormat="1" ht="24.95" customHeight="1">
      <c r="A460" s="15" t="s">
        <v>658</v>
      </c>
      <c r="B460" s="55" t="s">
        <v>1297</v>
      </c>
      <c r="C460" s="15" t="s">
        <v>658</v>
      </c>
      <c r="D460" s="15" t="s">
        <v>8</v>
      </c>
      <c r="E460" s="15" t="s">
        <v>658</v>
      </c>
      <c r="F460" s="15" t="s">
        <v>169</v>
      </c>
      <c r="G460" s="15" t="s">
        <v>9</v>
      </c>
      <c r="H460" s="15" t="s">
        <v>9</v>
      </c>
      <c r="I460" s="15" t="s">
        <v>658</v>
      </c>
      <c r="J460" s="16" t="s">
        <v>275</v>
      </c>
      <c r="K460" s="16"/>
      <c r="L460" s="16"/>
      <c r="M460" s="16"/>
      <c r="N460" s="15"/>
      <c r="O460" s="15"/>
      <c r="P460" s="15"/>
    </row>
    <row r="461" spans="1:16" s="12" customFormat="1" ht="36.75" customHeight="1">
      <c r="A461" s="15" t="s">
        <v>659</v>
      </c>
      <c r="B461" s="55" t="s">
        <v>1297</v>
      </c>
      <c r="C461" s="15" t="s">
        <v>659</v>
      </c>
      <c r="D461" s="15" t="s">
        <v>58</v>
      </c>
      <c r="E461" s="15" t="s">
        <v>659</v>
      </c>
      <c r="F461" s="15" t="s">
        <v>114</v>
      </c>
      <c r="G461" s="15" t="s">
        <v>9</v>
      </c>
      <c r="H461" s="15" t="s">
        <v>9</v>
      </c>
      <c r="I461" s="15" t="s">
        <v>659</v>
      </c>
      <c r="J461" s="16" t="s">
        <v>660</v>
      </c>
      <c r="K461" s="16"/>
      <c r="L461" s="16"/>
      <c r="M461" s="16"/>
      <c r="N461" s="15"/>
      <c r="O461" s="15"/>
      <c r="P461" s="15"/>
    </row>
    <row r="462" spans="1:16" s="12" customFormat="1" ht="24.95" customHeight="1">
      <c r="A462" s="15" t="s">
        <v>661</v>
      </c>
      <c r="B462" s="55" t="s">
        <v>1297</v>
      </c>
      <c r="C462" s="15" t="s">
        <v>661</v>
      </c>
      <c r="D462" s="15" t="s">
        <v>58</v>
      </c>
      <c r="E462" s="15" t="s">
        <v>661</v>
      </c>
      <c r="F462" s="15" t="s">
        <v>99</v>
      </c>
      <c r="G462" s="15" t="s">
        <v>9</v>
      </c>
      <c r="H462" s="15" t="s">
        <v>9</v>
      </c>
      <c r="I462" s="15" t="s">
        <v>661</v>
      </c>
      <c r="J462" s="16" t="s">
        <v>221</v>
      </c>
      <c r="K462" s="16"/>
      <c r="L462" s="16"/>
      <c r="M462" s="16"/>
      <c r="N462" s="15"/>
      <c r="O462" s="15"/>
      <c r="P462" s="15"/>
    </row>
    <row r="463" spans="1:16" s="12" customFormat="1" ht="24.95" customHeight="1">
      <c r="A463" s="15" t="s">
        <v>662</v>
      </c>
      <c r="B463" s="55" t="s">
        <v>1297</v>
      </c>
      <c r="C463" s="15" t="s">
        <v>662</v>
      </c>
      <c r="D463" s="15" t="s">
        <v>8</v>
      </c>
      <c r="E463" s="15" t="s">
        <v>662</v>
      </c>
      <c r="F463" s="15" t="s">
        <v>88</v>
      </c>
      <c r="G463" s="15" t="s">
        <v>9</v>
      </c>
      <c r="H463" s="15" t="s">
        <v>9</v>
      </c>
      <c r="I463" s="15" t="s">
        <v>662</v>
      </c>
      <c r="J463" s="16" t="s">
        <v>663</v>
      </c>
      <c r="K463" s="16"/>
      <c r="L463" s="16"/>
      <c r="M463" s="16"/>
      <c r="N463" s="15"/>
      <c r="O463" s="15"/>
      <c r="P463" s="15"/>
    </row>
    <row r="464" spans="1:16" s="12" customFormat="1" ht="24.95" customHeight="1">
      <c r="A464" s="16" t="s">
        <v>664</v>
      </c>
      <c r="B464" s="55" t="s">
        <v>1297</v>
      </c>
      <c r="C464" s="16" t="s">
        <v>664</v>
      </c>
      <c r="D464" s="15" t="s">
        <v>8</v>
      </c>
      <c r="E464" s="16" t="s">
        <v>664</v>
      </c>
      <c r="F464" s="15">
        <v>88</v>
      </c>
      <c r="G464" s="15">
        <v>132</v>
      </c>
      <c r="H464" s="15" t="s">
        <v>9</v>
      </c>
      <c r="I464" s="16" t="s">
        <v>664</v>
      </c>
      <c r="J464" s="16" t="s">
        <v>975</v>
      </c>
      <c r="K464" s="16"/>
      <c r="L464" s="16"/>
      <c r="M464" s="16"/>
      <c r="N464" s="15"/>
      <c r="O464" s="15"/>
      <c r="P464" s="15"/>
    </row>
    <row r="465" spans="1:16" s="12" customFormat="1" ht="24.95" customHeight="1">
      <c r="A465" s="15" t="s">
        <v>665</v>
      </c>
      <c r="B465" s="55" t="s">
        <v>1297</v>
      </c>
      <c r="C465" s="15" t="s">
        <v>665</v>
      </c>
      <c r="D465" s="15" t="s">
        <v>58</v>
      </c>
      <c r="E465" s="15" t="s">
        <v>665</v>
      </c>
      <c r="F465" s="15" t="s">
        <v>94</v>
      </c>
      <c r="G465" s="15" t="s">
        <v>9</v>
      </c>
      <c r="H465" s="15" t="s">
        <v>9</v>
      </c>
      <c r="I465" s="15" t="s">
        <v>665</v>
      </c>
      <c r="J465" s="16" t="s">
        <v>1016</v>
      </c>
      <c r="K465" s="16"/>
      <c r="L465" s="16"/>
      <c r="M465" s="16"/>
      <c r="N465" s="15"/>
      <c r="O465" s="15"/>
      <c r="P465" s="15"/>
    </row>
    <row r="466" spans="1:16" s="12" customFormat="1" ht="24.95" customHeight="1">
      <c r="A466" s="15" t="s">
        <v>666</v>
      </c>
      <c r="B466" s="55" t="s">
        <v>1297</v>
      </c>
      <c r="C466" s="15" t="s">
        <v>666</v>
      </c>
      <c r="D466" s="15" t="s">
        <v>8</v>
      </c>
      <c r="E466" s="15" t="s">
        <v>666</v>
      </c>
      <c r="F466" s="15">
        <v>44</v>
      </c>
      <c r="G466" s="15">
        <v>88</v>
      </c>
      <c r="H466" s="15" t="s">
        <v>9</v>
      </c>
      <c r="I466" s="15" t="s">
        <v>666</v>
      </c>
      <c r="J466" s="16" t="s">
        <v>147</v>
      </c>
      <c r="K466" s="16"/>
      <c r="L466" s="16"/>
      <c r="M466" s="16"/>
      <c r="N466" s="15"/>
      <c r="O466" s="15"/>
      <c r="P466" s="15"/>
    </row>
    <row r="467" spans="1:16" s="12" customFormat="1" ht="24.95" customHeight="1">
      <c r="A467" s="15" t="s">
        <v>667</v>
      </c>
      <c r="B467" s="55" t="s">
        <v>1297</v>
      </c>
      <c r="C467" s="15" t="s">
        <v>667</v>
      </c>
      <c r="D467" s="15" t="s">
        <v>58</v>
      </c>
      <c r="E467" s="15" t="s">
        <v>667</v>
      </c>
      <c r="F467" s="15" t="s">
        <v>94</v>
      </c>
      <c r="G467" s="15" t="s">
        <v>9</v>
      </c>
      <c r="H467" s="15" t="s">
        <v>9</v>
      </c>
      <c r="I467" s="15" t="s">
        <v>667</v>
      </c>
      <c r="J467" s="16" t="s">
        <v>668</v>
      </c>
      <c r="K467" s="16"/>
      <c r="L467" s="16"/>
      <c r="M467" s="16"/>
      <c r="N467" s="15"/>
      <c r="O467" s="15"/>
      <c r="P467" s="15"/>
    </row>
    <row r="468" spans="1:16" s="12" customFormat="1" ht="24.95" customHeight="1">
      <c r="A468" s="15" t="s">
        <v>669</v>
      </c>
      <c r="B468" s="55" t="s">
        <v>1297</v>
      </c>
      <c r="C468" s="15" t="s">
        <v>669</v>
      </c>
      <c r="D468" s="15" t="s">
        <v>58</v>
      </c>
      <c r="E468" s="15" t="s">
        <v>669</v>
      </c>
      <c r="F468" s="15" t="s">
        <v>169</v>
      </c>
      <c r="G468" s="15" t="s">
        <v>9</v>
      </c>
      <c r="H468" s="15" t="s">
        <v>9</v>
      </c>
      <c r="I468" s="15" t="s">
        <v>669</v>
      </c>
      <c r="J468" s="16" t="s">
        <v>195</v>
      </c>
      <c r="K468" s="16"/>
      <c r="L468" s="16"/>
      <c r="M468" s="16"/>
      <c r="N468" s="15"/>
      <c r="O468" s="15"/>
      <c r="P468" s="15"/>
    </row>
    <row r="469" spans="1:16" s="12" customFormat="1" ht="24.95" customHeight="1">
      <c r="A469" s="15" t="s">
        <v>670</v>
      </c>
      <c r="B469" s="55" t="s">
        <v>1297</v>
      </c>
      <c r="C469" s="15" t="s">
        <v>670</v>
      </c>
      <c r="D469" s="15" t="s">
        <v>58</v>
      </c>
      <c r="E469" s="15" t="s">
        <v>670</v>
      </c>
      <c r="F469" s="15" t="s">
        <v>102</v>
      </c>
      <c r="G469" s="15" t="s">
        <v>9</v>
      </c>
      <c r="H469" s="15" t="s">
        <v>9</v>
      </c>
      <c r="I469" s="15" t="s">
        <v>670</v>
      </c>
      <c r="J469" s="16" t="s">
        <v>244</v>
      </c>
      <c r="K469" s="16"/>
      <c r="L469" s="16"/>
      <c r="M469" s="16"/>
      <c r="N469" s="15"/>
      <c r="O469" s="15"/>
      <c r="P469" s="15"/>
    </row>
    <row r="470" spans="1:16" s="12" customFormat="1" ht="24.95" customHeight="1">
      <c r="A470" s="15" t="s">
        <v>671</v>
      </c>
      <c r="B470" s="55" t="s">
        <v>1297</v>
      </c>
      <c r="C470" s="15" t="s">
        <v>671</v>
      </c>
      <c r="D470" s="15" t="s">
        <v>58</v>
      </c>
      <c r="E470" s="15" t="s">
        <v>671</v>
      </c>
      <c r="F470" s="15" t="s">
        <v>92</v>
      </c>
      <c r="G470" s="15" t="s">
        <v>9</v>
      </c>
      <c r="H470" s="15" t="s">
        <v>9</v>
      </c>
      <c r="I470" s="15" t="s">
        <v>671</v>
      </c>
      <c r="J470" s="16" t="s">
        <v>919</v>
      </c>
      <c r="K470" s="16"/>
      <c r="L470" s="16"/>
      <c r="M470" s="16"/>
      <c r="N470" s="15"/>
      <c r="O470" s="15"/>
      <c r="P470" s="15"/>
    </row>
    <row r="471" spans="1:16" s="12" customFormat="1" ht="24.95" customHeight="1">
      <c r="A471" s="15" t="s">
        <v>672</v>
      </c>
      <c r="B471" s="55" t="s">
        <v>1297</v>
      </c>
      <c r="C471" s="15" t="s">
        <v>672</v>
      </c>
      <c r="D471" s="15" t="s">
        <v>58</v>
      </c>
      <c r="E471" s="15" t="s">
        <v>672</v>
      </c>
      <c r="F471" s="15" t="s">
        <v>149</v>
      </c>
      <c r="G471" s="15" t="s">
        <v>9</v>
      </c>
      <c r="H471" s="15" t="s">
        <v>9</v>
      </c>
      <c r="I471" s="15" t="s">
        <v>672</v>
      </c>
      <c r="J471" s="16" t="s">
        <v>195</v>
      </c>
      <c r="K471" s="16"/>
      <c r="L471" s="16"/>
      <c r="M471" s="16"/>
      <c r="N471" s="15"/>
      <c r="O471" s="15"/>
      <c r="P471" s="15"/>
    </row>
    <row r="472" spans="1:16" ht="39.950000000000003" customHeight="1">
      <c r="A472" s="56" t="s">
        <v>673</v>
      </c>
      <c r="B472" s="55" t="s">
        <v>1297</v>
      </c>
      <c r="C472" s="56" t="s">
        <v>673</v>
      </c>
      <c r="D472" s="55" t="s">
        <v>8</v>
      </c>
      <c r="E472" s="56" t="s">
        <v>673</v>
      </c>
      <c r="F472" s="55">
        <v>22</v>
      </c>
      <c r="G472" s="55" t="s">
        <v>9</v>
      </c>
      <c r="H472" s="55">
        <v>39</v>
      </c>
      <c r="I472" s="56" t="s">
        <v>673</v>
      </c>
      <c r="J472" s="56" t="s">
        <v>674</v>
      </c>
      <c r="K472" s="56" t="s">
        <v>1203</v>
      </c>
      <c r="L472" s="16" t="s">
        <v>1241</v>
      </c>
      <c r="M472" s="56" t="s">
        <v>1202</v>
      </c>
      <c r="N472" s="56" t="s">
        <v>1233</v>
      </c>
      <c r="O472" s="56" t="s">
        <v>1204</v>
      </c>
      <c r="P472" s="64" t="s">
        <v>1242</v>
      </c>
    </row>
    <row r="473" spans="1:16" s="12" customFormat="1" ht="24.95" customHeight="1">
      <c r="A473" s="15" t="s">
        <v>675</v>
      </c>
      <c r="B473" s="55" t="s">
        <v>1297</v>
      </c>
      <c r="C473" s="15" t="s">
        <v>675</v>
      </c>
      <c r="D473" s="15" t="s">
        <v>8</v>
      </c>
      <c r="E473" s="15" t="s">
        <v>675</v>
      </c>
      <c r="F473" s="15" t="s">
        <v>104</v>
      </c>
      <c r="G473" s="15" t="s">
        <v>9</v>
      </c>
      <c r="H473" s="15" t="s">
        <v>9</v>
      </c>
      <c r="I473" s="15" t="s">
        <v>675</v>
      </c>
      <c r="J473" s="16" t="s">
        <v>916</v>
      </c>
      <c r="K473" s="16"/>
      <c r="L473" s="16"/>
      <c r="M473" s="16"/>
      <c r="N473" s="15"/>
      <c r="O473" s="15"/>
      <c r="P473" s="15"/>
    </row>
    <row r="474" spans="1:16" s="12" customFormat="1" ht="24.95" customHeight="1">
      <c r="A474" s="15" t="s">
        <v>676</v>
      </c>
      <c r="B474" s="55" t="s">
        <v>1297</v>
      </c>
      <c r="C474" s="15" t="s">
        <v>676</v>
      </c>
      <c r="D474" s="15" t="s">
        <v>8</v>
      </c>
      <c r="E474" s="15" t="s">
        <v>676</v>
      </c>
      <c r="F474" s="15" t="s">
        <v>99</v>
      </c>
      <c r="G474" s="15" t="s">
        <v>9</v>
      </c>
      <c r="H474" s="15" t="s">
        <v>9</v>
      </c>
      <c r="I474" s="15" t="s">
        <v>676</v>
      </c>
      <c r="J474" s="16" t="s">
        <v>1017</v>
      </c>
      <c r="K474" s="16"/>
      <c r="L474" s="16"/>
      <c r="M474" s="16"/>
      <c r="N474" s="15"/>
      <c r="O474" s="15"/>
      <c r="P474" s="15"/>
    </row>
    <row r="475" spans="1:16" s="12" customFormat="1" ht="24.95" customHeight="1">
      <c r="A475" s="15" t="s">
        <v>677</v>
      </c>
      <c r="B475" s="55" t="s">
        <v>1297</v>
      </c>
      <c r="C475" s="15" t="s">
        <v>677</v>
      </c>
      <c r="D475" s="15" t="s">
        <v>9</v>
      </c>
      <c r="E475" s="15" t="s">
        <v>677</v>
      </c>
      <c r="F475" s="15" t="s">
        <v>9</v>
      </c>
      <c r="G475" s="15" t="s">
        <v>9</v>
      </c>
      <c r="H475" s="15" t="s">
        <v>9</v>
      </c>
      <c r="I475" s="15" t="s">
        <v>677</v>
      </c>
      <c r="J475" s="16" t="s">
        <v>202</v>
      </c>
      <c r="K475" s="16"/>
      <c r="L475" s="16"/>
      <c r="M475" s="16"/>
      <c r="N475" s="15"/>
      <c r="O475" s="15"/>
      <c r="P475" s="15"/>
    </row>
    <row r="476" spans="1:16" s="12" customFormat="1" ht="24.95" customHeight="1">
      <c r="A476" s="15" t="s">
        <v>678</v>
      </c>
      <c r="B476" s="55" t="s">
        <v>1297</v>
      </c>
      <c r="C476" s="15" t="s">
        <v>678</v>
      </c>
      <c r="D476" s="15" t="s">
        <v>58</v>
      </c>
      <c r="E476" s="15" t="s">
        <v>678</v>
      </c>
      <c r="F476" s="15" t="s">
        <v>88</v>
      </c>
      <c r="G476" s="15" t="s">
        <v>9</v>
      </c>
      <c r="H476" s="15" t="s">
        <v>9</v>
      </c>
      <c r="I476" s="15" t="s">
        <v>678</v>
      </c>
      <c r="J476" s="16" t="s">
        <v>195</v>
      </c>
      <c r="K476" s="16"/>
      <c r="L476" s="16"/>
      <c r="M476" s="16"/>
      <c r="N476" s="15"/>
      <c r="O476" s="15"/>
      <c r="P476" s="15"/>
    </row>
    <row r="477" spans="1:16" s="12" customFormat="1" ht="24.95" customHeight="1">
      <c r="A477" s="15" t="s">
        <v>679</v>
      </c>
      <c r="B477" s="55" t="s">
        <v>1297</v>
      </c>
      <c r="C477" s="15" t="s">
        <v>679</v>
      </c>
      <c r="D477" s="15" t="s">
        <v>58</v>
      </c>
      <c r="E477" s="15" t="s">
        <v>679</v>
      </c>
      <c r="F477" s="15" t="s">
        <v>102</v>
      </c>
      <c r="G477" s="15" t="s">
        <v>9</v>
      </c>
      <c r="H477" s="15" t="s">
        <v>882</v>
      </c>
      <c r="I477" s="15" t="s">
        <v>679</v>
      </c>
      <c r="J477" s="16" t="s">
        <v>680</v>
      </c>
      <c r="K477" s="16"/>
      <c r="L477" s="16"/>
      <c r="M477" s="16"/>
      <c r="N477" s="16"/>
      <c r="O477" s="16"/>
      <c r="P477" s="42"/>
    </row>
    <row r="478" spans="1:16" s="12" customFormat="1" ht="24.95" customHeight="1">
      <c r="A478" s="15" t="s">
        <v>681</v>
      </c>
      <c r="B478" s="55" t="s">
        <v>1297</v>
      </c>
      <c r="C478" s="15" t="s">
        <v>681</v>
      </c>
      <c r="D478" s="15" t="s">
        <v>58</v>
      </c>
      <c r="E478" s="15" t="s">
        <v>681</v>
      </c>
      <c r="F478" s="15" t="s">
        <v>92</v>
      </c>
      <c r="G478" s="15" t="s">
        <v>9</v>
      </c>
      <c r="H478" s="15" t="s">
        <v>9</v>
      </c>
      <c r="I478" s="15" t="s">
        <v>681</v>
      </c>
      <c r="J478" s="16" t="s">
        <v>682</v>
      </c>
      <c r="K478" s="16"/>
      <c r="L478" s="16"/>
      <c r="M478" s="16"/>
      <c r="N478" s="15"/>
      <c r="O478" s="15"/>
      <c r="P478" s="15"/>
    </row>
    <row r="479" spans="1:16" ht="39.950000000000003" customHeight="1">
      <c r="A479" s="56" t="s">
        <v>683</v>
      </c>
      <c r="B479" s="56" t="s">
        <v>1292</v>
      </c>
      <c r="C479" s="56" t="s">
        <v>683</v>
      </c>
      <c r="D479" s="55" t="s">
        <v>58</v>
      </c>
      <c r="E479" s="56" t="s">
        <v>683</v>
      </c>
      <c r="F479" s="55">
        <v>1.32</v>
      </c>
      <c r="G479" s="55" t="s">
        <v>9</v>
      </c>
      <c r="H479" s="55" t="s">
        <v>9</v>
      </c>
      <c r="I479" s="56" t="s">
        <v>683</v>
      </c>
      <c r="J479" s="56" t="s">
        <v>684</v>
      </c>
      <c r="K479" s="56" t="s">
        <v>1135</v>
      </c>
      <c r="M479" s="56" t="s">
        <v>1239</v>
      </c>
      <c r="N479" s="56" t="s">
        <v>1232</v>
      </c>
      <c r="O479" s="56" t="s">
        <v>1240</v>
      </c>
      <c r="P479" s="64" t="s">
        <v>1250</v>
      </c>
    </row>
    <row r="480" spans="1:16" s="12" customFormat="1" ht="24.95" customHeight="1">
      <c r="A480" s="15" t="s">
        <v>685</v>
      </c>
      <c r="B480" s="55" t="s">
        <v>1297</v>
      </c>
      <c r="C480" s="15" t="s">
        <v>685</v>
      </c>
      <c r="D480" s="15" t="s">
        <v>8</v>
      </c>
      <c r="E480" s="15" t="s">
        <v>685</v>
      </c>
      <c r="F480" s="15" t="s">
        <v>9</v>
      </c>
      <c r="G480" s="15" t="s">
        <v>149</v>
      </c>
      <c r="H480" s="15" t="s">
        <v>875</v>
      </c>
      <c r="I480" s="15" t="s">
        <v>685</v>
      </c>
      <c r="J480" s="16" t="s">
        <v>1018</v>
      </c>
      <c r="K480" s="16"/>
      <c r="L480" s="16"/>
      <c r="M480" s="16"/>
      <c r="N480" s="15"/>
      <c r="O480" s="15"/>
      <c r="P480" s="15"/>
    </row>
    <row r="481" spans="1:16" s="12" customFormat="1" ht="24.95" customHeight="1">
      <c r="A481" s="15" t="s">
        <v>686</v>
      </c>
      <c r="B481" s="55" t="s">
        <v>1297</v>
      </c>
      <c r="C481" s="15" t="s">
        <v>686</v>
      </c>
      <c r="D481" s="15" t="s">
        <v>58</v>
      </c>
      <c r="E481" s="15" t="s">
        <v>686</v>
      </c>
      <c r="F481" s="15" t="s">
        <v>99</v>
      </c>
      <c r="G481" s="15" t="s">
        <v>104</v>
      </c>
      <c r="H481" s="15" t="s">
        <v>9</v>
      </c>
      <c r="I481" s="15" t="s">
        <v>686</v>
      </c>
      <c r="J481" s="16" t="s">
        <v>275</v>
      </c>
      <c r="K481" s="16"/>
      <c r="L481" s="16"/>
      <c r="M481" s="16"/>
      <c r="N481" s="15"/>
      <c r="O481" s="15"/>
      <c r="P481" s="15"/>
    </row>
    <row r="482" spans="1:16" s="12" customFormat="1" ht="24.95" customHeight="1">
      <c r="A482" s="15" t="s">
        <v>687</v>
      </c>
      <c r="B482" s="55" t="s">
        <v>1297</v>
      </c>
      <c r="C482" s="15" t="s">
        <v>687</v>
      </c>
      <c r="D482" s="15" t="s">
        <v>8</v>
      </c>
      <c r="E482" s="15" t="s">
        <v>687</v>
      </c>
      <c r="F482" s="15">
        <v>22</v>
      </c>
      <c r="G482" s="15" t="s">
        <v>453</v>
      </c>
      <c r="H482" s="15">
        <v>20</v>
      </c>
      <c r="I482" s="15" t="s">
        <v>687</v>
      </c>
      <c r="J482" s="16" t="s">
        <v>688</v>
      </c>
      <c r="K482" s="16"/>
      <c r="L482" s="16"/>
      <c r="M482" s="16"/>
      <c r="N482" s="15"/>
      <c r="O482" s="15"/>
      <c r="P482" s="15"/>
    </row>
    <row r="483" spans="1:16" s="12" customFormat="1" ht="24.95" customHeight="1">
      <c r="A483" s="15" t="s">
        <v>689</v>
      </c>
      <c r="B483" s="55" t="s">
        <v>1297</v>
      </c>
      <c r="C483" s="15" t="s">
        <v>689</v>
      </c>
      <c r="D483" s="15" t="s">
        <v>8</v>
      </c>
      <c r="E483" s="15" t="s">
        <v>689</v>
      </c>
      <c r="F483" s="15" t="s">
        <v>9</v>
      </c>
      <c r="G483" s="15" t="s">
        <v>101</v>
      </c>
      <c r="H483" s="15" t="s">
        <v>9</v>
      </c>
      <c r="I483" s="15" t="s">
        <v>689</v>
      </c>
      <c r="J483" s="16" t="s">
        <v>690</v>
      </c>
      <c r="K483" s="16"/>
      <c r="L483" s="16"/>
      <c r="M483" s="16"/>
      <c r="N483" s="15"/>
      <c r="O483" s="15"/>
      <c r="P483" s="15"/>
    </row>
    <row r="484" spans="1:16" s="12" customFormat="1" ht="24.95" customHeight="1">
      <c r="A484" s="15" t="s">
        <v>691</v>
      </c>
      <c r="B484" s="55" t="s">
        <v>1297</v>
      </c>
      <c r="C484" s="15" t="s">
        <v>691</v>
      </c>
      <c r="D484" s="15" t="s">
        <v>58</v>
      </c>
      <c r="E484" s="15" t="s">
        <v>691</v>
      </c>
      <c r="F484" s="15" t="s">
        <v>102</v>
      </c>
      <c r="G484" s="15" t="s">
        <v>9</v>
      </c>
      <c r="H484" s="15" t="s">
        <v>9</v>
      </c>
      <c r="I484" s="15" t="s">
        <v>691</v>
      </c>
      <c r="J484" s="16" t="s">
        <v>1019</v>
      </c>
      <c r="K484" s="16"/>
      <c r="L484" s="16"/>
      <c r="M484" s="16"/>
      <c r="N484" s="15"/>
      <c r="O484" s="15"/>
      <c r="P484" s="15"/>
    </row>
    <row r="485" spans="1:16" s="12" customFormat="1" ht="24.95" customHeight="1">
      <c r="A485" s="15" t="s">
        <v>692</v>
      </c>
      <c r="B485" s="55" t="s">
        <v>1297</v>
      </c>
      <c r="C485" s="15" t="s">
        <v>692</v>
      </c>
      <c r="D485" s="15" t="s">
        <v>9</v>
      </c>
      <c r="E485" s="15" t="s">
        <v>692</v>
      </c>
      <c r="F485" s="15" t="s">
        <v>9</v>
      </c>
      <c r="G485" s="15" t="s">
        <v>9</v>
      </c>
      <c r="H485" s="15" t="s">
        <v>9</v>
      </c>
      <c r="I485" s="15" t="s">
        <v>692</v>
      </c>
      <c r="J485" s="16" t="s">
        <v>202</v>
      </c>
      <c r="K485" s="16"/>
      <c r="L485" s="16"/>
      <c r="M485" s="16"/>
      <c r="N485" s="15"/>
      <c r="O485" s="15"/>
      <c r="P485" s="15"/>
    </row>
    <row r="486" spans="1:16" s="12" customFormat="1" ht="24.95" customHeight="1">
      <c r="A486" s="15" t="s">
        <v>693</v>
      </c>
      <c r="B486" s="55" t="s">
        <v>1297</v>
      </c>
      <c r="C486" s="15" t="s">
        <v>693</v>
      </c>
      <c r="D486" s="15" t="s">
        <v>8</v>
      </c>
      <c r="E486" s="15" t="s">
        <v>693</v>
      </c>
      <c r="F486" s="15">
        <v>88</v>
      </c>
      <c r="G486" s="15" t="s">
        <v>9</v>
      </c>
      <c r="H486" s="15">
        <v>78</v>
      </c>
      <c r="I486" s="15" t="s">
        <v>693</v>
      </c>
      <c r="J486" s="16" t="s">
        <v>1020</v>
      </c>
      <c r="K486" s="16"/>
      <c r="L486" s="16"/>
      <c r="M486" s="16"/>
      <c r="N486" s="15"/>
      <c r="O486" s="15"/>
      <c r="P486" s="15"/>
    </row>
    <row r="487" spans="1:16" s="12" customFormat="1" ht="24.95" customHeight="1">
      <c r="A487" s="15" t="s">
        <v>694</v>
      </c>
      <c r="B487" s="55" t="s">
        <v>1297</v>
      </c>
      <c r="C487" s="15" t="s">
        <v>694</v>
      </c>
      <c r="D487" s="15" t="s">
        <v>8</v>
      </c>
      <c r="E487" s="15" t="s">
        <v>694</v>
      </c>
      <c r="F487" s="15" t="s">
        <v>149</v>
      </c>
      <c r="G487" s="15" t="s">
        <v>9</v>
      </c>
      <c r="H487" s="15" t="s">
        <v>9</v>
      </c>
      <c r="I487" s="15" t="s">
        <v>694</v>
      </c>
      <c r="J487" s="16" t="s">
        <v>695</v>
      </c>
      <c r="K487" s="16"/>
      <c r="L487" s="16"/>
      <c r="M487" s="16"/>
      <c r="N487" s="15"/>
      <c r="O487" s="15"/>
      <c r="P487" s="15"/>
    </row>
    <row r="488" spans="1:16" s="12" customFormat="1" ht="24.95" customHeight="1">
      <c r="A488" s="15" t="s">
        <v>696</v>
      </c>
      <c r="B488" s="55" t="s">
        <v>1297</v>
      </c>
      <c r="C488" s="15" t="s">
        <v>696</v>
      </c>
      <c r="D488" s="15" t="s">
        <v>8</v>
      </c>
      <c r="E488" s="15" t="s">
        <v>696</v>
      </c>
      <c r="F488" s="15" t="s">
        <v>104</v>
      </c>
      <c r="G488" s="15" t="s">
        <v>9</v>
      </c>
      <c r="H488" s="15">
        <v>78</v>
      </c>
      <c r="I488" s="15" t="s">
        <v>696</v>
      </c>
      <c r="J488" s="16" t="s">
        <v>1021</v>
      </c>
      <c r="K488" s="16"/>
      <c r="L488" s="16"/>
      <c r="M488" s="16"/>
      <c r="N488" s="15"/>
      <c r="O488" s="15"/>
      <c r="P488" s="15"/>
    </row>
    <row r="489" spans="1:16" s="12" customFormat="1" ht="24.95" customHeight="1">
      <c r="A489" s="15" t="s">
        <v>697</v>
      </c>
      <c r="B489" s="55" t="s">
        <v>1297</v>
      </c>
      <c r="C489" s="15" t="s">
        <v>697</v>
      </c>
      <c r="D489" s="15" t="s">
        <v>8</v>
      </c>
      <c r="E489" s="15" t="s">
        <v>697</v>
      </c>
      <c r="F489" s="15">
        <v>22</v>
      </c>
      <c r="G489" s="15" t="s">
        <v>9</v>
      </c>
      <c r="H489" s="15">
        <v>20</v>
      </c>
      <c r="I489" s="15" t="s">
        <v>697</v>
      </c>
      <c r="J489" s="16" t="s">
        <v>952</v>
      </c>
      <c r="K489" s="16"/>
      <c r="L489" s="16"/>
      <c r="M489" s="16"/>
      <c r="N489" s="15"/>
      <c r="O489" s="15"/>
      <c r="P489" s="15"/>
    </row>
    <row r="490" spans="1:16" s="12" customFormat="1" ht="24.95" customHeight="1">
      <c r="A490" s="15" t="s">
        <v>698</v>
      </c>
      <c r="B490" s="55" t="s">
        <v>1297</v>
      </c>
      <c r="C490" s="15" t="s">
        <v>698</v>
      </c>
      <c r="D490" s="15" t="s">
        <v>8</v>
      </c>
      <c r="E490" s="15" t="s">
        <v>698</v>
      </c>
      <c r="F490" s="15" t="s">
        <v>99</v>
      </c>
      <c r="G490" s="15" t="s">
        <v>9</v>
      </c>
      <c r="H490" s="15">
        <v>20</v>
      </c>
      <c r="I490" s="15" t="s">
        <v>698</v>
      </c>
      <c r="J490" s="16" t="s">
        <v>699</v>
      </c>
      <c r="K490" s="16"/>
      <c r="L490" s="16"/>
      <c r="M490" s="16"/>
      <c r="N490" s="15"/>
      <c r="O490" s="15"/>
      <c r="P490" s="15"/>
    </row>
    <row r="491" spans="1:16" s="12" customFormat="1" ht="24.95" customHeight="1">
      <c r="A491" s="15" t="s">
        <v>700</v>
      </c>
      <c r="B491" s="55" t="s">
        <v>1297</v>
      </c>
      <c r="C491" s="15" t="s">
        <v>700</v>
      </c>
      <c r="D491" s="15" t="s">
        <v>9</v>
      </c>
      <c r="E491" s="15" t="s">
        <v>700</v>
      </c>
      <c r="F491" s="15" t="s">
        <v>9</v>
      </c>
      <c r="G491" s="15" t="s">
        <v>9</v>
      </c>
      <c r="H491" s="15" t="s">
        <v>9</v>
      </c>
      <c r="I491" s="15" t="s">
        <v>700</v>
      </c>
      <c r="J491" s="16" t="s">
        <v>701</v>
      </c>
      <c r="K491" s="16"/>
      <c r="L491" s="16"/>
      <c r="M491" s="16"/>
      <c r="N491" s="15"/>
      <c r="O491" s="15"/>
      <c r="P491" s="15"/>
    </row>
    <row r="492" spans="1:16" s="12" customFormat="1" ht="24.95" customHeight="1">
      <c r="A492" s="15" t="s">
        <v>702</v>
      </c>
      <c r="B492" s="55" t="s">
        <v>1297</v>
      </c>
      <c r="C492" s="15" t="s">
        <v>702</v>
      </c>
      <c r="D492" s="15" t="s">
        <v>58</v>
      </c>
      <c r="E492" s="15" t="s">
        <v>702</v>
      </c>
      <c r="F492" s="15" t="s">
        <v>101</v>
      </c>
      <c r="G492" s="15" t="s">
        <v>9</v>
      </c>
      <c r="H492" s="15" t="s">
        <v>9</v>
      </c>
      <c r="I492" s="15" t="s">
        <v>702</v>
      </c>
      <c r="J492" s="16" t="s">
        <v>275</v>
      </c>
      <c r="K492" s="16"/>
      <c r="L492" s="16"/>
      <c r="M492" s="16"/>
      <c r="N492" s="15"/>
      <c r="O492" s="15"/>
      <c r="P492" s="15"/>
    </row>
    <row r="493" spans="1:16" s="12" customFormat="1" ht="24.95" customHeight="1">
      <c r="A493" s="15" t="s">
        <v>703</v>
      </c>
      <c r="B493" s="55" t="s">
        <v>1297</v>
      </c>
      <c r="C493" s="15" t="s">
        <v>703</v>
      </c>
      <c r="D493" s="15" t="s">
        <v>8</v>
      </c>
      <c r="E493" s="15" t="s">
        <v>703</v>
      </c>
      <c r="F493" s="15">
        <v>176</v>
      </c>
      <c r="G493" s="15" t="s">
        <v>9</v>
      </c>
      <c r="H493" s="15" t="s">
        <v>9</v>
      </c>
      <c r="I493" s="15" t="s">
        <v>703</v>
      </c>
      <c r="J493" s="16" t="s">
        <v>140</v>
      </c>
      <c r="K493" s="16"/>
      <c r="L493" s="16"/>
      <c r="M493" s="16"/>
      <c r="N493" s="15"/>
      <c r="O493" s="15"/>
      <c r="P493" s="15"/>
    </row>
    <row r="494" spans="1:16" s="12" customFormat="1" ht="24.95" customHeight="1">
      <c r="A494" s="15" t="s">
        <v>704</v>
      </c>
      <c r="B494" s="55" t="s">
        <v>1297</v>
      </c>
      <c r="C494" s="15" t="s">
        <v>704</v>
      </c>
      <c r="D494" s="15" t="s">
        <v>58</v>
      </c>
      <c r="E494" s="15" t="s">
        <v>704</v>
      </c>
      <c r="F494" s="15" t="s">
        <v>88</v>
      </c>
      <c r="G494" s="15" t="s">
        <v>177</v>
      </c>
      <c r="H494" s="15" t="s">
        <v>9</v>
      </c>
      <c r="I494" s="15" t="s">
        <v>704</v>
      </c>
      <c r="J494" s="16" t="s">
        <v>275</v>
      </c>
      <c r="K494" s="16"/>
      <c r="L494" s="16"/>
      <c r="M494" s="16"/>
      <c r="N494" s="15"/>
      <c r="O494" s="15"/>
      <c r="P494" s="15"/>
    </row>
    <row r="495" spans="1:16" s="12" customFormat="1" ht="24.95" customHeight="1">
      <c r="A495" s="15" t="s">
        <v>705</v>
      </c>
      <c r="B495" s="55" t="s">
        <v>1297</v>
      </c>
      <c r="C495" s="15" t="s">
        <v>705</v>
      </c>
      <c r="D495" s="15" t="s">
        <v>8</v>
      </c>
      <c r="E495" s="15" t="s">
        <v>705</v>
      </c>
      <c r="F495" s="15">
        <v>264</v>
      </c>
      <c r="G495" s="15" t="s">
        <v>9</v>
      </c>
      <c r="H495" s="15" t="s">
        <v>9</v>
      </c>
      <c r="I495" s="15" t="s">
        <v>705</v>
      </c>
      <c r="J495" s="16" t="s">
        <v>899</v>
      </c>
      <c r="K495" s="16"/>
      <c r="L495" s="16"/>
      <c r="M495" s="16"/>
      <c r="N495" s="15"/>
      <c r="O495" s="15"/>
      <c r="P495" s="15"/>
    </row>
    <row r="496" spans="1:16" ht="39.950000000000003" customHeight="1">
      <c r="A496" s="56" t="s">
        <v>706</v>
      </c>
      <c r="B496" s="55" t="s">
        <v>1297</v>
      </c>
      <c r="C496" s="56" t="s">
        <v>706</v>
      </c>
      <c r="D496" s="55" t="s">
        <v>58</v>
      </c>
      <c r="E496" s="56" t="s">
        <v>706</v>
      </c>
      <c r="F496" s="55">
        <v>4.4000000000000004</v>
      </c>
      <c r="G496" s="55" t="s">
        <v>9</v>
      </c>
      <c r="H496" s="55" t="s">
        <v>9</v>
      </c>
      <c r="I496" s="56" t="s">
        <v>706</v>
      </c>
      <c r="J496" s="56" t="s">
        <v>899</v>
      </c>
      <c r="K496" s="56" t="s">
        <v>1205</v>
      </c>
      <c r="L496" s="16"/>
      <c r="M496" s="66" t="s">
        <v>1243</v>
      </c>
      <c r="N496" s="56" t="s">
        <v>1244</v>
      </c>
      <c r="O496" s="55" t="s">
        <v>1207</v>
      </c>
      <c r="P496" s="55" t="s">
        <v>1206</v>
      </c>
    </row>
    <row r="497" spans="1:16" s="12" customFormat="1" ht="24.95" customHeight="1">
      <c r="A497" s="16" t="s">
        <v>707</v>
      </c>
      <c r="B497" s="55" t="s">
        <v>1297</v>
      </c>
      <c r="C497" s="16" t="s">
        <v>707</v>
      </c>
      <c r="D497" s="15" t="s">
        <v>58</v>
      </c>
      <c r="E497" s="16" t="s">
        <v>707</v>
      </c>
      <c r="F497" s="15" t="s">
        <v>88</v>
      </c>
      <c r="G497" s="15" t="s">
        <v>9</v>
      </c>
      <c r="H497" s="15" t="s">
        <v>9</v>
      </c>
      <c r="I497" s="16" t="s">
        <v>707</v>
      </c>
      <c r="J497" s="16" t="s">
        <v>96</v>
      </c>
      <c r="K497" s="16"/>
      <c r="L497" s="16"/>
      <c r="M497" s="16"/>
      <c r="N497" s="15"/>
      <c r="O497" s="15"/>
      <c r="P497" s="15"/>
    </row>
    <row r="498" spans="1:16" s="12" customFormat="1" ht="24.95" customHeight="1">
      <c r="A498" s="15" t="s">
        <v>708</v>
      </c>
      <c r="B498" s="55" t="s">
        <v>1297</v>
      </c>
      <c r="C498" s="15" t="s">
        <v>708</v>
      </c>
      <c r="D498" s="15" t="s">
        <v>8</v>
      </c>
      <c r="E498" s="15" t="s">
        <v>708</v>
      </c>
      <c r="F498" s="15" t="s">
        <v>88</v>
      </c>
      <c r="G498" s="15" t="s">
        <v>9</v>
      </c>
      <c r="H498" s="15" t="s">
        <v>9</v>
      </c>
      <c r="I498" s="15" t="s">
        <v>708</v>
      </c>
      <c r="J498" s="16" t="s">
        <v>899</v>
      </c>
      <c r="K498" s="16"/>
      <c r="L498" s="16"/>
      <c r="M498" s="16"/>
      <c r="N498" s="15"/>
      <c r="O498" s="15"/>
      <c r="P498" s="15"/>
    </row>
    <row r="499" spans="1:16" s="12" customFormat="1" ht="24.95" customHeight="1">
      <c r="A499" s="15" t="s">
        <v>709</v>
      </c>
      <c r="B499" s="55" t="s">
        <v>1297</v>
      </c>
      <c r="C499" s="15" t="s">
        <v>709</v>
      </c>
      <c r="D499" s="15" t="s">
        <v>58</v>
      </c>
      <c r="E499" s="15" t="s">
        <v>709</v>
      </c>
      <c r="F499" s="15" t="s">
        <v>99</v>
      </c>
      <c r="G499" s="15" t="s">
        <v>9</v>
      </c>
      <c r="H499" s="15" t="s">
        <v>9</v>
      </c>
      <c r="I499" s="15" t="s">
        <v>709</v>
      </c>
      <c r="J499" s="16" t="s">
        <v>147</v>
      </c>
      <c r="K499" s="16"/>
      <c r="L499" s="16"/>
      <c r="M499" s="16"/>
      <c r="N499" s="15"/>
      <c r="O499" s="15"/>
      <c r="P499" s="15"/>
    </row>
    <row r="500" spans="1:16" s="12" customFormat="1" ht="24.95" customHeight="1">
      <c r="A500" s="15" t="s">
        <v>710</v>
      </c>
      <c r="B500" s="55" t="s">
        <v>1297</v>
      </c>
      <c r="C500" s="15" t="s">
        <v>710</v>
      </c>
      <c r="D500" s="15" t="s">
        <v>58</v>
      </c>
      <c r="E500" s="15" t="s">
        <v>710</v>
      </c>
      <c r="F500" s="15" t="s">
        <v>86</v>
      </c>
      <c r="G500" s="15" t="s">
        <v>9</v>
      </c>
      <c r="H500" s="15" t="s">
        <v>9</v>
      </c>
      <c r="I500" s="15" t="s">
        <v>710</v>
      </c>
      <c r="J500" s="16" t="s">
        <v>899</v>
      </c>
      <c r="K500" s="16"/>
      <c r="L500" s="16"/>
      <c r="M500" s="16"/>
      <c r="N500" s="15"/>
      <c r="O500" s="15"/>
      <c r="P500" s="15"/>
    </row>
    <row r="501" spans="1:16" s="12" customFormat="1" ht="24.95" customHeight="1">
      <c r="A501" s="15" t="s">
        <v>711</v>
      </c>
      <c r="B501" s="55" t="s">
        <v>1297</v>
      </c>
      <c r="C501" s="15" t="s">
        <v>711</v>
      </c>
      <c r="D501" s="15" t="s">
        <v>58</v>
      </c>
      <c r="E501" s="15" t="s">
        <v>711</v>
      </c>
      <c r="F501" s="15" t="s">
        <v>92</v>
      </c>
      <c r="G501" s="15" t="s">
        <v>9</v>
      </c>
      <c r="H501" s="15" t="s">
        <v>9</v>
      </c>
      <c r="I501" s="15" t="s">
        <v>711</v>
      </c>
      <c r="J501" s="16" t="s">
        <v>712</v>
      </c>
      <c r="K501" s="16"/>
      <c r="L501" s="16"/>
      <c r="M501" s="16"/>
      <c r="N501" s="15"/>
      <c r="O501" s="15"/>
      <c r="P501" s="15"/>
    </row>
    <row r="502" spans="1:16" s="12" customFormat="1" ht="24.95" customHeight="1">
      <c r="A502" s="15" t="s">
        <v>714</v>
      </c>
      <c r="B502" s="55" t="s">
        <v>1297</v>
      </c>
      <c r="C502" s="15" t="s">
        <v>714</v>
      </c>
      <c r="D502" s="15" t="s">
        <v>8</v>
      </c>
      <c r="E502" s="15" t="s">
        <v>714</v>
      </c>
      <c r="F502" s="15" t="s">
        <v>101</v>
      </c>
      <c r="G502" s="15" t="s">
        <v>9</v>
      </c>
      <c r="H502" s="15">
        <v>39</v>
      </c>
      <c r="I502" s="15" t="s">
        <v>714</v>
      </c>
      <c r="J502" s="16" t="s">
        <v>713</v>
      </c>
      <c r="K502" s="16"/>
      <c r="L502" s="16"/>
      <c r="M502" s="16"/>
      <c r="N502" s="15"/>
      <c r="O502" s="15"/>
      <c r="P502" s="15"/>
    </row>
    <row r="503" spans="1:16" ht="39.950000000000003" customHeight="1">
      <c r="A503" s="56" t="s">
        <v>715</v>
      </c>
      <c r="B503" s="55" t="s">
        <v>1297</v>
      </c>
      <c r="C503" s="56" t="s">
        <v>715</v>
      </c>
      <c r="D503" s="55" t="s">
        <v>58</v>
      </c>
      <c r="E503" s="56" t="s">
        <v>715</v>
      </c>
      <c r="F503" s="55">
        <v>8.8000000000000007</v>
      </c>
      <c r="G503" s="55" t="s">
        <v>9</v>
      </c>
      <c r="H503" s="55" t="s">
        <v>9</v>
      </c>
      <c r="I503" s="56" t="s">
        <v>715</v>
      </c>
      <c r="J503" s="56" t="s">
        <v>716</v>
      </c>
      <c r="K503" s="56" t="s">
        <v>1086</v>
      </c>
      <c r="L503" s="16" t="s">
        <v>1208</v>
      </c>
      <c r="M503" s="66" t="s">
        <v>1231</v>
      </c>
      <c r="N503" s="56" t="s">
        <v>1244</v>
      </c>
      <c r="O503" s="55" t="s">
        <v>1240</v>
      </c>
      <c r="P503" s="55" t="s">
        <v>1206</v>
      </c>
    </row>
    <row r="504" spans="1:16" s="12" customFormat="1" ht="24.95" customHeight="1">
      <c r="A504" s="15" t="s">
        <v>717</v>
      </c>
      <c r="B504" s="55" t="s">
        <v>1297</v>
      </c>
      <c r="C504" s="15" t="s">
        <v>717</v>
      </c>
      <c r="D504" s="15" t="s">
        <v>8</v>
      </c>
      <c r="E504" s="15" t="s">
        <v>717</v>
      </c>
      <c r="F504" s="15" t="s">
        <v>124</v>
      </c>
      <c r="G504" s="15">
        <v>22</v>
      </c>
      <c r="H504" s="15" t="s">
        <v>9</v>
      </c>
      <c r="I504" s="15" t="s">
        <v>717</v>
      </c>
      <c r="J504" s="16" t="s">
        <v>975</v>
      </c>
      <c r="K504" s="16"/>
      <c r="L504" s="16"/>
      <c r="M504" s="16"/>
      <c r="N504" s="15"/>
      <c r="O504" s="15"/>
      <c r="P504" s="15"/>
    </row>
    <row r="505" spans="1:16" s="12" customFormat="1" ht="24.95" customHeight="1">
      <c r="A505" s="15" t="s">
        <v>718</v>
      </c>
      <c r="B505" s="55" t="s">
        <v>1297</v>
      </c>
      <c r="C505" s="15" t="s">
        <v>718</v>
      </c>
      <c r="D505" s="15" t="s">
        <v>8</v>
      </c>
      <c r="E505" s="15" t="s">
        <v>718</v>
      </c>
      <c r="F505" s="15" t="s">
        <v>86</v>
      </c>
      <c r="G505" s="15" t="s">
        <v>9</v>
      </c>
      <c r="H505" s="15" t="s">
        <v>9</v>
      </c>
      <c r="I505" s="15" t="s">
        <v>718</v>
      </c>
      <c r="J505" s="16" t="s">
        <v>912</v>
      </c>
      <c r="K505" s="16"/>
      <c r="L505" s="16"/>
      <c r="M505" s="16"/>
      <c r="N505" s="15"/>
      <c r="O505" s="15"/>
      <c r="P505" s="15"/>
    </row>
    <row r="506" spans="1:16" s="12" customFormat="1" ht="24.95" customHeight="1">
      <c r="A506" s="15" t="s">
        <v>719</v>
      </c>
      <c r="B506" s="55" t="s">
        <v>1297</v>
      </c>
      <c r="C506" s="15" t="s">
        <v>719</v>
      </c>
      <c r="D506" s="15" t="s">
        <v>58</v>
      </c>
      <c r="E506" s="15" t="s">
        <v>719</v>
      </c>
      <c r="F506" s="15" t="s">
        <v>86</v>
      </c>
      <c r="G506" s="15" t="s">
        <v>99</v>
      </c>
      <c r="H506" s="15" t="s">
        <v>9</v>
      </c>
      <c r="I506" s="15" t="s">
        <v>719</v>
      </c>
      <c r="J506" s="16" t="s">
        <v>720</v>
      </c>
      <c r="K506" s="16"/>
      <c r="L506" s="16"/>
      <c r="M506" s="16"/>
      <c r="N506" s="15"/>
      <c r="O506" s="15"/>
      <c r="P506" s="15"/>
    </row>
    <row r="507" spans="1:16" ht="39.950000000000003" customHeight="1">
      <c r="A507" s="56" t="s">
        <v>721</v>
      </c>
      <c r="B507" s="55" t="s">
        <v>1297</v>
      </c>
      <c r="C507" s="56" t="s">
        <v>721</v>
      </c>
      <c r="D507" s="55" t="s">
        <v>8</v>
      </c>
      <c r="E507" s="56" t="s">
        <v>721</v>
      </c>
      <c r="F507" s="55">
        <v>22</v>
      </c>
      <c r="G507" s="55" t="s">
        <v>9</v>
      </c>
      <c r="H507" s="55">
        <v>20</v>
      </c>
      <c r="I507" s="56" t="s">
        <v>721</v>
      </c>
      <c r="J507" s="56" t="s">
        <v>1022</v>
      </c>
      <c r="K507" s="56" t="s">
        <v>1178</v>
      </c>
      <c r="L507" s="16" t="s">
        <v>1209</v>
      </c>
      <c r="M507" s="56" t="s">
        <v>1210</v>
      </c>
      <c r="N507" s="56" t="s">
        <v>1244</v>
      </c>
      <c r="O507" s="55">
        <v>0.1</v>
      </c>
      <c r="P507" s="55" t="s">
        <v>1179</v>
      </c>
    </row>
    <row r="508" spans="1:16" ht="39.950000000000003" customHeight="1">
      <c r="A508" s="56" t="s">
        <v>722</v>
      </c>
      <c r="B508" s="55" t="s">
        <v>1297</v>
      </c>
      <c r="C508" s="56" t="s">
        <v>722</v>
      </c>
      <c r="D508" s="55" t="s">
        <v>8</v>
      </c>
      <c r="E508" s="56" t="s">
        <v>722</v>
      </c>
      <c r="F508" s="55">
        <v>44</v>
      </c>
      <c r="G508" s="55" t="s">
        <v>9</v>
      </c>
      <c r="H508" s="55" t="s">
        <v>9</v>
      </c>
      <c r="I508" s="56" t="s">
        <v>722</v>
      </c>
      <c r="J508" s="56" t="s">
        <v>723</v>
      </c>
      <c r="K508" s="56"/>
      <c r="L508" s="16" t="s">
        <v>1245</v>
      </c>
      <c r="M508" s="56" t="s">
        <v>1210</v>
      </c>
      <c r="N508" s="56" t="s">
        <v>1244</v>
      </c>
      <c r="O508" s="55">
        <v>0.1</v>
      </c>
      <c r="P508" s="55" t="s">
        <v>1179</v>
      </c>
    </row>
    <row r="509" spans="1:16" s="12" customFormat="1" ht="24.95" customHeight="1">
      <c r="A509" s="15" t="s">
        <v>724</v>
      </c>
      <c r="B509" s="55" t="s">
        <v>1297</v>
      </c>
      <c r="C509" s="15" t="s">
        <v>724</v>
      </c>
      <c r="D509" s="15" t="s">
        <v>8</v>
      </c>
      <c r="E509" s="15" t="s">
        <v>724</v>
      </c>
      <c r="F509" s="15" t="s">
        <v>149</v>
      </c>
      <c r="G509" s="15" t="s">
        <v>9</v>
      </c>
      <c r="H509" s="15" t="s">
        <v>9</v>
      </c>
      <c r="I509" s="15" t="s">
        <v>724</v>
      </c>
      <c r="J509" s="16" t="s">
        <v>115</v>
      </c>
      <c r="K509" s="16"/>
      <c r="L509" s="16"/>
      <c r="M509" s="16"/>
      <c r="N509" s="16"/>
      <c r="O509" s="16"/>
      <c r="P509" s="42"/>
    </row>
    <row r="510" spans="1:16" s="12" customFormat="1" ht="24.95" customHeight="1">
      <c r="A510" s="15" t="s">
        <v>725</v>
      </c>
      <c r="B510" s="55" t="s">
        <v>1297</v>
      </c>
      <c r="C510" s="15" t="s">
        <v>725</v>
      </c>
      <c r="D510" s="15" t="s">
        <v>58</v>
      </c>
      <c r="E510" s="15" t="s">
        <v>725</v>
      </c>
      <c r="F510" s="15" t="s">
        <v>86</v>
      </c>
      <c r="G510" s="15" t="s">
        <v>9</v>
      </c>
      <c r="H510" s="15" t="s">
        <v>9</v>
      </c>
      <c r="I510" s="15" t="s">
        <v>725</v>
      </c>
      <c r="J510" s="16" t="s">
        <v>1023</v>
      </c>
      <c r="K510" s="16"/>
      <c r="L510" s="16"/>
      <c r="M510" s="16"/>
      <c r="N510" s="15"/>
      <c r="O510" s="15"/>
      <c r="P510" s="15"/>
    </row>
    <row r="511" spans="1:16" s="12" customFormat="1" ht="24.95" customHeight="1">
      <c r="A511" s="15" t="s">
        <v>726</v>
      </c>
      <c r="B511" s="55" t="s">
        <v>1297</v>
      </c>
      <c r="C511" s="15" t="s">
        <v>726</v>
      </c>
      <c r="D511" s="15" t="s">
        <v>58</v>
      </c>
      <c r="E511" s="15" t="s">
        <v>726</v>
      </c>
      <c r="F511" s="15" t="s">
        <v>92</v>
      </c>
      <c r="G511" s="15" t="s">
        <v>9</v>
      </c>
      <c r="H511" s="15" t="s">
        <v>9</v>
      </c>
      <c r="I511" s="15" t="s">
        <v>726</v>
      </c>
      <c r="J511" s="16" t="s">
        <v>727</v>
      </c>
      <c r="K511" s="16"/>
      <c r="L511" s="16"/>
      <c r="M511" s="16"/>
      <c r="N511" s="15"/>
      <c r="O511" s="15"/>
      <c r="P511" s="15"/>
    </row>
    <row r="512" spans="1:16" s="12" customFormat="1" ht="24.95" customHeight="1">
      <c r="A512" s="15" t="s">
        <v>728</v>
      </c>
      <c r="B512" s="55" t="s">
        <v>1297</v>
      </c>
      <c r="C512" s="15" t="s">
        <v>728</v>
      </c>
      <c r="D512" s="15" t="s">
        <v>58</v>
      </c>
      <c r="E512" s="15" t="s">
        <v>728</v>
      </c>
      <c r="F512" s="15" t="s">
        <v>149</v>
      </c>
      <c r="G512" s="15" t="s">
        <v>9</v>
      </c>
      <c r="H512" s="15" t="s">
        <v>9</v>
      </c>
      <c r="I512" s="15" t="s">
        <v>728</v>
      </c>
      <c r="J512" s="16" t="s">
        <v>195</v>
      </c>
      <c r="K512" s="16"/>
      <c r="L512" s="16"/>
      <c r="M512" s="16"/>
      <c r="N512" s="15"/>
      <c r="O512" s="15"/>
      <c r="P512" s="15"/>
    </row>
    <row r="513" spans="1:16" s="12" customFormat="1" ht="24.95" customHeight="1">
      <c r="A513" s="15" t="s">
        <v>729</v>
      </c>
      <c r="B513" s="55" t="s">
        <v>1297</v>
      </c>
      <c r="C513" s="15" t="s">
        <v>729</v>
      </c>
      <c r="D513" s="15" t="s">
        <v>8</v>
      </c>
      <c r="E513" s="15" t="s">
        <v>729</v>
      </c>
      <c r="F513" s="15" t="s">
        <v>88</v>
      </c>
      <c r="G513" s="15" t="s">
        <v>9</v>
      </c>
      <c r="H513" s="15" t="s">
        <v>9</v>
      </c>
      <c r="I513" s="15" t="s">
        <v>729</v>
      </c>
      <c r="J513" s="16" t="s">
        <v>147</v>
      </c>
      <c r="K513" s="16"/>
      <c r="L513" s="16"/>
      <c r="M513" s="16"/>
      <c r="N513" s="15"/>
      <c r="O513" s="15"/>
      <c r="P513" s="15"/>
    </row>
    <row r="514" spans="1:16" s="12" customFormat="1" ht="24.95" customHeight="1">
      <c r="A514" s="15" t="s">
        <v>730</v>
      </c>
      <c r="B514" s="55" t="s">
        <v>1297</v>
      </c>
      <c r="C514" s="15" t="s">
        <v>730</v>
      </c>
      <c r="D514" s="15" t="s">
        <v>58</v>
      </c>
      <c r="E514" s="15" t="s">
        <v>730</v>
      </c>
      <c r="F514" s="15" t="s">
        <v>92</v>
      </c>
      <c r="G514" s="15" t="s">
        <v>101</v>
      </c>
      <c r="H514" s="15" t="s">
        <v>9</v>
      </c>
      <c r="I514" s="15" t="s">
        <v>730</v>
      </c>
      <c r="J514" s="16" t="s">
        <v>1024</v>
      </c>
      <c r="K514" s="16"/>
      <c r="L514" s="16"/>
      <c r="M514" s="16"/>
      <c r="N514" s="15"/>
      <c r="O514" s="15"/>
      <c r="P514" s="15"/>
    </row>
    <row r="515" spans="1:16" s="12" customFormat="1" ht="24.95" customHeight="1">
      <c r="A515" s="15" t="s">
        <v>731</v>
      </c>
      <c r="B515" s="55" t="s">
        <v>1297</v>
      </c>
      <c r="C515" s="15" t="s">
        <v>731</v>
      </c>
      <c r="D515" s="15" t="s">
        <v>58</v>
      </c>
      <c r="E515" s="15" t="s">
        <v>731</v>
      </c>
      <c r="F515" s="15" t="s">
        <v>92</v>
      </c>
      <c r="G515" s="15" t="s">
        <v>9</v>
      </c>
      <c r="H515" s="15" t="s">
        <v>9</v>
      </c>
      <c r="I515" s="15" t="s">
        <v>731</v>
      </c>
      <c r="J515" s="16" t="s">
        <v>575</v>
      </c>
      <c r="K515" s="16"/>
      <c r="L515" s="16"/>
      <c r="M515" s="16"/>
      <c r="N515" s="15"/>
      <c r="O515" s="15"/>
      <c r="P515" s="15"/>
    </row>
    <row r="516" spans="1:16" s="12" customFormat="1" ht="24.95" customHeight="1">
      <c r="A516" s="15" t="s">
        <v>732</v>
      </c>
      <c r="B516" s="55" t="s">
        <v>1297</v>
      </c>
      <c r="C516" s="15" t="s">
        <v>732</v>
      </c>
      <c r="D516" s="15" t="s">
        <v>58</v>
      </c>
      <c r="E516" s="15" t="s">
        <v>732</v>
      </c>
      <c r="F516" s="15" t="s">
        <v>92</v>
      </c>
      <c r="G516" s="15" t="s">
        <v>9</v>
      </c>
      <c r="H516" s="15" t="s">
        <v>9</v>
      </c>
      <c r="I516" s="15" t="s">
        <v>732</v>
      </c>
      <c r="J516" s="16" t="s">
        <v>275</v>
      </c>
      <c r="K516" s="16"/>
      <c r="L516" s="16"/>
      <c r="M516" s="16"/>
      <c r="N516" s="15"/>
      <c r="O516" s="15"/>
      <c r="P516" s="15"/>
    </row>
    <row r="517" spans="1:16" s="12" customFormat="1" ht="24.95" customHeight="1">
      <c r="A517" s="15" t="s">
        <v>733</v>
      </c>
      <c r="B517" s="55" t="s">
        <v>1297</v>
      </c>
      <c r="C517" s="15" t="s">
        <v>733</v>
      </c>
      <c r="D517" s="15" t="s">
        <v>58</v>
      </c>
      <c r="E517" s="15" t="s">
        <v>733</v>
      </c>
      <c r="F517" s="15" t="s">
        <v>99</v>
      </c>
      <c r="G517" s="15" t="s">
        <v>9</v>
      </c>
      <c r="H517" s="15" t="s">
        <v>9</v>
      </c>
      <c r="I517" s="15" t="s">
        <v>733</v>
      </c>
      <c r="J517" s="16" t="s">
        <v>1025</v>
      </c>
      <c r="K517" s="16"/>
      <c r="L517" s="16"/>
      <c r="M517" s="16"/>
      <c r="N517" s="15"/>
      <c r="O517" s="15"/>
      <c r="P517" s="15"/>
    </row>
    <row r="518" spans="1:16" s="12" customFormat="1" ht="24.95" customHeight="1">
      <c r="A518" s="15" t="s">
        <v>734</v>
      </c>
      <c r="B518" s="55" t="s">
        <v>1297</v>
      </c>
      <c r="C518" s="15" t="s">
        <v>734</v>
      </c>
      <c r="D518" s="15" t="s">
        <v>8</v>
      </c>
      <c r="E518" s="15" t="s">
        <v>734</v>
      </c>
      <c r="F518" s="15" t="s">
        <v>88</v>
      </c>
      <c r="G518" s="15" t="s">
        <v>9</v>
      </c>
      <c r="H518" s="15" t="s">
        <v>9</v>
      </c>
      <c r="I518" s="15" t="s">
        <v>734</v>
      </c>
      <c r="J518" s="16" t="s">
        <v>902</v>
      </c>
      <c r="K518" s="16"/>
      <c r="L518" s="16"/>
      <c r="M518" s="16"/>
      <c r="N518" s="15"/>
      <c r="O518" s="15"/>
      <c r="P518" s="15"/>
    </row>
    <row r="519" spans="1:16" s="12" customFormat="1" ht="24.95" customHeight="1">
      <c r="A519" s="15" t="s">
        <v>735</v>
      </c>
      <c r="B519" s="55" t="s">
        <v>1297</v>
      </c>
      <c r="C519" s="15" t="s">
        <v>735</v>
      </c>
      <c r="D519" s="15" t="s">
        <v>8</v>
      </c>
      <c r="E519" s="15" t="s">
        <v>735</v>
      </c>
      <c r="F519" s="15" t="s">
        <v>9</v>
      </c>
      <c r="G519" s="15" t="s">
        <v>169</v>
      </c>
      <c r="H519" s="15" t="s">
        <v>9</v>
      </c>
      <c r="I519" s="15" t="s">
        <v>735</v>
      </c>
      <c r="J519" s="16" t="s">
        <v>1026</v>
      </c>
      <c r="K519" s="16"/>
      <c r="L519" s="16"/>
      <c r="M519" s="16"/>
      <c r="N519" s="15"/>
      <c r="O519" s="15"/>
      <c r="P519" s="15"/>
    </row>
    <row r="520" spans="1:16" ht="39.950000000000003" customHeight="1">
      <c r="A520" s="56" t="s">
        <v>736</v>
      </c>
      <c r="B520" s="55" t="s">
        <v>1297</v>
      </c>
      <c r="C520" s="56" t="s">
        <v>736</v>
      </c>
      <c r="D520" s="55" t="s">
        <v>8</v>
      </c>
      <c r="E520" s="56" t="s">
        <v>736</v>
      </c>
      <c r="F520" s="55">
        <v>880</v>
      </c>
      <c r="G520" s="55" t="s">
        <v>9</v>
      </c>
      <c r="H520" s="55">
        <v>470</v>
      </c>
      <c r="I520" s="56" t="s">
        <v>736</v>
      </c>
      <c r="J520" s="56" t="s">
        <v>1027</v>
      </c>
      <c r="K520" s="56" t="s">
        <v>1143</v>
      </c>
      <c r="L520" s="16" t="s">
        <v>1246</v>
      </c>
      <c r="M520" s="56" t="s">
        <v>1165</v>
      </c>
      <c r="N520" s="56" t="s">
        <v>1060</v>
      </c>
      <c r="O520" s="55">
        <v>0.2</v>
      </c>
      <c r="P520" s="55">
        <v>4</v>
      </c>
    </row>
    <row r="521" spans="1:16" s="12" customFormat="1" ht="24.95" customHeight="1">
      <c r="A521" s="15" t="s">
        <v>737</v>
      </c>
      <c r="B521" s="55" t="s">
        <v>1297</v>
      </c>
      <c r="C521" s="15" t="s">
        <v>737</v>
      </c>
      <c r="D521" s="15" t="s">
        <v>8</v>
      </c>
      <c r="E521" s="15" t="s">
        <v>737</v>
      </c>
      <c r="F521" s="15">
        <v>22</v>
      </c>
      <c r="G521" s="15" t="s">
        <v>9</v>
      </c>
      <c r="H521" s="15" t="s">
        <v>9</v>
      </c>
      <c r="I521" s="15" t="s">
        <v>737</v>
      </c>
      <c r="J521" s="16" t="s">
        <v>738</v>
      </c>
      <c r="K521" s="16"/>
      <c r="L521" s="16"/>
      <c r="M521" s="16"/>
      <c r="N521" s="15"/>
      <c r="O521" s="15"/>
      <c r="P521" s="15"/>
    </row>
    <row r="522" spans="1:16" s="12" customFormat="1" ht="24.95" customHeight="1">
      <c r="A522" s="15" t="s">
        <v>739</v>
      </c>
      <c r="B522" s="55" t="s">
        <v>1297</v>
      </c>
      <c r="C522" s="15" t="s">
        <v>739</v>
      </c>
      <c r="D522" s="15" t="s">
        <v>58</v>
      </c>
      <c r="E522" s="15" t="s">
        <v>739</v>
      </c>
      <c r="F522" s="15" t="s">
        <v>101</v>
      </c>
      <c r="G522" s="15" t="s">
        <v>102</v>
      </c>
      <c r="H522" s="15" t="s">
        <v>9</v>
      </c>
      <c r="I522" s="15" t="s">
        <v>739</v>
      </c>
      <c r="J522" s="16" t="s">
        <v>899</v>
      </c>
      <c r="K522" s="16"/>
      <c r="L522" s="16"/>
      <c r="M522" s="16"/>
      <c r="N522" s="15"/>
      <c r="O522" s="15"/>
      <c r="P522" s="15"/>
    </row>
    <row r="523" spans="1:16" s="12" customFormat="1" ht="24.95" customHeight="1">
      <c r="A523" s="15" t="s">
        <v>740</v>
      </c>
      <c r="B523" s="55" t="s">
        <v>1297</v>
      </c>
      <c r="C523" s="15" t="s">
        <v>740</v>
      </c>
      <c r="D523" s="15" t="s">
        <v>58</v>
      </c>
      <c r="E523" s="15" t="s">
        <v>740</v>
      </c>
      <c r="F523" s="15" t="s">
        <v>149</v>
      </c>
      <c r="G523" s="15" t="s">
        <v>9</v>
      </c>
      <c r="H523" s="15" t="s">
        <v>9</v>
      </c>
      <c r="I523" s="15" t="s">
        <v>740</v>
      </c>
      <c r="J523" s="16" t="s">
        <v>1028</v>
      </c>
      <c r="K523" s="16"/>
      <c r="L523" s="16"/>
      <c r="M523" s="16"/>
      <c r="N523" s="15"/>
      <c r="O523" s="15"/>
      <c r="P523" s="15"/>
    </row>
    <row r="524" spans="1:16" ht="39.950000000000003" customHeight="1">
      <c r="A524" s="56" t="s">
        <v>1253</v>
      </c>
      <c r="B524" s="55" t="s">
        <v>1297</v>
      </c>
      <c r="C524" s="56" t="s">
        <v>1253</v>
      </c>
      <c r="D524" s="55" t="s">
        <v>8</v>
      </c>
      <c r="E524" s="56" t="s">
        <v>1253</v>
      </c>
      <c r="F524" s="55">
        <v>22</v>
      </c>
      <c r="G524" s="55">
        <v>88</v>
      </c>
      <c r="H524" s="55">
        <v>78</v>
      </c>
      <c r="I524" s="56" t="s">
        <v>1253</v>
      </c>
      <c r="J524" s="56" t="s">
        <v>140</v>
      </c>
      <c r="K524" s="56" t="s">
        <v>1143</v>
      </c>
      <c r="L524" s="16"/>
      <c r="M524" s="56" t="s">
        <v>1254</v>
      </c>
      <c r="N524" s="56" t="s">
        <v>1060</v>
      </c>
      <c r="O524" s="56" t="s">
        <v>1163</v>
      </c>
      <c r="P524" s="55" t="s">
        <v>1255</v>
      </c>
    </row>
    <row r="525" spans="1:16" s="12" customFormat="1" ht="24.95" customHeight="1">
      <c r="A525" s="15" t="s">
        <v>741</v>
      </c>
      <c r="B525" s="55" t="s">
        <v>1297</v>
      </c>
      <c r="C525" s="15" t="s">
        <v>741</v>
      </c>
      <c r="D525" s="15" t="s">
        <v>8</v>
      </c>
      <c r="E525" s="15" t="s">
        <v>741</v>
      </c>
      <c r="F525" s="15" t="s">
        <v>88</v>
      </c>
      <c r="G525" s="15" t="s">
        <v>9</v>
      </c>
      <c r="H525" s="15" t="s">
        <v>9</v>
      </c>
      <c r="I525" s="15" t="s">
        <v>741</v>
      </c>
      <c r="J525" s="16" t="s">
        <v>147</v>
      </c>
      <c r="K525" s="16"/>
      <c r="L525" s="16"/>
      <c r="M525" s="16"/>
      <c r="N525" s="15"/>
      <c r="O525" s="15"/>
      <c r="P525" s="15"/>
    </row>
    <row r="526" spans="1:16" s="12" customFormat="1" ht="24.95" customHeight="1">
      <c r="A526" s="15" t="s">
        <v>742</v>
      </c>
      <c r="B526" s="55" t="s">
        <v>1297</v>
      </c>
      <c r="C526" s="15" t="s">
        <v>742</v>
      </c>
      <c r="D526" s="15" t="s">
        <v>8</v>
      </c>
      <c r="E526" s="15" t="s">
        <v>742</v>
      </c>
      <c r="F526" s="15">
        <v>88</v>
      </c>
      <c r="G526" s="15" t="s">
        <v>9</v>
      </c>
      <c r="H526" s="15" t="s">
        <v>9</v>
      </c>
      <c r="I526" s="15" t="s">
        <v>742</v>
      </c>
      <c r="J526" s="16" t="s">
        <v>425</v>
      </c>
      <c r="K526" s="16"/>
      <c r="L526" s="16"/>
      <c r="M526" s="16"/>
      <c r="N526" s="15"/>
      <c r="O526" s="15"/>
      <c r="P526" s="15"/>
    </row>
    <row r="527" spans="1:16" s="12" customFormat="1" ht="24.95" customHeight="1">
      <c r="A527" s="15" t="s">
        <v>743</v>
      </c>
      <c r="B527" s="55" t="s">
        <v>1297</v>
      </c>
      <c r="C527" s="15" t="s">
        <v>743</v>
      </c>
      <c r="D527" s="15" t="s">
        <v>8</v>
      </c>
      <c r="E527" s="15" t="s">
        <v>743</v>
      </c>
      <c r="F527" s="15" t="s">
        <v>9</v>
      </c>
      <c r="G527" s="15" t="s">
        <v>169</v>
      </c>
      <c r="H527" s="15" t="s">
        <v>9</v>
      </c>
      <c r="I527" s="15" t="s">
        <v>743</v>
      </c>
      <c r="J527" s="16" t="s">
        <v>1029</v>
      </c>
      <c r="K527" s="16"/>
      <c r="L527" s="16"/>
      <c r="M527" s="16"/>
      <c r="N527" s="15"/>
      <c r="O527" s="15"/>
      <c r="P527" s="15"/>
    </row>
    <row r="528" spans="1:16" s="12" customFormat="1" ht="24.95" customHeight="1">
      <c r="A528" s="16" t="s">
        <v>744</v>
      </c>
      <c r="B528" s="55" t="s">
        <v>1297</v>
      </c>
      <c r="C528" s="16" t="s">
        <v>744</v>
      </c>
      <c r="D528" s="15" t="s">
        <v>58</v>
      </c>
      <c r="E528" s="16" t="s">
        <v>744</v>
      </c>
      <c r="F528" s="15" t="s">
        <v>169</v>
      </c>
      <c r="G528" s="15" t="s">
        <v>9</v>
      </c>
      <c r="H528" s="15" t="s">
        <v>9</v>
      </c>
      <c r="I528" s="16" t="s">
        <v>744</v>
      </c>
      <c r="J528" s="16" t="s">
        <v>275</v>
      </c>
      <c r="K528" s="16"/>
      <c r="L528" s="16"/>
      <c r="M528" s="16"/>
      <c r="N528" s="15"/>
      <c r="O528" s="15"/>
      <c r="P528" s="15"/>
    </row>
    <row r="529" spans="1:16" s="12" customFormat="1" ht="24.95" customHeight="1">
      <c r="A529" s="15" t="s">
        <v>745</v>
      </c>
      <c r="B529" s="55" t="s">
        <v>1297</v>
      </c>
      <c r="C529" s="15" t="s">
        <v>745</v>
      </c>
      <c r="D529" s="15" t="s">
        <v>58</v>
      </c>
      <c r="E529" s="15" t="s">
        <v>745</v>
      </c>
      <c r="F529" s="15" t="s">
        <v>94</v>
      </c>
      <c r="G529" s="15" t="s">
        <v>9</v>
      </c>
      <c r="H529" s="15" t="s">
        <v>9</v>
      </c>
      <c r="I529" s="15" t="s">
        <v>745</v>
      </c>
      <c r="J529" s="16" t="s">
        <v>922</v>
      </c>
      <c r="K529" s="16"/>
      <c r="L529" s="16"/>
      <c r="M529" s="16"/>
      <c r="N529" s="15"/>
      <c r="O529" s="15"/>
      <c r="P529" s="15"/>
    </row>
    <row r="530" spans="1:16" s="12" customFormat="1" ht="24.95" customHeight="1">
      <c r="A530" s="15" t="s">
        <v>746</v>
      </c>
      <c r="B530" s="55" t="s">
        <v>1297</v>
      </c>
      <c r="C530" s="15" t="s">
        <v>746</v>
      </c>
      <c r="D530" s="15" t="s">
        <v>8</v>
      </c>
      <c r="E530" s="15" t="s">
        <v>746</v>
      </c>
      <c r="F530" s="15" t="s">
        <v>101</v>
      </c>
      <c r="G530" s="15" t="s">
        <v>9</v>
      </c>
      <c r="H530" s="15" t="s">
        <v>9</v>
      </c>
      <c r="I530" s="15" t="s">
        <v>746</v>
      </c>
      <c r="J530" s="16" t="s">
        <v>902</v>
      </c>
      <c r="K530" s="16"/>
      <c r="L530" s="16"/>
      <c r="M530" s="16"/>
      <c r="N530" s="15"/>
      <c r="O530" s="15"/>
      <c r="P530" s="15"/>
    </row>
    <row r="531" spans="1:16" s="12" customFormat="1" ht="24.95" customHeight="1">
      <c r="A531" s="15" t="s">
        <v>747</v>
      </c>
      <c r="B531" s="55" t="s">
        <v>1297</v>
      </c>
      <c r="C531" s="15" t="s">
        <v>747</v>
      </c>
      <c r="D531" s="15" t="s">
        <v>8</v>
      </c>
      <c r="E531" s="15" t="s">
        <v>747</v>
      </c>
      <c r="F531" s="15" t="s">
        <v>9</v>
      </c>
      <c r="G531" s="15" t="s">
        <v>114</v>
      </c>
      <c r="H531" s="15" t="s">
        <v>9</v>
      </c>
      <c r="I531" s="15" t="s">
        <v>747</v>
      </c>
      <c r="J531" s="16" t="s">
        <v>989</v>
      </c>
      <c r="K531" s="16"/>
      <c r="L531" s="16"/>
      <c r="M531" s="16"/>
      <c r="N531" s="15"/>
      <c r="O531" s="15"/>
      <c r="P531" s="15"/>
    </row>
    <row r="532" spans="1:16" s="12" customFormat="1" ht="24.95" customHeight="1">
      <c r="A532" s="15" t="s">
        <v>748</v>
      </c>
      <c r="B532" s="55" t="s">
        <v>1297</v>
      </c>
      <c r="C532" s="15" t="s">
        <v>748</v>
      </c>
      <c r="D532" s="15" t="s">
        <v>58</v>
      </c>
      <c r="E532" s="15" t="s">
        <v>748</v>
      </c>
      <c r="F532" s="15" t="s">
        <v>88</v>
      </c>
      <c r="G532" s="15" t="s">
        <v>9</v>
      </c>
      <c r="H532" s="15" t="s">
        <v>9</v>
      </c>
      <c r="I532" s="15" t="s">
        <v>748</v>
      </c>
      <c r="J532" s="16" t="s">
        <v>928</v>
      </c>
      <c r="K532" s="16"/>
      <c r="L532" s="16"/>
      <c r="M532" s="16"/>
      <c r="N532" s="15"/>
      <c r="O532" s="15"/>
      <c r="P532" s="15"/>
    </row>
    <row r="533" spans="1:16" s="12" customFormat="1" ht="24.95" customHeight="1">
      <c r="A533" s="15" t="s">
        <v>749</v>
      </c>
      <c r="B533" s="55" t="s">
        <v>1297</v>
      </c>
      <c r="C533" s="15" t="s">
        <v>749</v>
      </c>
      <c r="D533" s="15" t="s">
        <v>58</v>
      </c>
      <c r="E533" s="15" t="s">
        <v>749</v>
      </c>
      <c r="F533" s="15" t="s">
        <v>99</v>
      </c>
      <c r="G533" s="15" t="s">
        <v>9</v>
      </c>
      <c r="H533" s="15" t="s">
        <v>9</v>
      </c>
      <c r="I533" s="15" t="s">
        <v>749</v>
      </c>
      <c r="J533" s="16" t="s">
        <v>305</v>
      </c>
      <c r="K533" s="16"/>
      <c r="L533" s="16"/>
      <c r="M533" s="16"/>
      <c r="N533" s="15"/>
      <c r="O533" s="15"/>
      <c r="P533" s="15"/>
    </row>
    <row r="534" spans="1:16" s="12" customFormat="1" ht="24.95" customHeight="1">
      <c r="A534" s="15" t="s">
        <v>750</v>
      </c>
      <c r="B534" s="55" t="s">
        <v>1297</v>
      </c>
      <c r="C534" s="15" t="s">
        <v>750</v>
      </c>
      <c r="D534" s="15" t="s">
        <v>58</v>
      </c>
      <c r="E534" s="15" t="s">
        <v>750</v>
      </c>
      <c r="F534" s="15" t="s">
        <v>88</v>
      </c>
      <c r="G534" s="15" t="s">
        <v>9</v>
      </c>
      <c r="H534" s="15" t="s">
        <v>9</v>
      </c>
      <c r="I534" s="15" t="s">
        <v>750</v>
      </c>
      <c r="J534" s="16" t="s">
        <v>751</v>
      </c>
      <c r="K534" s="16"/>
      <c r="L534" s="16"/>
      <c r="M534" s="16"/>
      <c r="N534" s="15"/>
      <c r="O534" s="15"/>
      <c r="P534" s="15"/>
    </row>
    <row r="535" spans="1:16" s="12" customFormat="1" ht="24.95" customHeight="1">
      <c r="A535" s="15" t="s">
        <v>752</v>
      </c>
      <c r="B535" s="55" t="s">
        <v>1297</v>
      </c>
      <c r="C535" s="15" t="s">
        <v>752</v>
      </c>
      <c r="D535" s="15" t="s">
        <v>8</v>
      </c>
      <c r="E535" s="15" t="s">
        <v>752</v>
      </c>
      <c r="F535" s="15" t="s">
        <v>120</v>
      </c>
      <c r="G535" s="15" t="s">
        <v>9</v>
      </c>
      <c r="H535" s="15" t="s">
        <v>9</v>
      </c>
      <c r="I535" s="15" t="s">
        <v>752</v>
      </c>
      <c r="J535" s="16" t="s">
        <v>753</v>
      </c>
      <c r="K535" s="16"/>
      <c r="L535" s="16"/>
      <c r="M535" s="16"/>
      <c r="N535" s="15"/>
      <c r="O535" s="15"/>
      <c r="P535" s="15"/>
    </row>
    <row r="536" spans="1:16" s="12" customFormat="1" ht="24.95" customHeight="1">
      <c r="A536" s="15" t="s">
        <v>754</v>
      </c>
      <c r="B536" s="55" t="s">
        <v>1297</v>
      </c>
      <c r="C536" s="15" t="s">
        <v>754</v>
      </c>
      <c r="D536" s="15" t="s">
        <v>58</v>
      </c>
      <c r="E536" s="15" t="s">
        <v>754</v>
      </c>
      <c r="F536" s="15" t="s">
        <v>94</v>
      </c>
      <c r="G536" s="15" t="s">
        <v>9</v>
      </c>
      <c r="H536" s="15" t="s">
        <v>9</v>
      </c>
      <c r="I536" s="15" t="s">
        <v>754</v>
      </c>
      <c r="J536" s="16" t="s">
        <v>1030</v>
      </c>
      <c r="K536" s="16"/>
      <c r="L536" s="16"/>
      <c r="M536" s="16"/>
      <c r="N536" s="15"/>
      <c r="O536" s="15"/>
      <c r="P536" s="15"/>
    </row>
    <row r="537" spans="1:16" s="12" customFormat="1" ht="24.95" customHeight="1">
      <c r="A537" s="15" t="s">
        <v>755</v>
      </c>
      <c r="B537" s="55" t="s">
        <v>1297</v>
      </c>
      <c r="C537" s="15" t="s">
        <v>755</v>
      </c>
      <c r="D537" s="15" t="s">
        <v>8</v>
      </c>
      <c r="E537" s="15" t="s">
        <v>755</v>
      </c>
      <c r="F537" s="15" t="s">
        <v>101</v>
      </c>
      <c r="G537" s="15" t="s">
        <v>9</v>
      </c>
      <c r="H537" s="15">
        <v>4</v>
      </c>
      <c r="I537" s="15" t="s">
        <v>755</v>
      </c>
      <c r="J537" s="16" t="s">
        <v>1031</v>
      </c>
      <c r="K537" s="16"/>
      <c r="L537" s="16"/>
      <c r="M537" s="16"/>
      <c r="N537" s="15"/>
      <c r="O537" s="15"/>
      <c r="P537" s="15"/>
    </row>
    <row r="538" spans="1:16" s="12" customFormat="1" ht="24.95" customHeight="1">
      <c r="A538" s="15" t="s">
        <v>756</v>
      </c>
      <c r="B538" s="55" t="s">
        <v>1297</v>
      </c>
      <c r="C538" s="15" t="s">
        <v>756</v>
      </c>
      <c r="D538" s="15" t="s">
        <v>58</v>
      </c>
      <c r="E538" s="15" t="s">
        <v>756</v>
      </c>
      <c r="F538" s="15" t="s">
        <v>169</v>
      </c>
      <c r="G538" s="15" t="s">
        <v>9</v>
      </c>
      <c r="H538" s="15" t="s">
        <v>9</v>
      </c>
      <c r="I538" s="15" t="s">
        <v>756</v>
      </c>
      <c r="J538" s="16" t="s">
        <v>195</v>
      </c>
      <c r="K538" s="16"/>
      <c r="L538" s="16"/>
      <c r="M538" s="16"/>
      <c r="N538" s="15"/>
      <c r="O538" s="15"/>
      <c r="P538" s="15"/>
    </row>
    <row r="539" spans="1:16" s="12" customFormat="1" ht="24.95" customHeight="1">
      <c r="A539" s="15" t="s">
        <v>757</v>
      </c>
      <c r="B539" s="55" t="s">
        <v>1297</v>
      </c>
      <c r="C539" s="15" t="s">
        <v>757</v>
      </c>
      <c r="D539" s="15" t="s">
        <v>58</v>
      </c>
      <c r="E539" s="15" t="s">
        <v>757</v>
      </c>
      <c r="F539" s="15" t="s">
        <v>101</v>
      </c>
      <c r="G539" s="15" t="s">
        <v>9</v>
      </c>
      <c r="H539" s="15" t="s">
        <v>9</v>
      </c>
      <c r="I539" s="15" t="s">
        <v>757</v>
      </c>
      <c r="J539" s="16" t="s">
        <v>1032</v>
      </c>
      <c r="K539" s="16"/>
      <c r="L539" s="16"/>
      <c r="M539" s="16"/>
      <c r="N539" s="15"/>
      <c r="O539" s="15"/>
      <c r="P539" s="15"/>
    </row>
    <row r="540" spans="1:16" ht="30" customHeight="1">
      <c r="A540" s="56" t="s">
        <v>758</v>
      </c>
      <c r="B540" s="55" t="s">
        <v>1297</v>
      </c>
      <c r="C540" s="56" t="s">
        <v>758</v>
      </c>
      <c r="D540" s="55" t="s">
        <v>58</v>
      </c>
      <c r="E540" s="56" t="s">
        <v>758</v>
      </c>
      <c r="F540" s="55">
        <v>0.09</v>
      </c>
      <c r="G540" s="55" t="s">
        <v>9</v>
      </c>
      <c r="H540" s="55" t="s">
        <v>9</v>
      </c>
      <c r="I540" s="56" t="s">
        <v>758</v>
      </c>
      <c r="J540" s="56" t="s">
        <v>759</v>
      </c>
      <c r="K540" s="56" t="s">
        <v>1135</v>
      </c>
      <c r="L540" s="16" t="s">
        <v>1211</v>
      </c>
      <c r="M540" s="56" t="s">
        <v>1231</v>
      </c>
      <c r="N540" s="56" t="s">
        <v>1244</v>
      </c>
      <c r="O540" s="55" t="s">
        <v>1155</v>
      </c>
      <c r="P540" s="55" t="s">
        <v>1212</v>
      </c>
    </row>
    <row r="541" spans="1:16" s="12" customFormat="1" ht="24.95" customHeight="1">
      <c r="A541" s="15" t="s">
        <v>760</v>
      </c>
      <c r="B541" s="55" t="s">
        <v>1297</v>
      </c>
      <c r="C541" s="15" t="s">
        <v>760</v>
      </c>
      <c r="D541" s="15" t="s">
        <v>9</v>
      </c>
      <c r="E541" s="15" t="s">
        <v>760</v>
      </c>
      <c r="F541" s="15" t="s">
        <v>9</v>
      </c>
      <c r="G541" s="15" t="s">
        <v>9</v>
      </c>
      <c r="H541" s="15" t="s">
        <v>9</v>
      </c>
      <c r="I541" s="15" t="s">
        <v>760</v>
      </c>
      <c r="J541" s="16" t="s">
        <v>135</v>
      </c>
      <c r="K541" s="16"/>
      <c r="L541" s="16"/>
      <c r="M541" s="16"/>
      <c r="N541" s="15"/>
      <c r="O541" s="15"/>
      <c r="P541" s="15"/>
    </row>
    <row r="542" spans="1:16" s="12" customFormat="1" ht="24.95" customHeight="1">
      <c r="A542" s="15" t="s">
        <v>761</v>
      </c>
      <c r="B542" s="55" t="s">
        <v>1297</v>
      </c>
      <c r="C542" s="15" t="s">
        <v>761</v>
      </c>
      <c r="D542" s="15" t="s">
        <v>8</v>
      </c>
      <c r="E542" s="15" t="s">
        <v>761</v>
      </c>
      <c r="F542" s="15">
        <v>176</v>
      </c>
      <c r="G542" s="15">
        <v>352</v>
      </c>
      <c r="H542" s="15">
        <v>310</v>
      </c>
      <c r="I542" s="15" t="s">
        <v>761</v>
      </c>
      <c r="J542" s="16" t="s">
        <v>975</v>
      </c>
      <c r="K542" s="16"/>
      <c r="L542" s="16"/>
      <c r="M542" s="16"/>
      <c r="N542" s="15"/>
      <c r="O542" s="15"/>
      <c r="P542" s="15"/>
    </row>
    <row r="543" spans="1:16" s="12" customFormat="1" ht="24.95" customHeight="1">
      <c r="A543" s="15" t="s">
        <v>896</v>
      </c>
      <c r="B543" s="55" t="s">
        <v>1297</v>
      </c>
      <c r="C543" s="15" t="s">
        <v>896</v>
      </c>
      <c r="D543" s="15" t="s">
        <v>8</v>
      </c>
      <c r="E543" s="15" t="s">
        <v>896</v>
      </c>
      <c r="F543" s="15">
        <v>88</v>
      </c>
      <c r="G543" s="15" t="s">
        <v>9</v>
      </c>
      <c r="H543" s="15">
        <v>156</v>
      </c>
      <c r="I543" s="15" t="s">
        <v>896</v>
      </c>
      <c r="J543" s="16" t="s">
        <v>147</v>
      </c>
      <c r="K543" s="16"/>
      <c r="L543" s="16"/>
      <c r="M543" s="16"/>
      <c r="N543" s="15"/>
      <c r="O543" s="15"/>
      <c r="P543" s="15"/>
    </row>
    <row r="544" spans="1:16" s="12" customFormat="1" ht="24.95" customHeight="1">
      <c r="A544" s="15" t="s">
        <v>762</v>
      </c>
      <c r="B544" s="55" t="s">
        <v>1297</v>
      </c>
      <c r="C544" s="15" t="s">
        <v>762</v>
      </c>
      <c r="D544" s="15" t="s">
        <v>8</v>
      </c>
      <c r="E544" s="15" t="s">
        <v>762</v>
      </c>
      <c r="F544" s="15">
        <v>440</v>
      </c>
      <c r="G544" s="15" t="s">
        <v>9</v>
      </c>
      <c r="H544" s="15" t="s">
        <v>9</v>
      </c>
      <c r="I544" s="15" t="s">
        <v>762</v>
      </c>
      <c r="J544" s="16" t="s">
        <v>1033</v>
      </c>
      <c r="K544" s="16"/>
      <c r="L544" s="16"/>
      <c r="M544" s="16"/>
      <c r="N544" s="15"/>
      <c r="O544" s="15"/>
      <c r="P544" s="15"/>
    </row>
    <row r="545" spans="1:16" s="12" customFormat="1" ht="24.95" customHeight="1">
      <c r="A545" s="15" t="s">
        <v>763</v>
      </c>
      <c r="B545" s="55" t="s">
        <v>1297</v>
      </c>
      <c r="C545" s="15" t="s">
        <v>763</v>
      </c>
      <c r="D545" s="15" t="s">
        <v>8</v>
      </c>
      <c r="E545" s="15" t="s">
        <v>763</v>
      </c>
      <c r="F545" s="15" t="s">
        <v>114</v>
      </c>
      <c r="G545" s="15" t="s">
        <v>110</v>
      </c>
      <c r="H545" s="15" t="s">
        <v>880</v>
      </c>
      <c r="I545" s="15" t="s">
        <v>763</v>
      </c>
      <c r="J545" s="16" t="s">
        <v>974</v>
      </c>
      <c r="K545" s="16"/>
      <c r="L545" s="16"/>
      <c r="M545" s="16"/>
      <c r="N545" s="15"/>
      <c r="O545" s="15"/>
      <c r="P545" s="15"/>
    </row>
    <row r="546" spans="1:16" s="12" customFormat="1" ht="24.95" customHeight="1">
      <c r="A546" s="15" t="s">
        <v>764</v>
      </c>
      <c r="B546" s="55" t="s">
        <v>1297</v>
      </c>
      <c r="C546" s="15" t="s">
        <v>764</v>
      </c>
      <c r="D546" s="15" t="s">
        <v>8</v>
      </c>
      <c r="E546" s="15" t="s">
        <v>764</v>
      </c>
      <c r="F546" s="15" t="s">
        <v>92</v>
      </c>
      <c r="G546" s="15" t="s">
        <v>9</v>
      </c>
      <c r="H546" s="15" t="s">
        <v>9</v>
      </c>
      <c r="I546" s="15" t="s">
        <v>764</v>
      </c>
      <c r="J546" s="16" t="s">
        <v>1034</v>
      </c>
      <c r="K546" s="16"/>
      <c r="L546" s="16"/>
      <c r="M546" s="16"/>
      <c r="N546" s="15"/>
      <c r="O546" s="15"/>
      <c r="P546" s="15"/>
    </row>
    <row r="547" spans="1:16" s="12" customFormat="1" ht="24.95" customHeight="1">
      <c r="A547" s="15" t="s">
        <v>765</v>
      </c>
      <c r="B547" s="55" t="s">
        <v>1297</v>
      </c>
      <c r="C547" s="15" t="s">
        <v>765</v>
      </c>
      <c r="D547" s="15" t="s">
        <v>8</v>
      </c>
      <c r="E547" s="15" t="s">
        <v>765</v>
      </c>
      <c r="F547" s="15" t="s">
        <v>104</v>
      </c>
      <c r="G547" s="15" t="s">
        <v>9</v>
      </c>
      <c r="H547" s="15" t="s">
        <v>9</v>
      </c>
      <c r="I547" s="15" t="s">
        <v>765</v>
      </c>
      <c r="J547" s="16" t="s">
        <v>899</v>
      </c>
      <c r="K547" s="16"/>
      <c r="L547" s="16"/>
      <c r="M547" s="16"/>
      <c r="N547" s="15"/>
      <c r="O547" s="15"/>
      <c r="P547" s="15"/>
    </row>
    <row r="548" spans="1:16" s="12" customFormat="1" ht="24.95" customHeight="1">
      <c r="A548" s="15" t="s">
        <v>766</v>
      </c>
      <c r="B548" s="55" t="s">
        <v>1297</v>
      </c>
      <c r="C548" s="15" t="s">
        <v>766</v>
      </c>
      <c r="D548" s="15" t="s">
        <v>58</v>
      </c>
      <c r="E548" s="15" t="s">
        <v>766</v>
      </c>
      <c r="F548" s="15" t="s">
        <v>92</v>
      </c>
      <c r="G548" s="15" t="s">
        <v>9</v>
      </c>
      <c r="H548" s="15" t="s">
        <v>9</v>
      </c>
      <c r="I548" s="15" t="s">
        <v>766</v>
      </c>
      <c r="J548" s="16" t="s">
        <v>195</v>
      </c>
      <c r="K548" s="16"/>
      <c r="L548" s="16"/>
      <c r="M548" s="16"/>
      <c r="N548" s="15"/>
      <c r="O548" s="15"/>
      <c r="P548" s="15"/>
    </row>
    <row r="549" spans="1:16" s="12" customFormat="1" ht="24.95" customHeight="1">
      <c r="A549" s="15" t="s">
        <v>767</v>
      </c>
      <c r="B549" s="55" t="s">
        <v>1297</v>
      </c>
      <c r="C549" s="15" t="s">
        <v>767</v>
      </c>
      <c r="D549" s="15" t="s">
        <v>58</v>
      </c>
      <c r="E549" s="15" t="s">
        <v>767</v>
      </c>
      <c r="F549" s="15" t="s">
        <v>101</v>
      </c>
      <c r="G549" s="15" t="s">
        <v>9</v>
      </c>
      <c r="H549" s="15" t="s">
        <v>9</v>
      </c>
      <c r="I549" s="15" t="s">
        <v>767</v>
      </c>
      <c r="J549" s="16" t="s">
        <v>1035</v>
      </c>
      <c r="K549" s="16"/>
      <c r="L549" s="16"/>
      <c r="M549" s="16"/>
      <c r="N549" s="15"/>
      <c r="O549" s="15"/>
      <c r="P549" s="15"/>
    </row>
    <row r="550" spans="1:16" s="12" customFormat="1" ht="24.95" customHeight="1">
      <c r="A550" s="15" t="s">
        <v>768</v>
      </c>
      <c r="B550" s="55" t="s">
        <v>1297</v>
      </c>
      <c r="C550" s="15" t="s">
        <v>768</v>
      </c>
      <c r="D550" s="15" t="s">
        <v>58</v>
      </c>
      <c r="E550" s="15" t="s">
        <v>768</v>
      </c>
      <c r="F550" s="15">
        <v>176</v>
      </c>
      <c r="G550" s="15" t="s">
        <v>9</v>
      </c>
      <c r="H550" s="15" t="s">
        <v>9</v>
      </c>
      <c r="I550" s="15" t="s">
        <v>768</v>
      </c>
      <c r="J550" s="16" t="s">
        <v>1036</v>
      </c>
      <c r="K550" s="16"/>
      <c r="L550" s="16"/>
      <c r="M550" s="16"/>
      <c r="N550" s="15"/>
      <c r="O550" s="15"/>
      <c r="P550" s="15"/>
    </row>
    <row r="551" spans="1:16" s="12" customFormat="1" ht="24.95" customHeight="1">
      <c r="A551" s="15" t="s">
        <v>769</v>
      </c>
      <c r="B551" s="55" t="s">
        <v>1297</v>
      </c>
      <c r="C551" s="15" t="s">
        <v>769</v>
      </c>
      <c r="D551" s="15" t="s">
        <v>8</v>
      </c>
      <c r="E551" s="15" t="s">
        <v>769</v>
      </c>
      <c r="F551" s="15" t="s">
        <v>88</v>
      </c>
      <c r="G551" s="15" t="s">
        <v>9</v>
      </c>
      <c r="H551" s="15" t="s">
        <v>9</v>
      </c>
      <c r="I551" s="15" t="s">
        <v>769</v>
      </c>
      <c r="J551" s="16" t="s">
        <v>1016</v>
      </c>
      <c r="K551" s="16"/>
      <c r="L551" s="16"/>
      <c r="M551" s="16"/>
      <c r="N551" s="15"/>
      <c r="O551" s="15"/>
      <c r="P551" s="15"/>
    </row>
    <row r="552" spans="1:16" s="12" customFormat="1" ht="24.95" customHeight="1">
      <c r="A552" s="16" t="s">
        <v>770</v>
      </c>
      <c r="B552" s="55" t="s">
        <v>1297</v>
      </c>
      <c r="C552" s="16" t="s">
        <v>770</v>
      </c>
      <c r="D552" s="15" t="s">
        <v>9</v>
      </c>
      <c r="E552" s="16" t="s">
        <v>770</v>
      </c>
      <c r="F552" s="15" t="s">
        <v>9</v>
      </c>
      <c r="G552" s="15" t="s">
        <v>9</v>
      </c>
      <c r="H552" s="15" t="s">
        <v>9</v>
      </c>
      <c r="I552" s="16" t="s">
        <v>770</v>
      </c>
      <c r="J552" s="16" t="s">
        <v>771</v>
      </c>
      <c r="K552" s="16"/>
      <c r="L552" s="16"/>
      <c r="M552" s="16"/>
      <c r="N552" s="15"/>
      <c r="O552" s="15"/>
      <c r="P552" s="15"/>
    </row>
    <row r="553" spans="1:16" s="12" customFormat="1" ht="24.95" customHeight="1">
      <c r="A553" s="15" t="s">
        <v>772</v>
      </c>
      <c r="B553" s="55" t="s">
        <v>1297</v>
      </c>
      <c r="C553" s="15" t="s">
        <v>772</v>
      </c>
      <c r="D553" s="15" t="s">
        <v>8</v>
      </c>
      <c r="E553" s="15" t="s">
        <v>772</v>
      </c>
      <c r="F553" s="15" t="s">
        <v>99</v>
      </c>
      <c r="G553" s="15" t="s">
        <v>104</v>
      </c>
      <c r="H553" s="15" t="s">
        <v>9</v>
      </c>
      <c r="I553" s="15" t="s">
        <v>772</v>
      </c>
      <c r="J553" s="16" t="s">
        <v>903</v>
      </c>
      <c r="K553" s="16"/>
      <c r="L553" s="16"/>
      <c r="M553" s="16"/>
      <c r="N553" s="15"/>
      <c r="O553" s="15"/>
      <c r="P553" s="15"/>
    </row>
    <row r="554" spans="1:16" s="12" customFormat="1" ht="24.95" customHeight="1">
      <c r="A554" s="15" t="s">
        <v>773</v>
      </c>
      <c r="B554" s="55" t="s">
        <v>1297</v>
      </c>
      <c r="C554" s="15" t="s">
        <v>773</v>
      </c>
      <c r="D554" s="15" t="s">
        <v>58</v>
      </c>
      <c r="E554" s="15" t="s">
        <v>773</v>
      </c>
      <c r="F554" s="15" t="s">
        <v>101</v>
      </c>
      <c r="G554" s="15" t="s">
        <v>9</v>
      </c>
      <c r="H554" s="15" t="s">
        <v>9</v>
      </c>
      <c r="I554" s="15" t="s">
        <v>773</v>
      </c>
      <c r="J554" s="16" t="s">
        <v>1037</v>
      </c>
      <c r="K554" s="16"/>
      <c r="L554" s="16"/>
      <c r="M554" s="16"/>
      <c r="N554" s="15"/>
      <c r="O554" s="15"/>
      <c r="P554" s="15"/>
    </row>
    <row r="555" spans="1:16" s="12" customFormat="1" ht="24.95" customHeight="1">
      <c r="A555" s="15" t="s">
        <v>774</v>
      </c>
      <c r="B555" s="55" t="s">
        <v>1297</v>
      </c>
      <c r="C555" s="15" t="s">
        <v>774</v>
      </c>
      <c r="D555" s="15" t="s">
        <v>58</v>
      </c>
      <c r="E555" s="15" t="s">
        <v>774</v>
      </c>
      <c r="F555" s="15" t="s">
        <v>94</v>
      </c>
      <c r="G555" s="15" t="s">
        <v>9</v>
      </c>
      <c r="H555" s="15" t="s">
        <v>9</v>
      </c>
      <c r="I555" s="15" t="s">
        <v>774</v>
      </c>
      <c r="J555" s="16" t="s">
        <v>195</v>
      </c>
      <c r="K555" s="16"/>
      <c r="L555" s="16"/>
      <c r="M555" s="16"/>
      <c r="N555" s="15"/>
      <c r="O555" s="15"/>
      <c r="P555" s="15"/>
    </row>
    <row r="556" spans="1:16" s="12" customFormat="1" ht="24.95" customHeight="1">
      <c r="A556" s="15" t="s">
        <v>775</v>
      </c>
      <c r="B556" s="55" t="s">
        <v>1297</v>
      </c>
      <c r="C556" s="15" t="s">
        <v>775</v>
      </c>
      <c r="D556" s="15" t="s">
        <v>58</v>
      </c>
      <c r="E556" s="15" t="s">
        <v>775</v>
      </c>
      <c r="F556" s="15" t="s">
        <v>94</v>
      </c>
      <c r="G556" s="15" t="s">
        <v>9</v>
      </c>
      <c r="H556" s="15" t="s">
        <v>9</v>
      </c>
      <c r="I556" s="15" t="s">
        <v>775</v>
      </c>
      <c r="J556" s="16" t="s">
        <v>975</v>
      </c>
      <c r="K556" s="16"/>
      <c r="L556" s="16"/>
      <c r="M556" s="16"/>
      <c r="N556" s="15"/>
      <c r="O556" s="15"/>
      <c r="P556" s="15"/>
    </row>
    <row r="557" spans="1:16" s="12" customFormat="1" ht="24.95" customHeight="1">
      <c r="A557" s="15" t="s">
        <v>776</v>
      </c>
      <c r="B557" s="55" t="s">
        <v>1297</v>
      </c>
      <c r="C557" s="15" t="s">
        <v>776</v>
      </c>
      <c r="D557" s="15" t="s">
        <v>58</v>
      </c>
      <c r="E557" s="15" t="s">
        <v>776</v>
      </c>
      <c r="F557" s="15" t="s">
        <v>99</v>
      </c>
      <c r="G557" s="15" t="s">
        <v>9</v>
      </c>
      <c r="H557" s="15" t="s">
        <v>9</v>
      </c>
      <c r="I557" s="15" t="s">
        <v>776</v>
      </c>
      <c r="J557" s="16" t="s">
        <v>777</v>
      </c>
      <c r="K557" s="16"/>
      <c r="L557" s="16"/>
      <c r="M557" s="16"/>
      <c r="N557" s="15"/>
      <c r="O557" s="15"/>
      <c r="P557" s="15"/>
    </row>
    <row r="558" spans="1:16" s="12" customFormat="1" ht="24.95" customHeight="1">
      <c r="A558" s="15" t="s">
        <v>778</v>
      </c>
      <c r="B558" s="55" t="s">
        <v>1297</v>
      </c>
      <c r="C558" s="15" t="s">
        <v>778</v>
      </c>
      <c r="D558" s="15" t="s">
        <v>8</v>
      </c>
      <c r="E558" s="15" t="s">
        <v>778</v>
      </c>
      <c r="F558" s="15" t="s">
        <v>149</v>
      </c>
      <c r="G558" s="15" t="s">
        <v>9</v>
      </c>
      <c r="H558" s="15" t="s">
        <v>9</v>
      </c>
      <c r="I558" s="15" t="s">
        <v>778</v>
      </c>
      <c r="J558" s="16" t="s">
        <v>926</v>
      </c>
      <c r="K558" s="16"/>
      <c r="L558" s="16"/>
      <c r="M558" s="16"/>
      <c r="N558" s="15"/>
      <c r="O558" s="15"/>
      <c r="P558" s="15"/>
    </row>
    <row r="559" spans="1:16" s="12" customFormat="1" ht="24.95" customHeight="1">
      <c r="A559" s="15" t="s">
        <v>779</v>
      </c>
      <c r="B559" s="55" t="s">
        <v>1297</v>
      </c>
      <c r="C559" s="15" t="s">
        <v>779</v>
      </c>
      <c r="D559" s="15" t="s">
        <v>58</v>
      </c>
      <c r="E559" s="15" t="s">
        <v>779</v>
      </c>
      <c r="F559" s="15" t="s">
        <v>114</v>
      </c>
      <c r="G559" s="15" t="s">
        <v>9</v>
      </c>
      <c r="H559" s="15" t="s">
        <v>9</v>
      </c>
      <c r="I559" s="15" t="s">
        <v>779</v>
      </c>
      <c r="J559" s="16" t="s">
        <v>147</v>
      </c>
      <c r="K559" s="16"/>
      <c r="L559" s="16"/>
      <c r="M559" s="16"/>
      <c r="N559" s="15"/>
      <c r="O559" s="15"/>
      <c r="P559" s="15"/>
    </row>
    <row r="560" spans="1:16" s="12" customFormat="1" ht="24.95" customHeight="1">
      <c r="A560" s="15" t="s">
        <v>780</v>
      </c>
      <c r="B560" s="55" t="s">
        <v>1297</v>
      </c>
      <c r="C560" s="15" t="s">
        <v>780</v>
      </c>
      <c r="D560" s="15" t="s">
        <v>58</v>
      </c>
      <c r="E560" s="15" t="s">
        <v>780</v>
      </c>
      <c r="F560" s="15" t="s">
        <v>99</v>
      </c>
      <c r="G560" s="15" t="s">
        <v>9</v>
      </c>
      <c r="H560" s="15" t="s">
        <v>9</v>
      </c>
      <c r="I560" s="15" t="s">
        <v>780</v>
      </c>
      <c r="J560" s="16" t="s">
        <v>1025</v>
      </c>
      <c r="K560" s="16"/>
      <c r="L560" s="16"/>
      <c r="M560" s="16"/>
      <c r="N560" s="15"/>
      <c r="O560" s="15"/>
      <c r="P560" s="15"/>
    </row>
    <row r="561" spans="1:16" ht="39.950000000000003" customHeight="1">
      <c r="A561" s="69" t="s">
        <v>1052</v>
      </c>
      <c r="B561" s="55" t="s">
        <v>1297</v>
      </c>
      <c r="C561" s="69" t="s">
        <v>1052</v>
      </c>
      <c r="D561" s="55" t="s">
        <v>58</v>
      </c>
      <c r="E561" s="69" t="s">
        <v>1052</v>
      </c>
      <c r="F561" s="71" t="s">
        <v>9</v>
      </c>
      <c r="G561" s="71" t="s">
        <v>9</v>
      </c>
      <c r="H561" s="71" t="s">
        <v>9</v>
      </c>
      <c r="I561" s="69" t="s">
        <v>1052</v>
      </c>
      <c r="J561" s="62" t="s">
        <v>1053</v>
      </c>
      <c r="K561" s="56" t="s">
        <v>1135</v>
      </c>
      <c r="L561" s="15" t="s">
        <v>1213</v>
      </c>
      <c r="M561" s="56" t="s">
        <v>1247</v>
      </c>
      <c r="N561" s="56" t="s">
        <v>1214</v>
      </c>
      <c r="O561" s="55">
        <v>1.7</v>
      </c>
      <c r="P561" s="55" t="s">
        <v>1215</v>
      </c>
    </row>
    <row r="562" spans="1:16" ht="39.950000000000003" customHeight="1">
      <c r="A562" s="56" t="s">
        <v>1300</v>
      </c>
      <c r="B562" s="55" t="s">
        <v>1299</v>
      </c>
      <c r="C562" s="56" t="s">
        <v>1300</v>
      </c>
      <c r="D562" s="55" t="s">
        <v>58</v>
      </c>
      <c r="E562" s="56" t="s">
        <v>1300</v>
      </c>
      <c r="F562" s="55">
        <v>0.02</v>
      </c>
      <c r="G562" s="55" t="s">
        <v>9</v>
      </c>
      <c r="H562" s="55" t="s">
        <v>9</v>
      </c>
      <c r="I562" s="56" t="s">
        <v>1300</v>
      </c>
      <c r="J562" s="56" t="s">
        <v>781</v>
      </c>
      <c r="K562" s="56" t="s">
        <v>1135</v>
      </c>
      <c r="L562" s="16"/>
      <c r="M562" s="56" t="s">
        <v>1247</v>
      </c>
      <c r="N562" s="56" t="s">
        <v>1214</v>
      </c>
      <c r="O562" s="55">
        <v>1.7</v>
      </c>
      <c r="P562" s="55" t="s">
        <v>1215</v>
      </c>
    </row>
    <row r="563" spans="1:16" s="12" customFormat="1" ht="24.95" customHeight="1">
      <c r="A563" s="15" t="s">
        <v>782</v>
      </c>
      <c r="B563" s="55" t="s">
        <v>1297</v>
      </c>
      <c r="C563" s="15" t="s">
        <v>782</v>
      </c>
      <c r="D563" s="15" t="s">
        <v>58</v>
      </c>
      <c r="E563" s="15" t="s">
        <v>782</v>
      </c>
      <c r="F563" s="15">
        <v>0.88</v>
      </c>
      <c r="G563" s="15" t="s">
        <v>9</v>
      </c>
      <c r="H563" s="15" t="s">
        <v>9</v>
      </c>
      <c r="I563" s="15" t="s">
        <v>782</v>
      </c>
      <c r="J563" s="16" t="s">
        <v>899</v>
      </c>
      <c r="K563" s="16"/>
      <c r="L563" s="16"/>
      <c r="M563" s="16"/>
      <c r="N563" s="15"/>
      <c r="O563" s="15"/>
      <c r="P563" s="15"/>
    </row>
    <row r="564" spans="1:16" s="12" customFormat="1" ht="24.95" customHeight="1">
      <c r="A564" s="15" t="s">
        <v>783</v>
      </c>
      <c r="B564" s="55" t="s">
        <v>1297</v>
      </c>
      <c r="C564" s="15" t="s">
        <v>783</v>
      </c>
      <c r="D564" s="15" t="s">
        <v>8</v>
      </c>
      <c r="E564" s="15" t="s">
        <v>783</v>
      </c>
      <c r="F564" s="15">
        <v>8.8000000000000007</v>
      </c>
      <c r="G564" s="15" t="s">
        <v>9</v>
      </c>
      <c r="H564" s="15" t="s">
        <v>9</v>
      </c>
      <c r="I564" s="15" t="s">
        <v>783</v>
      </c>
      <c r="J564" s="16" t="s">
        <v>1038</v>
      </c>
      <c r="K564" s="16"/>
      <c r="L564" s="16"/>
      <c r="M564" s="16"/>
      <c r="N564" s="15"/>
      <c r="O564" s="15"/>
      <c r="P564" s="15"/>
    </row>
    <row r="565" spans="1:16" s="12" customFormat="1" ht="24.95" customHeight="1">
      <c r="A565" s="15" t="s">
        <v>784</v>
      </c>
      <c r="B565" s="55" t="s">
        <v>1297</v>
      </c>
      <c r="C565" s="15" t="s">
        <v>784</v>
      </c>
      <c r="D565" s="15" t="s">
        <v>8</v>
      </c>
      <c r="E565" s="15" t="s">
        <v>784</v>
      </c>
      <c r="F565" s="15" t="s">
        <v>101</v>
      </c>
      <c r="G565" s="15" t="s">
        <v>9</v>
      </c>
      <c r="H565" s="15" t="s">
        <v>9</v>
      </c>
      <c r="I565" s="15" t="s">
        <v>784</v>
      </c>
      <c r="J565" s="16" t="s">
        <v>957</v>
      </c>
      <c r="K565" s="16"/>
      <c r="L565" s="16"/>
      <c r="M565" s="16"/>
      <c r="N565" s="15"/>
      <c r="O565" s="15"/>
      <c r="P565" s="15"/>
    </row>
    <row r="566" spans="1:16" s="12" customFormat="1" ht="24.95" customHeight="1">
      <c r="A566" s="15" t="s">
        <v>785</v>
      </c>
      <c r="B566" s="55" t="s">
        <v>1297</v>
      </c>
      <c r="C566" s="15" t="s">
        <v>785</v>
      </c>
      <c r="D566" s="15" t="s">
        <v>58</v>
      </c>
      <c r="E566" s="15" t="s">
        <v>785</v>
      </c>
      <c r="F566" s="15" t="s">
        <v>9</v>
      </c>
      <c r="G566" s="15" t="s">
        <v>786</v>
      </c>
      <c r="H566" s="15" t="s">
        <v>9</v>
      </c>
      <c r="I566" s="15" t="s">
        <v>785</v>
      </c>
      <c r="J566" s="16" t="s">
        <v>1039</v>
      </c>
      <c r="K566" s="16"/>
      <c r="L566" s="16"/>
      <c r="M566" s="16"/>
      <c r="N566" s="15"/>
      <c r="O566" s="15"/>
      <c r="P566" s="15"/>
    </row>
    <row r="567" spans="1:16" s="12" customFormat="1" ht="24.95" customHeight="1">
      <c r="A567" s="15" t="s">
        <v>787</v>
      </c>
      <c r="B567" s="55" t="s">
        <v>1297</v>
      </c>
      <c r="C567" s="15" t="s">
        <v>787</v>
      </c>
      <c r="D567" s="15" t="s">
        <v>58</v>
      </c>
      <c r="E567" s="15" t="s">
        <v>787</v>
      </c>
      <c r="F567" s="15" t="s">
        <v>99</v>
      </c>
      <c r="G567" s="15" t="s">
        <v>9</v>
      </c>
      <c r="H567" s="15" t="s">
        <v>9</v>
      </c>
      <c r="I567" s="15" t="s">
        <v>787</v>
      </c>
      <c r="J567" s="16" t="s">
        <v>9</v>
      </c>
      <c r="K567" s="16"/>
      <c r="L567" s="16"/>
      <c r="M567" s="16"/>
      <c r="N567" s="15"/>
      <c r="O567" s="15"/>
      <c r="P567" s="15"/>
    </row>
    <row r="568" spans="1:16" s="12" customFormat="1" ht="24.95" customHeight="1">
      <c r="A568" s="15" t="s">
        <v>788</v>
      </c>
      <c r="B568" s="55" t="s">
        <v>1297</v>
      </c>
      <c r="C568" s="15" t="s">
        <v>788</v>
      </c>
      <c r="D568" s="15" t="s">
        <v>58</v>
      </c>
      <c r="E568" s="15" t="s">
        <v>788</v>
      </c>
      <c r="F568" s="15" t="s">
        <v>94</v>
      </c>
      <c r="G568" s="15" t="s">
        <v>9</v>
      </c>
      <c r="H568" s="15" t="s">
        <v>9</v>
      </c>
      <c r="I568" s="15" t="s">
        <v>788</v>
      </c>
      <c r="J568" s="16" t="s">
        <v>244</v>
      </c>
      <c r="K568" s="16"/>
      <c r="L568" s="16"/>
      <c r="M568" s="16"/>
      <c r="N568" s="15"/>
      <c r="O568" s="15"/>
      <c r="P568" s="15"/>
    </row>
    <row r="569" spans="1:16" s="12" customFormat="1" ht="24.95" customHeight="1">
      <c r="A569" s="15" t="s">
        <v>789</v>
      </c>
      <c r="B569" s="55" t="s">
        <v>1297</v>
      </c>
      <c r="C569" s="15" t="s">
        <v>789</v>
      </c>
      <c r="D569" s="15" t="s">
        <v>58</v>
      </c>
      <c r="E569" s="15" t="s">
        <v>789</v>
      </c>
      <c r="F569" s="15" t="s">
        <v>99</v>
      </c>
      <c r="G569" s="15" t="s">
        <v>9</v>
      </c>
      <c r="H569" s="15" t="s">
        <v>9</v>
      </c>
      <c r="I569" s="15" t="s">
        <v>789</v>
      </c>
      <c r="J569" s="16" t="s">
        <v>790</v>
      </c>
      <c r="K569" s="16"/>
      <c r="L569" s="16"/>
      <c r="M569" s="16"/>
      <c r="N569" s="15"/>
      <c r="O569" s="15"/>
      <c r="P569" s="15"/>
    </row>
    <row r="570" spans="1:16" s="12" customFormat="1" ht="24.95" customHeight="1">
      <c r="A570" s="15" t="s">
        <v>791</v>
      </c>
      <c r="B570" s="55" t="s">
        <v>1297</v>
      </c>
      <c r="C570" s="15" t="s">
        <v>791</v>
      </c>
      <c r="D570" s="15" t="s">
        <v>8</v>
      </c>
      <c r="E570" s="15" t="s">
        <v>791</v>
      </c>
      <c r="F570" s="15" t="s">
        <v>88</v>
      </c>
      <c r="G570" s="15" t="s">
        <v>9</v>
      </c>
      <c r="H570" s="15" t="s">
        <v>876</v>
      </c>
      <c r="I570" s="15" t="s">
        <v>791</v>
      </c>
      <c r="J570" s="16" t="s">
        <v>903</v>
      </c>
      <c r="K570" s="16"/>
      <c r="L570" s="16"/>
      <c r="M570" s="16"/>
      <c r="N570" s="15"/>
      <c r="O570" s="15"/>
      <c r="P570" s="15"/>
    </row>
    <row r="571" spans="1:16" s="12" customFormat="1" ht="24.95" customHeight="1">
      <c r="A571" s="15" t="s">
        <v>792</v>
      </c>
      <c r="B571" s="55" t="s">
        <v>1297</v>
      </c>
      <c r="C571" s="15" t="s">
        <v>792</v>
      </c>
      <c r="D571" s="15" t="s">
        <v>8</v>
      </c>
      <c r="E571" s="15" t="s">
        <v>792</v>
      </c>
      <c r="F571" s="15" t="s">
        <v>94</v>
      </c>
      <c r="G571" s="15" t="s">
        <v>9</v>
      </c>
      <c r="H571" s="15" t="s">
        <v>9</v>
      </c>
      <c r="I571" s="15" t="s">
        <v>792</v>
      </c>
      <c r="J571" s="16" t="s">
        <v>140</v>
      </c>
      <c r="K571" s="16"/>
      <c r="L571" s="16"/>
      <c r="M571" s="16"/>
      <c r="N571" s="15"/>
      <c r="O571" s="15"/>
      <c r="P571" s="15"/>
    </row>
    <row r="572" spans="1:16" s="12" customFormat="1" ht="24.95" customHeight="1">
      <c r="A572" s="15" t="s">
        <v>793</v>
      </c>
      <c r="B572" s="55" t="s">
        <v>1297</v>
      </c>
      <c r="C572" s="15" t="s">
        <v>793</v>
      </c>
      <c r="D572" s="15" t="s">
        <v>8</v>
      </c>
      <c r="E572" s="15" t="s">
        <v>793</v>
      </c>
      <c r="F572" s="15" t="s">
        <v>101</v>
      </c>
      <c r="G572" s="15" t="s">
        <v>94</v>
      </c>
      <c r="H572" s="15" t="s">
        <v>9</v>
      </c>
      <c r="I572" s="15" t="s">
        <v>793</v>
      </c>
      <c r="J572" s="16" t="s">
        <v>913</v>
      </c>
      <c r="K572" s="16"/>
      <c r="L572" s="16"/>
      <c r="M572" s="16"/>
      <c r="N572" s="15"/>
      <c r="O572" s="15"/>
      <c r="P572" s="15"/>
    </row>
    <row r="573" spans="1:16" s="12" customFormat="1" ht="24.95" customHeight="1">
      <c r="A573" s="15" t="s">
        <v>794</v>
      </c>
      <c r="B573" s="55" t="s">
        <v>1297</v>
      </c>
      <c r="C573" s="15" t="s">
        <v>794</v>
      </c>
      <c r="D573" s="15" t="s">
        <v>8</v>
      </c>
      <c r="E573" s="15" t="s">
        <v>794</v>
      </c>
      <c r="F573" s="15" t="s">
        <v>99</v>
      </c>
      <c r="G573" s="15" t="s">
        <v>9</v>
      </c>
      <c r="H573" s="15" t="s">
        <v>9</v>
      </c>
      <c r="I573" s="15" t="s">
        <v>794</v>
      </c>
      <c r="J573" s="16" t="s">
        <v>899</v>
      </c>
      <c r="K573" s="16"/>
      <c r="L573" s="16"/>
      <c r="M573" s="16"/>
      <c r="N573" s="15"/>
      <c r="O573" s="15"/>
      <c r="P573" s="15"/>
    </row>
    <row r="574" spans="1:16" s="12" customFormat="1" ht="24.95" customHeight="1">
      <c r="A574" s="15" t="s">
        <v>795</v>
      </c>
      <c r="B574" s="55" t="s">
        <v>1297</v>
      </c>
      <c r="C574" s="15" t="s">
        <v>795</v>
      </c>
      <c r="D574" s="15" t="s">
        <v>58</v>
      </c>
      <c r="E574" s="15" t="s">
        <v>795</v>
      </c>
      <c r="F574" s="15" t="s">
        <v>94</v>
      </c>
      <c r="G574" s="15" t="s">
        <v>9</v>
      </c>
      <c r="H574" s="15" t="s">
        <v>9</v>
      </c>
      <c r="I574" s="15" t="s">
        <v>795</v>
      </c>
      <c r="J574" s="16" t="s">
        <v>425</v>
      </c>
      <c r="K574" s="16"/>
      <c r="L574" s="16"/>
      <c r="M574" s="16"/>
      <c r="N574" s="15"/>
      <c r="O574" s="15"/>
      <c r="P574" s="15"/>
    </row>
    <row r="575" spans="1:16" s="12" customFormat="1" ht="24.95" customHeight="1">
      <c r="A575" s="15" t="s">
        <v>796</v>
      </c>
      <c r="B575" s="55" t="s">
        <v>1297</v>
      </c>
      <c r="C575" s="15" t="s">
        <v>796</v>
      </c>
      <c r="D575" s="15" t="s">
        <v>58</v>
      </c>
      <c r="E575" s="15" t="s">
        <v>796</v>
      </c>
      <c r="F575" s="15" t="s">
        <v>88</v>
      </c>
      <c r="G575" s="15" t="s">
        <v>9</v>
      </c>
      <c r="H575" s="15" t="s">
        <v>9</v>
      </c>
      <c r="I575" s="15" t="s">
        <v>796</v>
      </c>
      <c r="J575" s="16" t="s">
        <v>195</v>
      </c>
      <c r="K575" s="16"/>
      <c r="L575" s="16"/>
      <c r="M575" s="16"/>
      <c r="N575" s="15"/>
      <c r="O575" s="15"/>
      <c r="P575" s="15"/>
    </row>
    <row r="576" spans="1:16" s="12" customFormat="1" ht="24.95" customHeight="1">
      <c r="A576" s="15" t="s">
        <v>797</v>
      </c>
      <c r="B576" s="55" t="s">
        <v>1297</v>
      </c>
      <c r="C576" s="15" t="s">
        <v>797</v>
      </c>
      <c r="D576" s="15" t="s">
        <v>58</v>
      </c>
      <c r="E576" s="15" t="s">
        <v>797</v>
      </c>
      <c r="F576" s="15" t="s">
        <v>88</v>
      </c>
      <c r="G576" s="15" t="s">
        <v>9</v>
      </c>
      <c r="H576" s="15" t="s">
        <v>9</v>
      </c>
      <c r="I576" s="15" t="s">
        <v>797</v>
      </c>
      <c r="J576" s="16" t="s">
        <v>195</v>
      </c>
      <c r="K576" s="16"/>
      <c r="L576" s="16"/>
      <c r="M576" s="16"/>
      <c r="N576" s="15"/>
      <c r="O576" s="15"/>
      <c r="P576" s="15"/>
    </row>
    <row r="577" spans="1:16" s="12" customFormat="1" ht="24.95" customHeight="1">
      <c r="A577" s="15" t="s">
        <v>798</v>
      </c>
      <c r="B577" s="55" t="s">
        <v>1297</v>
      </c>
      <c r="C577" s="15" t="s">
        <v>798</v>
      </c>
      <c r="D577" s="15" t="s">
        <v>58</v>
      </c>
      <c r="E577" s="15" t="s">
        <v>798</v>
      </c>
      <c r="F577" s="15" t="s">
        <v>99</v>
      </c>
      <c r="G577" s="15" t="s">
        <v>9</v>
      </c>
      <c r="H577" s="15" t="s">
        <v>9</v>
      </c>
      <c r="I577" s="15" t="s">
        <v>798</v>
      </c>
      <c r="J577" s="16" t="s">
        <v>434</v>
      </c>
      <c r="K577" s="16"/>
      <c r="L577" s="16"/>
      <c r="M577" s="16"/>
      <c r="N577" s="15"/>
      <c r="O577" s="15"/>
      <c r="P577" s="15"/>
    </row>
    <row r="578" spans="1:16" s="12" customFormat="1" ht="24.95" customHeight="1">
      <c r="A578" s="15" t="s">
        <v>799</v>
      </c>
      <c r="B578" s="55" t="s">
        <v>1297</v>
      </c>
      <c r="C578" s="15" t="s">
        <v>799</v>
      </c>
      <c r="D578" s="15" t="s">
        <v>58</v>
      </c>
      <c r="E578" s="15" t="s">
        <v>799</v>
      </c>
      <c r="F578" s="15" t="s">
        <v>86</v>
      </c>
      <c r="G578" s="15" t="s">
        <v>9</v>
      </c>
      <c r="H578" s="15" t="s">
        <v>9</v>
      </c>
      <c r="I578" s="15" t="s">
        <v>799</v>
      </c>
      <c r="J578" s="16" t="s">
        <v>525</v>
      </c>
      <c r="K578" s="16"/>
      <c r="L578" s="16"/>
      <c r="M578" s="16"/>
      <c r="N578" s="15"/>
      <c r="O578" s="15"/>
      <c r="P578" s="15"/>
    </row>
    <row r="579" spans="1:16" s="12" customFormat="1" ht="24.95" customHeight="1">
      <c r="A579" s="15" t="s">
        <v>800</v>
      </c>
      <c r="B579" s="55" t="s">
        <v>1297</v>
      </c>
      <c r="C579" s="15" t="s">
        <v>800</v>
      </c>
      <c r="D579" s="15" t="s">
        <v>58</v>
      </c>
      <c r="E579" s="15" t="s">
        <v>800</v>
      </c>
      <c r="F579" s="15" t="s">
        <v>327</v>
      </c>
      <c r="G579" s="15" t="s">
        <v>9</v>
      </c>
      <c r="H579" s="15" t="s">
        <v>9</v>
      </c>
      <c r="I579" s="15" t="s">
        <v>800</v>
      </c>
      <c r="J579" s="16" t="s">
        <v>801</v>
      </c>
      <c r="K579" s="16"/>
      <c r="L579" s="16"/>
      <c r="M579" s="16"/>
      <c r="N579" s="15"/>
      <c r="O579" s="15"/>
      <c r="P579" s="15"/>
    </row>
    <row r="580" spans="1:16" s="12" customFormat="1" ht="24.95" customHeight="1">
      <c r="A580" s="15" t="s">
        <v>802</v>
      </c>
      <c r="B580" s="55" t="s">
        <v>1297</v>
      </c>
      <c r="C580" s="15" t="s">
        <v>802</v>
      </c>
      <c r="D580" s="15" t="s">
        <v>58</v>
      </c>
      <c r="E580" s="15" t="s">
        <v>802</v>
      </c>
      <c r="F580" s="15" t="s">
        <v>99</v>
      </c>
      <c r="G580" s="15" t="s">
        <v>9</v>
      </c>
      <c r="H580" s="15" t="s">
        <v>9</v>
      </c>
      <c r="I580" s="15" t="s">
        <v>802</v>
      </c>
      <c r="J580" s="16" t="s">
        <v>727</v>
      </c>
      <c r="K580" s="16"/>
      <c r="L580" s="16"/>
      <c r="M580" s="16"/>
      <c r="N580" s="15"/>
      <c r="O580" s="15"/>
      <c r="P580" s="15"/>
    </row>
    <row r="581" spans="1:16" s="12" customFormat="1" ht="24.95" customHeight="1">
      <c r="A581" s="15" t="s">
        <v>803</v>
      </c>
      <c r="B581" s="55" t="s">
        <v>1297</v>
      </c>
      <c r="C581" s="15" t="s">
        <v>803</v>
      </c>
      <c r="D581" s="15" t="s">
        <v>58</v>
      </c>
      <c r="E581" s="15" t="s">
        <v>803</v>
      </c>
      <c r="F581" s="15" t="s">
        <v>88</v>
      </c>
      <c r="G581" s="15" t="s">
        <v>9</v>
      </c>
      <c r="H581" s="15" t="s">
        <v>9</v>
      </c>
      <c r="I581" s="15" t="s">
        <v>803</v>
      </c>
      <c r="J581" s="16" t="s">
        <v>804</v>
      </c>
      <c r="K581" s="16"/>
      <c r="L581" s="16"/>
      <c r="M581" s="16"/>
      <c r="N581" s="15"/>
      <c r="O581" s="15"/>
      <c r="P581" s="15"/>
    </row>
    <row r="582" spans="1:16" s="12" customFormat="1" ht="24.95" customHeight="1">
      <c r="A582" s="15" t="s">
        <v>805</v>
      </c>
      <c r="B582" s="55" t="s">
        <v>1297</v>
      </c>
      <c r="C582" s="15" t="s">
        <v>805</v>
      </c>
      <c r="D582" s="15" t="s">
        <v>58</v>
      </c>
      <c r="E582" s="15" t="s">
        <v>805</v>
      </c>
      <c r="F582" s="15" t="s">
        <v>101</v>
      </c>
      <c r="G582" s="15" t="s">
        <v>9</v>
      </c>
      <c r="H582" s="15" t="s">
        <v>9</v>
      </c>
      <c r="I582" s="15" t="s">
        <v>805</v>
      </c>
      <c r="J582" s="16" t="s">
        <v>195</v>
      </c>
      <c r="K582" s="16"/>
      <c r="L582" s="16"/>
      <c r="M582" s="16"/>
      <c r="N582" s="15"/>
      <c r="O582" s="15"/>
      <c r="P582" s="15"/>
    </row>
    <row r="583" spans="1:16" s="12" customFormat="1" ht="24.95" customHeight="1">
      <c r="A583" s="15" t="s">
        <v>806</v>
      </c>
      <c r="B583" s="55" t="s">
        <v>1297</v>
      </c>
      <c r="C583" s="15" t="s">
        <v>806</v>
      </c>
      <c r="D583" s="15" t="s">
        <v>58</v>
      </c>
      <c r="E583" s="15" t="s">
        <v>806</v>
      </c>
      <c r="F583" s="15" t="s">
        <v>169</v>
      </c>
      <c r="G583" s="15" t="s">
        <v>9</v>
      </c>
      <c r="H583" s="15" t="s">
        <v>9</v>
      </c>
      <c r="I583" s="15" t="s">
        <v>806</v>
      </c>
      <c r="J583" s="16" t="s">
        <v>195</v>
      </c>
      <c r="K583" s="16"/>
      <c r="L583" s="16"/>
      <c r="M583" s="16"/>
      <c r="N583" s="15"/>
      <c r="O583" s="15"/>
      <c r="P583" s="15"/>
    </row>
    <row r="584" spans="1:16" s="12" customFormat="1" ht="24.95" customHeight="1">
      <c r="A584" s="15" t="s">
        <v>807</v>
      </c>
      <c r="B584" s="55" t="s">
        <v>1297</v>
      </c>
      <c r="C584" s="15" t="s">
        <v>807</v>
      </c>
      <c r="D584" s="15" t="s">
        <v>8</v>
      </c>
      <c r="E584" s="15" t="s">
        <v>807</v>
      </c>
      <c r="F584" s="15" t="s">
        <v>104</v>
      </c>
      <c r="G584" s="15" t="s">
        <v>9</v>
      </c>
      <c r="H584" s="15" t="s">
        <v>9</v>
      </c>
      <c r="I584" s="15" t="s">
        <v>807</v>
      </c>
      <c r="J584" s="16" t="s">
        <v>1018</v>
      </c>
      <c r="K584" s="16"/>
      <c r="L584" s="16"/>
      <c r="M584" s="16"/>
      <c r="N584" s="15"/>
      <c r="O584" s="15"/>
      <c r="P584" s="15"/>
    </row>
    <row r="585" spans="1:16" s="12" customFormat="1" ht="24.95" customHeight="1">
      <c r="A585" s="15" t="s">
        <v>808</v>
      </c>
      <c r="B585" s="55" t="s">
        <v>1297</v>
      </c>
      <c r="C585" s="15" t="s">
        <v>808</v>
      </c>
      <c r="D585" s="15" t="s">
        <v>58</v>
      </c>
      <c r="E585" s="15" t="s">
        <v>808</v>
      </c>
      <c r="F585" s="15" t="s">
        <v>9</v>
      </c>
      <c r="G585" s="15" t="s">
        <v>94</v>
      </c>
      <c r="H585" s="15" t="s">
        <v>9</v>
      </c>
      <c r="I585" s="15" t="s">
        <v>808</v>
      </c>
      <c r="J585" s="16" t="s">
        <v>147</v>
      </c>
      <c r="K585" s="16"/>
      <c r="L585" s="16"/>
      <c r="M585" s="16"/>
      <c r="N585" s="15"/>
      <c r="O585" s="15"/>
      <c r="P585" s="15"/>
    </row>
    <row r="586" spans="1:16" s="12" customFormat="1" ht="24.95" customHeight="1">
      <c r="A586" s="15" t="s">
        <v>809</v>
      </c>
      <c r="B586" s="55" t="s">
        <v>1297</v>
      </c>
      <c r="C586" s="15" t="s">
        <v>809</v>
      </c>
      <c r="D586" s="15" t="s">
        <v>8</v>
      </c>
      <c r="E586" s="15" t="s">
        <v>809</v>
      </c>
      <c r="F586" s="15" t="s">
        <v>92</v>
      </c>
      <c r="G586" s="15" t="s">
        <v>9</v>
      </c>
      <c r="H586" s="15" t="s">
        <v>9</v>
      </c>
      <c r="I586" s="15" t="s">
        <v>809</v>
      </c>
      <c r="J586" s="16" t="s">
        <v>275</v>
      </c>
      <c r="K586" s="16"/>
      <c r="L586" s="16"/>
      <c r="M586" s="16"/>
      <c r="N586" s="15"/>
      <c r="O586" s="15"/>
      <c r="P586" s="15"/>
    </row>
    <row r="587" spans="1:16" s="12" customFormat="1" ht="24.95" customHeight="1">
      <c r="A587" s="15" t="s">
        <v>810</v>
      </c>
      <c r="B587" s="55" t="s">
        <v>1297</v>
      </c>
      <c r="C587" s="15" t="s">
        <v>810</v>
      </c>
      <c r="D587" s="15" t="s">
        <v>8</v>
      </c>
      <c r="E587" s="15" t="s">
        <v>810</v>
      </c>
      <c r="F587" s="15" t="s">
        <v>88</v>
      </c>
      <c r="G587" s="15" t="s">
        <v>9</v>
      </c>
      <c r="H587" s="15" t="s">
        <v>9</v>
      </c>
      <c r="I587" s="15" t="s">
        <v>810</v>
      </c>
      <c r="J587" s="16" t="s">
        <v>1040</v>
      </c>
      <c r="K587" s="16"/>
      <c r="L587" s="16"/>
      <c r="M587" s="16"/>
      <c r="N587" s="15"/>
      <c r="O587" s="15"/>
      <c r="P587" s="15"/>
    </row>
    <row r="588" spans="1:16" s="12" customFormat="1" ht="24.95" customHeight="1">
      <c r="A588" s="15" t="s">
        <v>811</v>
      </c>
      <c r="B588" s="55" t="s">
        <v>1297</v>
      </c>
      <c r="C588" s="15" t="s">
        <v>811</v>
      </c>
      <c r="D588" s="15" t="s">
        <v>8</v>
      </c>
      <c r="E588" s="15" t="s">
        <v>811</v>
      </c>
      <c r="F588" s="15" t="s">
        <v>88</v>
      </c>
      <c r="G588" s="15" t="s">
        <v>177</v>
      </c>
      <c r="H588" s="15" t="s">
        <v>9</v>
      </c>
      <c r="I588" s="15" t="s">
        <v>811</v>
      </c>
      <c r="J588" s="16" t="s">
        <v>1041</v>
      </c>
      <c r="K588" s="16"/>
      <c r="L588" s="16"/>
      <c r="M588" s="16"/>
      <c r="N588" s="15"/>
      <c r="O588" s="15"/>
      <c r="P588" s="15"/>
    </row>
    <row r="589" spans="1:16" s="12" customFormat="1" ht="24.95" customHeight="1">
      <c r="A589" s="15" t="s">
        <v>812</v>
      </c>
      <c r="B589" s="55" t="s">
        <v>1297</v>
      </c>
      <c r="C589" s="15" t="s">
        <v>812</v>
      </c>
      <c r="D589" s="15" t="s">
        <v>8</v>
      </c>
      <c r="E589" s="15" t="s">
        <v>812</v>
      </c>
      <c r="F589" s="15" t="s">
        <v>94</v>
      </c>
      <c r="G589" s="15" t="s">
        <v>99</v>
      </c>
      <c r="H589" s="15">
        <v>8</v>
      </c>
      <c r="I589" s="15" t="s">
        <v>812</v>
      </c>
      <c r="J589" s="16" t="s">
        <v>275</v>
      </c>
      <c r="K589" s="16"/>
      <c r="L589" s="16"/>
      <c r="M589" s="16"/>
      <c r="N589" s="15"/>
      <c r="O589" s="15"/>
      <c r="P589" s="15"/>
    </row>
    <row r="590" spans="1:16" s="12" customFormat="1" ht="24.95" customHeight="1">
      <c r="A590" s="16" t="s">
        <v>814</v>
      </c>
      <c r="B590" s="55" t="s">
        <v>1297</v>
      </c>
      <c r="C590" s="16" t="s">
        <v>814</v>
      </c>
      <c r="D590" s="15" t="s">
        <v>8</v>
      </c>
      <c r="E590" s="16" t="s">
        <v>814</v>
      </c>
      <c r="F590" s="15">
        <v>88</v>
      </c>
      <c r="G590" s="15" t="s">
        <v>9</v>
      </c>
      <c r="H590" s="15" t="s">
        <v>9</v>
      </c>
      <c r="I590" s="16" t="s">
        <v>814</v>
      </c>
      <c r="J590" s="16" t="s">
        <v>813</v>
      </c>
      <c r="K590" s="16"/>
      <c r="L590" s="16"/>
      <c r="M590" s="16"/>
      <c r="N590" s="15"/>
      <c r="O590" s="15"/>
      <c r="P590" s="15"/>
    </row>
    <row r="591" spans="1:16" s="12" customFormat="1" ht="24.95" customHeight="1">
      <c r="A591" s="16" t="s">
        <v>815</v>
      </c>
      <c r="B591" s="55" t="s">
        <v>1297</v>
      </c>
      <c r="C591" s="16" t="s">
        <v>815</v>
      </c>
      <c r="D591" s="15" t="s">
        <v>8</v>
      </c>
      <c r="E591" s="16" t="s">
        <v>815</v>
      </c>
      <c r="F591" s="15">
        <v>44</v>
      </c>
      <c r="G591" s="15" t="s">
        <v>9</v>
      </c>
      <c r="H591" s="15" t="s">
        <v>9</v>
      </c>
      <c r="I591" s="16" t="s">
        <v>815</v>
      </c>
      <c r="J591" s="16" t="s">
        <v>813</v>
      </c>
      <c r="K591" s="16"/>
      <c r="L591" s="16"/>
      <c r="M591" s="16"/>
      <c r="N591" s="15"/>
      <c r="O591" s="15"/>
      <c r="P591" s="15"/>
    </row>
    <row r="592" spans="1:16" s="12" customFormat="1" ht="24.95" customHeight="1">
      <c r="A592" s="15" t="s">
        <v>816</v>
      </c>
      <c r="B592" s="55" t="s">
        <v>1297</v>
      </c>
      <c r="C592" s="15" t="s">
        <v>816</v>
      </c>
      <c r="D592" s="15" t="s">
        <v>8</v>
      </c>
      <c r="E592" s="15" t="s">
        <v>816</v>
      </c>
      <c r="F592" s="15" t="s">
        <v>101</v>
      </c>
      <c r="G592" s="15" t="s">
        <v>9</v>
      </c>
      <c r="H592" s="15" t="s">
        <v>9</v>
      </c>
      <c r="I592" s="15" t="s">
        <v>816</v>
      </c>
      <c r="J592" s="16" t="s">
        <v>275</v>
      </c>
      <c r="K592" s="16"/>
      <c r="L592" s="16"/>
      <c r="M592" s="16"/>
      <c r="N592" s="15"/>
      <c r="O592" s="15"/>
      <c r="P592" s="15"/>
    </row>
    <row r="593" spans="1:16" s="12" customFormat="1" ht="24.95" customHeight="1">
      <c r="A593" s="15" t="s">
        <v>817</v>
      </c>
      <c r="B593" s="55" t="s">
        <v>1297</v>
      </c>
      <c r="C593" s="15" t="s">
        <v>817</v>
      </c>
      <c r="D593" s="15" t="s">
        <v>58</v>
      </c>
      <c r="E593" s="15" t="s">
        <v>817</v>
      </c>
      <c r="F593" s="15" t="s">
        <v>86</v>
      </c>
      <c r="G593" s="15" t="s">
        <v>9</v>
      </c>
      <c r="H593" s="15" t="s">
        <v>9</v>
      </c>
      <c r="I593" s="15" t="s">
        <v>817</v>
      </c>
      <c r="J593" s="16" t="s">
        <v>275</v>
      </c>
      <c r="K593" s="16"/>
      <c r="L593" s="16"/>
      <c r="M593" s="16"/>
      <c r="N593" s="15"/>
      <c r="O593" s="15"/>
      <c r="P593" s="15"/>
    </row>
    <row r="594" spans="1:16" s="12" customFormat="1" ht="24.95" customHeight="1">
      <c r="A594" s="15" t="s">
        <v>818</v>
      </c>
      <c r="B594" s="55" t="s">
        <v>1297</v>
      </c>
      <c r="C594" s="15" t="s">
        <v>818</v>
      </c>
      <c r="D594" s="15" t="s">
        <v>8</v>
      </c>
      <c r="E594" s="15" t="s">
        <v>818</v>
      </c>
      <c r="F594" s="15" t="s">
        <v>86</v>
      </c>
      <c r="G594" s="15" t="s">
        <v>9</v>
      </c>
      <c r="H594" s="15" t="s">
        <v>9</v>
      </c>
      <c r="I594" s="15" t="s">
        <v>818</v>
      </c>
      <c r="J594" s="16" t="s">
        <v>819</v>
      </c>
      <c r="K594" s="16"/>
      <c r="L594" s="16"/>
      <c r="M594" s="16"/>
      <c r="N594" s="15"/>
      <c r="O594" s="15"/>
      <c r="P594" s="15"/>
    </row>
    <row r="595" spans="1:16" s="12" customFormat="1" ht="24.95" customHeight="1">
      <c r="A595" s="15" t="s">
        <v>820</v>
      </c>
      <c r="B595" s="55" t="s">
        <v>1297</v>
      </c>
      <c r="C595" s="15" t="s">
        <v>820</v>
      </c>
      <c r="D595" s="15" t="s">
        <v>8</v>
      </c>
      <c r="E595" s="15" t="s">
        <v>820</v>
      </c>
      <c r="F595" s="15" t="s">
        <v>88</v>
      </c>
      <c r="G595" s="15" t="s">
        <v>9</v>
      </c>
      <c r="H595" s="15" t="s">
        <v>9</v>
      </c>
      <c r="I595" s="15" t="s">
        <v>820</v>
      </c>
      <c r="J595" s="16" t="s">
        <v>1042</v>
      </c>
      <c r="K595" s="16"/>
      <c r="L595" s="16"/>
      <c r="M595" s="16"/>
      <c r="N595" s="15"/>
      <c r="O595" s="15"/>
      <c r="P595" s="15"/>
    </row>
    <row r="596" spans="1:16" s="12" customFormat="1" ht="24.95" customHeight="1">
      <c r="A596" s="15" t="s">
        <v>821</v>
      </c>
      <c r="B596" s="55" t="s">
        <v>1297</v>
      </c>
      <c r="C596" s="15" t="s">
        <v>821</v>
      </c>
      <c r="D596" s="15" t="s">
        <v>8</v>
      </c>
      <c r="E596" s="15" t="s">
        <v>821</v>
      </c>
      <c r="F596" s="15" t="s">
        <v>114</v>
      </c>
      <c r="G596" s="15" t="s">
        <v>9</v>
      </c>
      <c r="H596" s="15" t="s">
        <v>9</v>
      </c>
      <c r="I596" s="15" t="s">
        <v>821</v>
      </c>
      <c r="J596" s="16" t="s">
        <v>425</v>
      </c>
      <c r="K596" s="16"/>
      <c r="L596" s="16"/>
      <c r="M596" s="16"/>
      <c r="N596" s="15"/>
      <c r="O596" s="15"/>
      <c r="P596" s="15"/>
    </row>
    <row r="597" spans="1:16" s="12" customFormat="1" ht="24.95" customHeight="1">
      <c r="A597" s="15" t="s">
        <v>822</v>
      </c>
      <c r="B597" s="55" t="s">
        <v>1297</v>
      </c>
      <c r="C597" s="15" t="s">
        <v>822</v>
      </c>
      <c r="D597" s="15" t="s">
        <v>8</v>
      </c>
      <c r="E597" s="15" t="s">
        <v>822</v>
      </c>
      <c r="F597" s="15" t="s">
        <v>94</v>
      </c>
      <c r="G597" s="15" t="s">
        <v>9</v>
      </c>
      <c r="H597" s="15" t="s">
        <v>9</v>
      </c>
      <c r="I597" s="15" t="s">
        <v>822</v>
      </c>
      <c r="J597" s="16" t="s">
        <v>922</v>
      </c>
      <c r="K597" s="16"/>
      <c r="L597" s="16"/>
      <c r="M597" s="16"/>
      <c r="N597" s="15"/>
      <c r="O597" s="15"/>
      <c r="P597" s="15"/>
    </row>
    <row r="598" spans="1:16" ht="39.950000000000003" customHeight="1">
      <c r="A598" s="56" t="s">
        <v>823</v>
      </c>
      <c r="B598" s="55" t="s">
        <v>1297</v>
      </c>
      <c r="C598" s="56" t="s">
        <v>823</v>
      </c>
      <c r="D598" s="55" t="s">
        <v>8</v>
      </c>
      <c r="E598" s="56" t="s">
        <v>823</v>
      </c>
      <c r="F598" s="55">
        <v>44</v>
      </c>
      <c r="G598" s="55">
        <v>88</v>
      </c>
      <c r="H598" s="55">
        <v>156</v>
      </c>
      <c r="I598" s="56" t="s">
        <v>823</v>
      </c>
      <c r="J598" s="56" t="s">
        <v>1043</v>
      </c>
      <c r="K598" s="56" t="s">
        <v>1143</v>
      </c>
      <c r="L598" s="16" t="s">
        <v>1216</v>
      </c>
      <c r="M598" s="56" t="s">
        <v>1248</v>
      </c>
      <c r="N598" s="56" t="s">
        <v>1060</v>
      </c>
      <c r="O598" s="55" t="s">
        <v>1163</v>
      </c>
      <c r="P598" s="55" t="s">
        <v>1217</v>
      </c>
    </row>
    <row r="599" spans="1:16" s="12" customFormat="1" ht="24.95" customHeight="1">
      <c r="A599" s="15" t="s">
        <v>824</v>
      </c>
      <c r="B599" s="55" t="s">
        <v>1297</v>
      </c>
      <c r="C599" s="15" t="s">
        <v>824</v>
      </c>
      <c r="D599" s="15" t="s">
        <v>58</v>
      </c>
      <c r="E599" s="15" t="s">
        <v>824</v>
      </c>
      <c r="F599" s="15" t="s">
        <v>86</v>
      </c>
      <c r="G599" s="15" t="s">
        <v>9</v>
      </c>
      <c r="H599" s="15" t="s">
        <v>9</v>
      </c>
      <c r="I599" s="15" t="s">
        <v>824</v>
      </c>
      <c r="J599" s="16" t="s">
        <v>275</v>
      </c>
      <c r="K599" s="16"/>
      <c r="L599" s="16"/>
      <c r="M599" s="16"/>
      <c r="N599" s="15"/>
      <c r="O599" s="15"/>
      <c r="P599" s="15"/>
    </row>
    <row r="600" spans="1:16" s="12" customFormat="1" ht="24.95" customHeight="1">
      <c r="A600" s="15" t="s">
        <v>825</v>
      </c>
      <c r="B600" s="55" t="s">
        <v>1297</v>
      </c>
      <c r="C600" s="15" t="s">
        <v>825</v>
      </c>
      <c r="D600" s="15" t="s">
        <v>8</v>
      </c>
      <c r="E600" s="15" t="s">
        <v>825</v>
      </c>
      <c r="F600" s="15" t="s">
        <v>92</v>
      </c>
      <c r="G600" s="15" t="s">
        <v>9</v>
      </c>
      <c r="H600" s="15" t="s">
        <v>9</v>
      </c>
      <c r="I600" s="15" t="s">
        <v>825</v>
      </c>
      <c r="J600" s="16" t="s">
        <v>826</v>
      </c>
      <c r="K600" s="16"/>
      <c r="L600" s="16"/>
      <c r="M600" s="16"/>
      <c r="N600" s="15"/>
      <c r="O600" s="15"/>
      <c r="P600" s="15"/>
    </row>
    <row r="601" spans="1:16" s="12" customFormat="1" ht="24.95" customHeight="1">
      <c r="A601" s="15" t="s">
        <v>827</v>
      </c>
      <c r="B601" s="55" t="s">
        <v>1297</v>
      </c>
      <c r="C601" s="15" t="s">
        <v>827</v>
      </c>
      <c r="D601" s="15" t="s">
        <v>58</v>
      </c>
      <c r="E601" s="15" t="s">
        <v>827</v>
      </c>
      <c r="F601" s="15" t="s">
        <v>258</v>
      </c>
      <c r="G601" s="15" t="s">
        <v>9</v>
      </c>
      <c r="H601" s="15" t="s">
        <v>9</v>
      </c>
      <c r="I601" s="15" t="s">
        <v>827</v>
      </c>
      <c r="J601" s="16" t="s">
        <v>899</v>
      </c>
      <c r="K601" s="16"/>
      <c r="L601" s="16"/>
      <c r="M601" s="16"/>
      <c r="N601" s="15"/>
      <c r="O601" s="15"/>
      <c r="P601" s="15"/>
    </row>
    <row r="602" spans="1:16" s="12" customFormat="1" ht="24.95" customHeight="1">
      <c r="A602" s="15" t="s">
        <v>828</v>
      </c>
      <c r="B602" s="55" t="s">
        <v>1297</v>
      </c>
      <c r="C602" s="15" t="s">
        <v>828</v>
      </c>
      <c r="D602" s="15" t="s">
        <v>8</v>
      </c>
      <c r="E602" s="15" t="s">
        <v>828</v>
      </c>
      <c r="F602" s="15" t="s">
        <v>829</v>
      </c>
      <c r="G602" s="15" t="s">
        <v>830</v>
      </c>
      <c r="H602" s="15" t="s">
        <v>9</v>
      </c>
      <c r="I602" s="15" t="s">
        <v>828</v>
      </c>
      <c r="J602" s="16" t="s">
        <v>902</v>
      </c>
      <c r="K602" s="16"/>
      <c r="L602" s="16"/>
      <c r="M602" s="16"/>
      <c r="N602" s="15"/>
      <c r="O602" s="15"/>
      <c r="P602" s="15"/>
    </row>
    <row r="603" spans="1:16" s="12" customFormat="1" ht="24.95" customHeight="1">
      <c r="A603" s="15" t="s">
        <v>831</v>
      </c>
      <c r="B603" s="55" t="s">
        <v>1297</v>
      </c>
      <c r="C603" s="15" t="s">
        <v>831</v>
      </c>
      <c r="D603" s="15" t="s">
        <v>58</v>
      </c>
      <c r="E603" s="15" t="s">
        <v>831</v>
      </c>
      <c r="F603" s="15" t="s">
        <v>149</v>
      </c>
      <c r="G603" s="15" t="s">
        <v>9</v>
      </c>
      <c r="H603" s="15" t="s">
        <v>9</v>
      </c>
      <c r="I603" s="15" t="s">
        <v>831</v>
      </c>
      <c r="J603" s="16" t="s">
        <v>832</v>
      </c>
      <c r="K603" s="16"/>
      <c r="L603" s="16"/>
      <c r="M603" s="16"/>
      <c r="N603" s="15"/>
      <c r="O603" s="15"/>
      <c r="P603" s="15"/>
    </row>
    <row r="604" spans="1:16" s="12" customFormat="1" ht="24.95" customHeight="1">
      <c r="A604" s="15" t="s">
        <v>833</v>
      </c>
      <c r="B604" s="55" t="s">
        <v>1297</v>
      </c>
      <c r="C604" s="15" t="s">
        <v>833</v>
      </c>
      <c r="D604" s="15" t="s">
        <v>58</v>
      </c>
      <c r="E604" s="15" t="s">
        <v>833</v>
      </c>
      <c r="F604" s="15" t="s">
        <v>99</v>
      </c>
      <c r="G604" s="15" t="s">
        <v>9</v>
      </c>
      <c r="H604" s="15" t="s">
        <v>9</v>
      </c>
      <c r="I604" s="15" t="s">
        <v>833</v>
      </c>
      <c r="J604" s="16" t="s">
        <v>919</v>
      </c>
      <c r="K604" s="16"/>
      <c r="L604" s="16"/>
      <c r="M604" s="16"/>
      <c r="N604" s="15"/>
      <c r="O604" s="15"/>
      <c r="P604" s="15"/>
    </row>
    <row r="605" spans="1:16" s="12" customFormat="1" ht="24.95" customHeight="1">
      <c r="A605" s="16" t="s">
        <v>834</v>
      </c>
      <c r="B605" s="55" t="s">
        <v>1297</v>
      </c>
      <c r="C605" s="16" t="s">
        <v>834</v>
      </c>
      <c r="D605" s="15" t="s">
        <v>58</v>
      </c>
      <c r="E605" s="16" t="s">
        <v>834</v>
      </c>
      <c r="F605" s="15" t="s">
        <v>101</v>
      </c>
      <c r="G605" s="15" t="s">
        <v>9</v>
      </c>
      <c r="H605" s="15" t="s">
        <v>9</v>
      </c>
      <c r="I605" s="16" t="s">
        <v>834</v>
      </c>
      <c r="J605" s="16" t="s">
        <v>899</v>
      </c>
      <c r="K605" s="16"/>
      <c r="L605" s="16"/>
      <c r="M605" s="16"/>
      <c r="N605" s="15"/>
      <c r="O605" s="15"/>
      <c r="P605" s="15"/>
    </row>
    <row r="606" spans="1:16" s="12" customFormat="1" ht="39" customHeight="1">
      <c r="A606" s="15" t="s">
        <v>835</v>
      </c>
      <c r="B606" s="55" t="s">
        <v>1297</v>
      </c>
      <c r="C606" s="15" t="s">
        <v>835</v>
      </c>
      <c r="D606" s="15" t="s">
        <v>9</v>
      </c>
      <c r="E606" s="15" t="s">
        <v>835</v>
      </c>
      <c r="F606" s="15" t="s">
        <v>9</v>
      </c>
      <c r="G606" s="15" t="s">
        <v>9</v>
      </c>
      <c r="H606" s="15" t="s">
        <v>9</v>
      </c>
      <c r="I606" s="15" t="s">
        <v>835</v>
      </c>
      <c r="J606" s="16" t="s">
        <v>1044</v>
      </c>
      <c r="K606" s="16"/>
      <c r="L606" s="16"/>
      <c r="M606" s="16"/>
      <c r="N606" s="15"/>
      <c r="O606" s="15"/>
      <c r="P606" s="15"/>
    </row>
    <row r="607" spans="1:16" ht="30" customHeight="1">
      <c r="A607" s="56" t="s">
        <v>836</v>
      </c>
      <c r="B607" s="56" t="s">
        <v>1296</v>
      </c>
      <c r="C607" s="56" t="s">
        <v>836</v>
      </c>
      <c r="D607" s="55" t="s">
        <v>8</v>
      </c>
      <c r="E607" s="56" t="s">
        <v>836</v>
      </c>
      <c r="F607" s="55">
        <v>17.600000000000001</v>
      </c>
      <c r="G607" s="55" t="s">
        <v>9</v>
      </c>
      <c r="H607" s="55">
        <v>78</v>
      </c>
      <c r="I607" s="56" t="s">
        <v>836</v>
      </c>
      <c r="J607" s="56" t="s">
        <v>837</v>
      </c>
      <c r="K607" s="56" t="s">
        <v>1143</v>
      </c>
      <c r="L607" s="16" t="s">
        <v>1218</v>
      </c>
      <c r="M607" s="56" t="s">
        <v>1137</v>
      </c>
      <c r="N607" s="56" t="s">
        <v>1060</v>
      </c>
      <c r="O607" s="68" t="s">
        <v>1141</v>
      </c>
      <c r="P607" s="64" t="s">
        <v>1140</v>
      </c>
    </row>
    <row r="608" spans="1:16" s="12" customFormat="1" ht="24.95" customHeight="1">
      <c r="A608" s="15" t="s">
        <v>838</v>
      </c>
      <c r="B608" s="55" t="s">
        <v>1297</v>
      </c>
      <c r="C608" s="15" t="s">
        <v>838</v>
      </c>
      <c r="D608" s="15" t="s">
        <v>8</v>
      </c>
      <c r="E608" s="15" t="s">
        <v>838</v>
      </c>
      <c r="F608" s="15" t="s">
        <v>86</v>
      </c>
      <c r="G608" s="15" t="s">
        <v>9</v>
      </c>
      <c r="H608" s="15" t="s">
        <v>9</v>
      </c>
      <c r="I608" s="15" t="s">
        <v>838</v>
      </c>
      <c r="J608" s="16" t="s">
        <v>9</v>
      </c>
      <c r="K608" s="16"/>
      <c r="L608" s="16"/>
      <c r="M608" s="16"/>
      <c r="N608" s="15"/>
      <c r="O608" s="15"/>
      <c r="P608" s="15"/>
    </row>
    <row r="609" spans="1:16" s="12" customFormat="1" ht="24.95" customHeight="1">
      <c r="A609" s="15" t="s">
        <v>839</v>
      </c>
      <c r="B609" s="55" t="s">
        <v>1297</v>
      </c>
      <c r="C609" s="15" t="s">
        <v>839</v>
      </c>
      <c r="D609" s="15" t="s">
        <v>8</v>
      </c>
      <c r="E609" s="15" t="s">
        <v>839</v>
      </c>
      <c r="F609" s="15" t="s">
        <v>86</v>
      </c>
      <c r="G609" s="15" t="s">
        <v>9</v>
      </c>
      <c r="H609" s="15" t="s">
        <v>9</v>
      </c>
      <c r="I609" s="15" t="s">
        <v>839</v>
      </c>
      <c r="J609" s="16" t="s">
        <v>1045</v>
      </c>
      <c r="K609" s="16"/>
      <c r="L609" s="16"/>
      <c r="M609" s="16"/>
      <c r="N609" s="15"/>
      <c r="O609" s="15"/>
      <c r="P609" s="15"/>
    </row>
    <row r="610" spans="1:16" s="12" customFormat="1" ht="24.95" customHeight="1">
      <c r="A610" s="15" t="s">
        <v>840</v>
      </c>
      <c r="B610" s="55" t="s">
        <v>1297</v>
      </c>
      <c r="C610" s="15" t="s">
        <v>840</v>
      </c>
      <c r="D610" s="15" t="s">
        <v>8</v>
      </c>
      <c r="E610" s="15" t="s">
        <v>840</v>
      </c>
      <c r="F610" s="15" t="s">
        <v>9</v>
      </c>
      <c r="G610" s="15">
        <v>0.61599999999999999</v>
      </c>
      <c r="H610" s="15" t="s">
        <v>9</v>
      </c>
      <c r="I610" s="15" t="s">
        <v>840</v>
      </c>
      <c r="J610" s="16" t="s">
        <v>899</v>
      </c>
      <c r="K610" s="16"/>
      <c r="L610" s="16"/>
      <c r="M610" s="16"/>
      <c r="N610" s="15"/>
      <c r="O610" s="15"/>
      <c r="P610" s="15"/>
    </row>
    <row r="611" spans="1:16" s="12" customFormat="1" ht="24.95" customHeight="1">
      <c r="A611" s="15" t="s">
        <v>841</v>
      </c>
      <c r="B611" s="55" t="s">
        <v>1297</v>
      </c>
      <c r="C611" s="15" t="s">
        <v>841</v>
      </c>
      <c r="D611" s="15" t="s">
        <v>8</v>
      </c>
      <c r="E611" s="15" t="s">
        <v>841</v>
      </c>
      <c r="F611" s="15" t="s">
        <v>114</v>
      </c>
      <c r="G611" s="15" t="s">
        <v>92</v>
      </c>
      <c r="H611" s="15" t="s">
        <v>9</v>
      </c>
      <c r="I611" s="15" t="s">
        <v>841</v>
      </c>
      <c r="J611" s="16" t="s">
        <v>902</v>
      </c>
      <c r="K611" s="16"/>
      <c r="L611" s="16"/>
      <c r="M611" s="16"/>
      <c r="N611" s="15"/>
      <c r="O611" s="15"/>
      <c r="P611" s="15"/>
    </row>
    <row r="612" spans="1:16" s="12" customFormat="1" ht="24.95" customHeight="1">
      <c r="A612" s="15" t="s">
        <v>842</v>
      </c>
      <c r="B612" s="55" t="s">
        <v>1297</v>
      </c>
      <c r="C612" s="15" t="s">
        <v>842</v>
      </c>
      <c r="D612" s="15" t="s">
        <v>58</v>
      </c>
      <c r="E612" s="15" t="s">
        <v>842</v>
      </c>
      <c r="F612" s="15" t="s">
        <v>101</v>
      </c>
      <c r="G612" s="15" t="s">
        <v>9</v>
      </c>
      <c r="H612" s="15" t="s">
        <v>9</v>
      </c>
      <c r="I612" s="15" t="s">
        <v>842</v>
      </c>
      <c r="J612" s="16" t="s">
        <v>195</v>
      </c>
      <c r="K612" s="16"/>
      <c r="L612" s="16"/>
      <c r="M612" s="16"/>
      <c r="N612" s="15"/>
      <c r="O612" s="15"/>
      <c r="P612" s="15"/>
    </row>
    <row r="613" spans="1:16" s="12" customFormat="1" ht="24.95" customHeight="1">
      <c r="A613" s="15" t="s">
        <v>843</v>
      </c>
      <c r="B613" s="55" t="s">
        <v>1297</v>
      </c>
      <c r="C613" s="15" t="s">
        <v>843</v>
      </c>
      <c r="D613" s="15" t="s">
        <v>8</v>
      </c>
      <c r="E613" s="15" t="s">
        <v>843</v>
      </c>
      <c r="F613" s="15" t="s">
        <v>9</v>
      </c>
      <c r="G613" s="15" t="s">
        <v>88</v>
      </c>
      <c r="H613" s="15" t="s">
        <v>9</v>
      </c>
      <c r="I613" s="15" t="s">
        <v>843</v>
      </c>
      <c r="J613" s="16" t="s">
        <v>1046</v>
      </c>
      <c r="K613" s="16"/>
      <c r="L613" s="16"/>
      <c r="M613" s="16"/>
      <c r="N613" s="15"/>
      <c r="O613" s="15"/>
      <c r="P613" s="15"/>
    </row>
    <row r="614" spans="1:16" s="12" customFormat="1" ht="24.95" customHeight="1">
      <c r="A614" s="16" t="s">
        <v>844</v>
      </c>
      <c r="B614" s="55" t="s">
        <v>1297</v>
      </c>
      <c r="C614" s="16" t="s">
        <v>844</v>
      </c>
      <c r="D614" s="15" t="s">
        <v>8</v>
      </c>
      <c r="E614" s="16" t="s">
        <v>844</v>
      </c>
      <c r="F614" s="15">
        <v>880</v>
      </c>
      <c r="G614" s="15">
        <v>1100</v>
      </c>
      <c r="H614" s="15" t="s">
        <v>9</v>
      </c>
      <c r="I614" s="16" t="s">
        <v>844</v>
      </c>
      <c r="J614" s="16" t="s">
        <v>140</v>
      </c>
      <c r="K614" s="16"/>
      <c r="L614" s="16"/>
      <c r="M614" s="16"/>
      <c r="N614" s="15"/>
      <c r="O614" s="15"/>
      <c r="P614" s="15"/>
    </row>
    <row r="615" spans="1:16" s="12" customFormat="1" ht="24.95" customHeight="1">
      <c r="A615" s="15" t="s">
        <v>883</v>
      </c>
      <c r="B615" s="55" t="s">
        <v>1297</v>
      </c>
      <c r="C615" s="15" t="s">
        <v>883</v>
      </c>
      <c r="D615" s="15" t="s">
        <v>8</v>
      </c>
      <c r="E615" s="15" t="s">
        <v>883</v>
      </c>
      <c r="F615" s="15" t="s">
        <v>9</v>
      </c>
      <c r="G615" s="15" t="s">
        <v>94</v>
      </c>
      <c r="H615" s="15" t="s">
        <v>9</v>
      </c>
      <c r="I615" s="15" t="s">
        <v>883</v>
      </c>
      <c r="J615" s="16" t="s">
        <v>1047</v>
      </c>
      <c r="K615" s="16"/>
      <c r="L615" s="16"/>
      <c r="M615" s="16"/>
      <c r="N615" s="15"/>
      <c r="O615" s="15"/>
      <c r="P615" s="15"/>
    </row>
    <row r="616" spans="1:16" ht="39.950000000000003" customHeight="1">
      <c r="A616" s="56" t="s">
        <v>1256</v>
      </c>
      <c r="B616" s="55" t="s">
        <v>1297</v>
      </c>
      <c r="C616" s="56" t="s">
        <v>1256</v>
      </c>
      <c r="D616" s="55" t="s">
        <v>8</v>
      </c>
      <c r="E616" s="56" t="s">
        <v>1256</v>
      </c>
      <c r="F616" s="55">
        <v>8.8000000000000007</v>
      </c>
      <c r="G616" s="55">
        <v>22</v>
      </c>
      <c r="H616" s="55">
        <v>78</v>
      </c>
      <c r="I616" s="56" t="s">
        <v>1256</v>
      </c>
      <c r="J616" s="56" t="s">
        <v>845</v>
      </c>
      <c r="K616" s="56" t="s">
        <v>1143</v>
      </c>
      <c r="L616" s="16"/>
      <c r="M616" s="56" t="s">
        <v>1254</v>
      </c>
      <c r="N616" s="56" t="s">
        <v>1060</v>
      </c>
      <c r="O616" s="56" t="s">
        <v>1163</v>
      </c>
      <c r="P616" s="55" t="s">
        <v>1255</v>
      </c>
    </row>
    <row r="617" spans="1:16" s="12" customFormat="1" ht="24.95" customHeight="1">
      <c r="A617" s="15" t="s">
        <v>846</v>
      </c>
      <c r="B617" s="55" t="s">
        <v>1297</v>
      </c>
      <c r="C617" s="15" t="s">
        <v>846</v>
      </c>
      <c r="D617" s="15" t="s">
        <v>8</v>
      </c>
      <c r="E617" s="15" t="s">
        <v>846</v>
      </c>
      <c r="F617" s="15" t="s">
        <v>9</v>
      </c>
      <c r="G617" s="15">
        <v>880</v>
      </c>
      <c r="H617" s="15" t="s">
        <v>9</v>
      </c>
      <c r="I617" s="15" t="s">
        <v>846</v>
      </c>
      <c r="J617" s="16" t="s">
        <v>322</v>
      </c>
      <c r="K617" s="16"/>
      <c r="L617" s="16"/>
      <c r="M617" s="16"/>
      <c r="N617" s="15"/>
      <c r="O617" s="15"/>
      <c r="P617" s="15"/>
    </row>
    <row r="618" spans="1:16" s="12" customFormat="1" ht="24.95" customHeight="1">
      <c r="A618" s="15" t="s">
        <v>847</v>
      </c>
      <c r="B618" s="55" t="s">
        <v>1297</v>
      </c>
      <c r="C618" s="15" t="s">
        <v>847</v>
      </c>
      <c r="D618" s="15" t="s">
        <v>58</v>
      </c>
      <c r="E618" s="15" t="s">
        <v>847</v>
      </c>
      <c r="F618" s="15" t="s">
        <v>94</v>
      </c>
      <c r="G618" s="15" t="s">
        <v>9</v>
      </c>
      <c r="H618" s="15" t="s">
        <v>9</v>
      </c>
      <c r="I618" s="15" t="s">
        <v>847</v>
      </c>
      <c r="J618" s="16" t="s">
        <v>848</v>
      </c>
      <c r="K618" s="16"/>
      <c r="L618" s="16"/>
      <c r="M618" s="16"/>
      <c r="N618" s="15"/>
      <c r="O618" s="15"/>
      <c r="P618" s="15"/>
    </row>
    <row r="619" spans="1:16" s="12" customFormat="1" ht="24.95" customHeight="1">
      <c r="A619" s="15" t="s">
        <v>849</v>
      </c>
      <c r="B619" s="55" t="s">
        <v>1297</v>
      </c>
      <c r="C619" s="15" t="s">
        <v>849</v>
      </c>
      <c r="D619" s="15" t="s">
        <v>58</v>
      </c>
      <c r="E619" s="15" t="s">
        <v>849</v>
      </c>
      <c r="F619" s="15" t="s">
        <v>94</v>
      </c>
      <c r="G619" s="15" t="s">
        <v>9</v>
      </c>
      <c r="H619" s="15" t="s">
        <v>9</v>
      </c>
      <c r="I619" s="15" t="s">
        <v>849</v>
      </c>
      <c r="J619" s="16" t="s">
        <v>903</v>
      </c>
      <c r="K619" s="16"/>
      <c r="L619" s="16"/>
      <c r="M619" s="16"/>
      <c r="N619" s="15"/>
      <c r="O619" s="15"/>
      <c r="P619" s="15"/>
    </row>
    <row r="620" spans="1:16" s="12" customFormat="1" ht="24.95" customHeight="1">
      <c r="A620" s="15" t="s">
        <v>850</v>
      </c>
      <c r="B620" s="55" t="s">
        <v>1297</v>
      </c>
      <c r="C620" s="15" t="s">
        <v>850</v>
      </c>
      <c r="D620" s="15" t="s">
        <v>8</v>
      </c>
      <c r="E620" s="15" t="s">
        <v>850</v>
      </c>
      <c r="F620" s="15">
        <v>0.44</v>
      </c>
      <c r="G620" s="15" t="s">
        <v>101</v>
      </c>
      <c r="H620" s="15">
        <v>20</v>
      </c>
      <c r="I620" s="15" t="s">
        <v>850</v>
      </c>
      <c r="J620" s="16" t="s">
        <v>1048</v>
      </c>
      <c r="K620" s="16"/>
      <c r="L620" s="16"/>
      <c r="M620" s="16"/>
      <c r="N620" s="15"/>
      <c r="O620" s="15"/>
      <c r="P620" s="15"/>
    </row>
    <row r="621" spans="1:16" s="12" customFormat="1" ht="24.95" customHeight="1">
      <c r="A621" s="15" t="s">
        <v>851</v>
      </c>
      <c r="B621" s="55" t="s">
        <v>1297</v>
      </c>
      <c r="C621" s="15" t="s">
        <v>851</v>
      </c>
      <c r="D621" s="15" t="s">
        <v>8</v>
      </c>
      <c r="E621" s="15" t="s">
        <v>851</v>
      </c>
      <c r="F621" s="15">
        <v>880</v>
      </c>
      <c r="G621" s="15" t="s">
        <v>9</v>
      </c>
      <c r="H621" s="15" t="s">
        <v>9</v>
      </c>
      <c r="I621" s="15" t="s">
        <v>851</v>
      </c>
      <c r="J621" s="16" t="s">
        <v>852</v>
      </c>
      <c r="K621" s="16"/>
      <c r="L621" s="16"/>
      <c r="M621" s="16"/>
      <c r="N621" s="15"/>
      <c r="O621" s="15"/>
      <c r="P621" s="15"/>
    </row>
    <row r="622" spans="1:16" s="12" customFormat="1" ht="24.95" customHeight="1">
      <c r="A622" s="15" t="s">
        <v>853</v>
      </c>
      <c r="B622" s="55" t="s">
        <v>1297</v>
      </c>
      <c r="C622" s="15" t="s">
        <v>853</v>
      </c>
      <c r="D622" s="15" t="s">
        <v>8</v>
      </c>
      <c r="E622" s="15" t="s">
        <v>853</v>
      </c>
      <c r="F622" s="15">
        <v>8.7999999999999995E-2</v>
      </c>
      <c r="G622" s="15">
        <v>0.61599999999999999</v>
      </c>
      <c r="H622" s="15" t="s">
        <v>9</v>
      </c>
      <c r="I622" s="15" t="s">
        <v>853</v>
      </c>
      <c r="J622" s="16" t="s">
        <v>1049</v>
      </c>
      <c r="K622" s="16"/>
      <c r="L622" s="16"/>
      <c r="M622" s="16"/>
      <c r="N622" s="15"/>
      <c r="O622" s="15"/>
      <c r="P622" s="15"/>
    </row>
    <row r="623" spans="1:16" s="12" customFormat="1" ht="24.95" customHeight="1">
      <c r="A623" s="15" t="s">
        <v>854</v>
      </c>
      <c r="B623" s="55" t="s">
        <v>1297</v>
      </c>
      <c r="C623" s="15" t="s">
        <v>854</v>
      </c>
      <c r="D623" s="15" t="s">
        <v>8</v>
      </c>
      <c r="E623" s="15" t="s">
        <v>854</v>
      </c>
      <c r="F623" s="15" t="s">
        <v>9</v>
      </c>
      <c r="G623" s="15" t="s">
        <v>88</v>
      </c>
      <c r="H623" s="15" t="s">
        <v>9</v>
      </c>
      <c r="I623" s="15" t="s">
        <v>854</v>
      </c>
      <c r="J623" s="16" t="s">
        <v>1042</v>
      </c>
      <c r="K623" s="16"/>
      <c r="L623" s="16"/>
      <c r="M623" s="16"/>
      <c r="N623" s="15"/>
      <c r="O623" s="15"/>
      <c r="P623" s="15"/>
    </row>
    <row r="624" spans="1:16" s="12" customFormat="1" ht="24.95" customHeight="1">
      <c r="A624" s="15" t="s">
        <v>855</v>
      </c>
      <c r="B624" s="55" t="s">
        <v>1297</v>
      </c>
      <c r="C624" s="15" t="s">
        <v>855</v>
      </c>
      <c r="D624" s="15" t="s">
        <v>8</v>
      </c>
      <c r="E624" s="15" t="s">
        <v>855</v>
      </c>
      <c r="F624" s="15" t="s">
        <v>99</v>
      </c>
      <c r="G624" s="15" t="s">
        <v>9</v>
      </c>
      <c r="H624" s="15" t="s">
        <v>9</v>
      </c>
      <c r="I624" s="15" t="s">
        <v>855</v>
      </c>
      <c r="J624" s="16" t="s">
        <v>856</v>
      </c>
      <c r="K624" s="16"/>
      <c r="L624" s="16"/>
      <c r="M624" s="16"/>
      <c r="N624" s="15"/>
      <c r="O624" s="15"/>
      <c r="P624" s="15"/>
    </row>
    <row r="625" spans="1:16" s="12" customFormat="1" ht="24.95" customHeight="1">
      <c r="A625" s="16" t="s">
        <v>857</v>
      </c>
      <c r="B625" s="55" t="s">
        <v>1297</v>
      </c>
      <c r="C625" s="16" t="s">
        <v>857</v>
      </c>
      <c r="D625" s="15" t="s">
        <v>58</v>
      </c>
      <c r="E625" s="16" t="s">
        <v>857</v>
      </c>
      <c r="F625" s="15" t="s">
        <v>149</v>
      </c>
      <c r="G625" s="15" t="s">
        <v>9</v>
      </c>
      <c r="H625" s="15" t="s">
        <v>9</v>
      </c>
      <c r="I625" s="16" t="s">
        <v>857</v>
      </c>
      <c r="J625" s="16" t="s">
        <v>858</v>
      </c>
      <c r="K625" s="16"/>
      <c r="L625" s="16"/>
      <c r="M625" s="16"/>
      <c r="N625" s="15"/>
      <c r="O625" s="15"/>
      <c r="P625" s="15"/>
    </row>
    <row r="626" spans="1:16" s="12" customFormat="1" ht="24.95" customHeight="1">
      <c r="A626" s="15" t="s">
        <v>859</v>
      </c>
      <c r="B626" s="55" t="s">
        <v>1297</v>
      </c>
      <c r="C626" s="15" t="s">
        <v>859</v>
      </c>
      <c r="D626" s="15" t="s">
        <v>8</v>
      </c>
      <c r="E626" s="15" t="s">
        <v>859</v>
      </c>
      <c r="F626" s="15" t="s">
        <v>94</v>
      </c>
      <c r="G626" s="15" t="s">
        <v>124</v>
      </c>
      <c r="H626" s="15" t="s">
        <v>9</v>
      </c>
      <c r="I626" s="15" t="s">
        <v>859</v>
      </c>
      <c r="J626" s="16" t="s">
        <v>1046</v>
      </c>
      <c r="K626" s="16"/>
      <c r="L626" s="16"/>
      <c r="M626" s="16"/>
      <c r="N626" s="15"/>
      <c r="O626" s="15"/>
      <c r="P626" s="15"/>
    </row>
    <row r="627" spans="1:16" s="12" customFormat="1" ht="24.95" customHeight="1">
      <c r="A627" s="15" t="s">
        <v>860</v>
      </c>
      <c r="B627" s="55" t="s">
        <v>1297</v>
      </c>
      <c r="C627" s="15" t="s">
        <v>860</v>
      </c>
      <c r="D627" s="15" t="s">
        <v>8</v>
      </c>
      <c r="E627" s="15" t="s">
        <v>860</v>
      </c>
      <c r="F627" s="15">
        <v>22</v>
      </c>
      <c r="G627" s="15" t="s">
        <v>9</v>
      </c>
      <c r="H627" s="15" t="s">
        <v>9</v>
      </c>
      <c r="I627" s="15" t="s">
        <v>860</v>
      </c>
      <c r="J627" s="16" t="s">
        <v>861</v>
      </c>
      <c r="K627" s="16"/>
      <c r="L627" s="16"/>
      <c r="M627" s="16"/>
      <c r="N627" s="15"/>
      <c r="O627" s="15"/>
      <c r="P627" s="15"/>
    </row>
    <row r="628" spans="1:16" s="12" customFormat="1" ht="24.95" customHeight="1">
      <c r="A628" s="15" t="s">
        <v>862</v>
      </c>
      <c r="B628" s="55" t="s">
        <v>1297</v>
      </c>
      <c r="C628" s="15" t="s">
        <v>862</v>
      </c>
      <c r="D628" s="15" t="s">
        <v>9</v>
      </c>
      <c r="E628" s="15" t="s">
        <v>862</v>
      </c>
      <c r="F628" s="15" t="s">
        <v>9</v>
      </c>
      <c r="G628" s="15" t="s">
        <v>9</v>
      </c>
      <c r="H628" s="15" t="s">
        <v>9</v>
      </c>
      <c r="I628" s="15" t="s">
        <v>862</v>
      </c>
      <c r="J628" s="16" t="s">
        <v>863</v>
      </c>
      <c r="K628" s="16"/>
      <c r="L628" s="16"/>
      <c r="M628" s="16"/>
      <c r="N628" s="15"/>
      <c r="O628" s="15"/>
      <c r="P628" s="15"/>
    </row>
    <row r="629" spans="1:16" s="12" customFormat="1" ht="24.95" customHeight="1">
      <c r="A629" s="15" t="s">
        <v>864</v>
      </c>
      <c r="B629" s="55" t="s">
        <v>1297</v>
      </c>
      <c r="C629" s="15" t="s">
        <v>864</v>
      </c>
      <c r="D629" s="15" t="s">
        <v>58</v>
      </c>
      <c r="E629" s="15" t="s">
        <v>864</v>
      </c>
      <c r="F629" s="15">
        <v>2.64</v>
      </c>
      <c r="G629" s="15" t="s">
        <v>99</v>
      </c>
      <c r="H629" s="15" t="s">
        <v>9</v>
      </c>
      <c r="I629" s="15" t="s">
        <v>864</v>
      </c>
      <c r="J629" s="16" t="s">
        <v>919</v>
      </c>
      <c r="K629" s="16"/>
      <c r="L629" s="16"/>
      <c r="M629" s="16"/>
      <c r="N629" s="15"/>
      <c r="O629" s="15"/>
      <c r="P629" s="15"/>
    </row>
    <row r="630" spans="1:16" s="12" customFormat="1" ht="24.95" customHeight="1">
      <c r="A630" s="15" t="s">
        <v>865</v>
      </c>
      <c r="B630" s="55" t="s">
        <v>1297</v>
      </c>
      <c r="C630" s="15" t="s">
        <v>865</v>
      </c>
      <c r="D630" s="15" t="s">
        <v>58</v>
      </c>
      <c r="E630" s="15" t="s">
        <v>865</v>
      </c>
      <c r="F630" s="15" t="s">
        <v>114</v>
      </c>
      <c r="G630" s="15" t="s">
        <v>607</v>
      </c>
      <c r="H630" s="15" t="s">
        <v>9</v>
      </c>
      <c r="I630" s="15" t="s">
        <v>865</v>
      </c>
      <c r="J630" s="16" t="s">
        <v>239</v>
      </c>
      <c r="K630" s="16"/>
      <c r="L630" s="16"/>
      <c r="M630" s="16"/>
      <c r="N630" s="15"/>
      <c r="O630" s="15"/>
      <c r="P630" s="15"/>
    </row>
    <row r="631" spans="1:16" s="12" customFormat="1" ht="24.95" customHeight="1">
      <c r="A631" s="15" t="s">
        <v>866</v>
      </c>
      <c r="B631" s="55" t="s">
        <v>1297</v>
      </c>
      <c r="C631" s="15" t="s">
        <v>866</v>
      </c>
      <c r="D631" s="15" t="s">
        <v>8</v>
      </c>
      <c r="E631" s="15" t="s">
        <v>866</v>
      </c>
      <c r="F631" s="15">
        <v>44</v>
      </c>
      <c r="G631" s="15" t="s">
        <v>9</v>
      </c>
      <c r="H631" s="15" t="s">
        <v>9</v>
      </c>
      <c r="I631" s="15" t="s">
        <v>866</v>
      </c>
      <c r="J631" s="16" t="s">
        <v>902</v>
      </c>
      <c r="K631" s="16"/>
      <c r="L631" s="16"/>
      <c r="M631" s="16"/>
      <c r="N631" s="15"/>
      <c r="O631" s="15"/>
      <c r="P631" s="15"/>
    </row>
    <row r="632" spans="1:16" s="12" customFormat="1" ht="24.95" customHeight="1">
      <c r="A632" s="15" t="s">
        <v>867</v>
      </c>
      <c r="B632" s="55" t="s">
        <v>1297</v>
      </c>
      <c r="C632" s="15" t="s">
        <v>867</v>
      </c>
      <c r="D632" s="15" t="s">
        <v>8</v>
      </c>
      <c r="E632" s="15" t="s">
        <v>867</v>
      </c>
      <c r="F632" s="15" t="s">
        <v>88</v>
      </c>
      <c r="G632" s="15" t="s">
        <v>9</v>
      </c>
      <c r="H632" s="15" t="s">
        <v>9</v>
      </c>
      <c r="I632" s="15" t="s">
        <v>867</v>
      </c>
      <c r="J632" s="16" t="s">
        <v>868</v>
      </c>
      <c r="K632" s="16"/>
      <c r="L632" s="16"/>
      <c r="M632" s="16"/>
      <c r="N632" s="15"/>
      <c r="O632" s="15"/>
      <c r="P632" s="15"/>
    </row>
    <row r="633" spans="1:16" s="12" customFormat="1" ht="24.95" customHeight="1">
      <c r="A633" s="15" t="s">
        <v>1050</v>
      </c>
      <c r="B633" s="55" t="s">
        <v>1297</v>
      </c>
      <c r="C633" s="15" t="s">
        <v>1050</v>
      </c>
      <c r="D633" s="15" t="s">
        <v>8</v>
      </c>
      <c r="E633" s="15" t="s">
        <v>1050</v>
      </c>
      <c r="F633" s="15" t="s">
        <v>149</v>
      </c>
      <c r="G633" s="15" t="s">
        <v>9</v>
      </c>
      <c r="H633" s="15" t="s">
        <v>9</v>
      </c>
      <c r="I633" s="15" t="s">
        <v>1050</v>
      </c>
      <c r="J633" s="16" t="s">
        <v>275</v>
      </c>
      <c r="K633" s="16"/>
      <c r="L633" s="16"/>
      <c r="M633" s="16"/>
      <c r="N633" s="15"/>
      <c r="O633" s="15"/>
      <c r="P633" s="15"/>
    </row>
    <row r="634" spans="1:16" s="12" customFormat="1" ht="24.95" customHeight="1">
      <c r="A634" s="15" t="s">
        <v>869</v>
      </c>
      <c r="B634" s="55" t="s">
        <v>1297</v>
      </c>
      <c r="C634" s="15" t="s">
        <v>869</v>
      </c>
      <c r="D634" s="15" t="s">
        <v>58</v>
      </c>
      <c r="E634" s="15" t="s">
        <v>869</v>
      </c>
      <c r="F634" s="15" t="s">
        <v>88</v>
      </c>
      <c r="G634" s="15" t="s">
        <v>9</v>
      </c>
      <c r="H634" s="15" t="s">
        <v>9</v>
      </c>
      <c r="I634" s="15" t="s">
        <v>869</v>
      </c>
      <c r="J634" s="16" t="s">
        <v>751</v>
      </c>
      <c r="K634" s="16"/>
      <c r="L634" s="16"/>
      <c r="M634" s="16"/>
      <c r="N634" s="15"/>
      <c r="O634" s="15"/>
      <c r="P634" s="15"/>
    </row>
    <row r="635" spans="1:16" ht="39.950000000000003" customHeight="1">
      <c r="A635" s="56" t="s">
        <v>870</v>
      </c>
      <c r="B635" s="56" t="s">
        <v>1295</v>
      </c>
      <c r="C635" s="56" t="s">
        <v>870</v>
      </c>
      <c r="D635" s="55" t="s">
        <v>8</v>
      </c>
      <c r="E635" s="56" t="s">
        <v>870</v>
      </c>
      <c r="F635" s="55">
        <v>88</v>
      </c>
      <c r="G635" s="55">
        <v>132</v>
      </c>
      <c r="H635" s="55">
        <v>78</v>
      </c>
      <c r="I635" s="56" t="s">
        <v>870</v>
      </c>
      <c r="J635" s="56" t="s">
        <v>975</v>
      </c>
      <c r="K635" s="56" t="s">
        <v>1143</v>
      </c>
      <c r="L635" s="16" t="s">
        <v>1219</v>
      </c>
      <c r="M635" s="56" t="s">
        <v>1138</v>
      </c>
      <c r="N635" s="56" t="s">
        <v>1060</v>
      </c>
      <c r="O635" s="72" t="s">
        <v>1141</v>
      </c>
      <c r="P635" s="64" t="s">
        <v>1139</v>
      </c>
    </row>
    <row r="636" spans="1:16" s="12" customFormat="1" ht="24.95" customHeight="1">
      <c r="A636" s="15" t="s">
        <v>871</v>
      </c>
      <c r="B636" s="55" t="s">
        <v>1297</v>
      </c>
      <c r="C636" s="15" t="s">
        <v>871</v>
      </c>
      <c r="D636" s="15" t="s">
        <v>8</v>
      </c>
      <c r="E636" s="15" t="s">
        <v>871</v>
      </c>
      <c r="F636" s="15" t="s">
        <v>92</v>
      </c>
      <c r="G636" s="15" t="s">
        <v>9</v>
      </c>
      <c r="H636" s="15" t="s">
        <v>9</v>
      </c>
      <c r="I636" s="15" t="s">
        <v>871</v>
      </c>
      <c r="J636" s="16" t="s">
        <v>872</v>
      </c>
      <c r="K636" s="16"/>
      <c r="L636" s="16"/>
      <c r="M636" s="16"/>
      <c r="N636" s="15"/>
      <c r="O636" s="15"/>
      <c r="P636" s="15"/>
    </row>
    <row r="637" spans="1:16" s="12" customFormat="1" ht="24.95" customHeight="1">
      <c r="A637" s="15" t="s">
        <v>873</v>
      </c>
      <c r="B637" s="55" t="s">
        <v>1297</v>
      </c>
      <c r="C637" s="15" t="s">
        <v>873</v>
      </c>
      <c r="D637" s="15" t="s">
        <v>58</v>
      </c>
      <c r="E637" s="15" t="s">
        <v>873</v>
      </c>
      <c r="F637" s="26">
        <v>4.4000000000000004</v>
      </c>
      <c r="G637" s="26" t="s">
        <v>99</v>
      </c>
      <c r="H637" s="26" t="s">
        <v>9</v>
      </c>
      <c r="I637" s="15" t="s">
        <v>873</v>
      </c>
      <c r="J637" s="36" t="s">
        <v>9</v>
      </c>
      <c r="K637" s="16"/>
      <c r="L637" s="16"/>
      <c r="M637" s="16"/>
      <c r="N637" s="15"/>
      <c r="O637" s="15"/>
      <c r="P637" s="15"/>
    </row>
    <row r="638" spans="1:16" s="12" customFormat="1" ht="24.95" customHeight="1">
      <c r="A638" s="15" t="s">
        <v>886</v>
      </c>
      <c r="B638" s="55" t="s">
        <v>1297</v>
      </c>
      <c r="C638" s="15" t="s">
        <v>886</v>
      </c>
      <c r="D638" s="25" t="s">
        <v>8</v>
      </c>
      <c r="E638" s="15" t="s">
        <v>886</v>
      </c>
      <c r="F638" s="16">
        <v>264</v>
      </c>
      <c r="G638" s="16" t="s">
        <v>9</v>
      </c>
      <c r="H638" s="16" t="s">
        <v>9</v>
      </c>
      <c r="I638" s="15" t="s">
        <v>886</v>
      </c>
      <c r="J638" s="16" t="s">
        <v>888</v>
      </c>
      <c r="K638" s="16"/>
      <c r="L638" s="16"/>
      <c r="M638" s="16"/>
      <c r="N638" s="15"/>
      <c r="O638" s="15"/>
      <c r="P638" s="15"/>
    </row>
    <row r="639" spans="1:16" ht="39.950000000000003" customHeight="1">
      <c r="A639" s="56" t="s">
        <v>885</v>
      </c>
      <c r="B639" s="55" t="s">
        <v>1297</v>
      </c>
      <c r="C639" s="56" t="s">
        <v>885</v>
      </c>
      <c r="D639" s="55" t="s">
        <v>58</v>
      </c>
      <c r="E639" s="56" t="s">
        <v>885</v>
      </c>
      <c r="F639" s="71">
        <v>2.64</v>
      </c>
      <c r="G639" s="71" t="s">
        <v>9</v>
      </c>
      <c r="H639" s="71" t="s">
        <v>9</v>
      </c>
      <c r="I639" s="56" t="s">
        <v>885</v>
      </c>
      <c r="J639" s="62" t="s">
        <v>887</v>
      </c>
      <c r="K639" s="56" t="s">
        <v>1135</v>
      </c>
      <c r="L639" s="16"/>
      <c r="M639" s="56" t="s">
        <v>1108</v>
      </c>
      <c r="N639" s="56" t="s">
        <v>1220</v>
      </c>
      <c r="O639" s="51">
        <v>1.7</v>
      </c>
      <c r="P639" s="55" t="s">
        <v>1249</v>
      </c>
    </row>
    <row r="640" spans="1:16" ht="39.950000000000003" customHeight="1">
      <c r="A640" s="56" t="s">
        <v>1101</v>
      </c>
      <c r="B640" s="55" t="s">
        <v>1297</v>
      </c>
      <c r="C640" s="56" t="s">
        <v>1101</v>
      </c>
      <c r="D640" s="55" t="s">
        <v>58</v>
      </c>
      <c r="E640" s="56" t="s">
        <v>1101</v>
      </c>
      <c r="F640" s="55">
        <v>8.8000000000000007</v>
      </c>
      <c r="G640" s="55" t="s">
        <v>9</v>
      </c>
      <c r="H640" s="55" t="s">
        <v>9</v>
      </c>
      <c r="I640" s="56" t="s">
        <v>1101</v>
      </c>
      <c r="J640" s="56" t="s">
        <v>887</v>
      </c>
      <c r="K640" s="56" t="s">
        <v>1135</v>
      </c>
      <c r="L640" s="16"/>
      <c r="M640" s="56" t="s">
        <v>1087</v>
      </c>
      <c r="N640" s="56" t="s">
        <v>1220</v>
      </c>
      <c r="O640" s="55" t="s">
        <v>1221</v>
      </c>
      <c r="P640" s="55" t="s">
        <v>1249</v>
      </c>
    </row>
    <row r="641" spans="1:16" ht="39.950000000000003" customHeight="1">
      <c r="A641" s="56" t="s">
        <v>1149</v>
      </c>
      <c r="B641" s="55" t="s">
        <v>1297</v>
      </c>
      <c r="C641" s="56" t="s">
        <v>1149</v>
      </c>
      <c r="D641" s="55" t="s">
        <v>58</v>
      </c>
      <c r="E641" s="56" t="s">
        <v>1149</v>
      </c>
      <c r="F641" s="55">
        <v>2.64</v>
      </c>
      <c r="G641" s="55" t="s">
        <v>9</v>
      </c>
      <c r="H641" s="55" t="s">
        <v>9</v>
      </c>
      <c r="I641" s="56" t="s">
        <v>1149</v>
      </c>
      <c r="J641" s="56" t="s">
        <v>887</v>
      </c>
      <c r="K641" s="56" t="s">
        <v>1135</v>
      </c>
      <c r="L641" s="16"/>
      <c r="M641" s="56" t="s">
        <v>1222</v>
      </c>
      <c r="N641" s="56" t="s">
        <v>1220</v>
      </c>
      <c r="O641" s="55" t="s">
        <v>1207</v>
      </c>
      <c r="P641" s="55" t="s">
        <v>1206</v>
      </c>
    </row>
  </sheetData>
  <autoFilter ref="A1:J641" xr:uid="{00000000-0009-0000-0000-000011000000}">
    <sortState xmlns:xlrd2="http://schemas.microsoft.com/office/spreadsheetml/2017/richdata2" ref="A635:J635">
      <sortCondition ref="A1:A641"/>
    </sortState>
  </autoFilter>
  <pageMargins left="0.511811024" right="0.511811024" top="0.78740157499999996" bottom="0.78740157499999996" header="0.31496062000000002" footer="0.31496062000000002"/>
  <pageSetup paperSize="9" scale="98" orientation="portrait" horizontalDpi="360" verticalDpi="360" r:id="rId1"/>
  <rowBreaks count="1" manualBreakCount="1">
    <brk id="46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C8658E-A9CA-4FF7-905E-F3E799B7FA0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8</vt:i4>
      </vt:variant>
    </vt:vector>
  </HeadingPairs>
  <TitlesOfParts>
    <vt:vector size="16" baseType="lpstr">
      <vt:lpstr>Capa </vt:lpstr>
      <vt:lpstr>Doc Base</vt:lpstr>
      <vt:lpstr>Hidrocarbonetos Aromáticos</vt:lpstr>
      <vt:lpstr>Var. Metais</vt:lpstr>
      <vt:lpstr>Anexos</vt:lpstr>
      <vt:lpstr>TLV</vt:lpstr>
      <vt:lpstr>Lista de Empresa</vt:lpstr>
      <vt:lpstr>TLV _Andrea</vt:lpstr>
      <vt:lpstr>Anexos!Area_de_impressao</vt:lpstr>
      <vt:lpstr>'Capa '!Area_de_impressao</vt:lpstr>
      <vt:lpstr>'Doc Base'!Area_de_impressao</vt:lpstr>
      <vt:lpstr>'Hidrocarbonetos Aromáticos'!Area_de_impressao</vt:lpstr>
      <vt:lpstr>TLV!Area_de_impressao</vt:lpstr>
      <vt:lpstr>'Var. Metais'!Area_de_impressao</vt:lpstr>
      <vt:lpstr>'TLV _Andrea'!siglas</vt:lpstr>
      <vt:lpstr>'TLV _Andrea'!TLV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Monteiro</dc:creator>
  <cp:lastModifiedBy>Andrea Monteiro</cp:lastModifiedBy>
  <cp:lastPrinted>2025-09-17T17:51:03Z</cp:lastPrinted>
  <dcterms:created xsi:type="dcterms:W3CDTF">2016-11-21T19:06:21Z</dcterms:created>
  <dcterms:modified xsi:type="dcterms:W3CDTF">2026-06-15T20:44:40Z</dcterms:modified>
</cp:coreProperties>
</file>